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8.xml.rels" ContentType="application/vnd.openxmlformats-package.relationships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11.xml.rels" ContentType="application/vnd.openxmlformats-package.relationships+xml"/>
  <Override PartName="/customXml/_rels/item8.xml.rels" ContentType="application/vnd.openxmlformats-package.relationships+xml"/>
  <Override PartName="/customXml/_rels/item15.xml.rels" ContentType="application/vnd.openxmlformats-package.relationships+xml"/>
  <Override PartName="/customXml/_rels/item6.xml.rels" ContentType="application/vnd.openxmlformats-package.relationships+xml"/>
  <Override PartName="/customXml/_rels/item17.xml.rels" ContentType="application/vnd.openxmlformats-package.relationships+xml"/>
  <Override PartName="/customXml/_rels/item14.xml.rels" ContentType="application/vnd.openxmlformats-package.relationships+xml"/>
  <Override PartName="/customXml/_rels/item5.xml.rels" ContentType="application/vnd.openxmlformats-package.relationships+xml"/>
  <Override PartName="/customXml/_rels/item16.xml.rels" ContentType="application/vnd.openxmlformats-package.relationships+xml"/>
  <Override PartName="/customXml/_rels/item13.xml.rels" ContentType="application/vnd.openxmlformats-package.relationships+xml"/>
  <Override PartName="/customXml/_rels/item2.xml.rels" ContentType="application/vnd.openxmlformats-package.relationships+xml"/>
  <Override PartName="/customXml/_rels/item18.xml.rels" ContentType="application/vnd.openxmlformats-package.relationships+xml"/>
  <Override PartName="/customXml/_rels/item1.xml.rels" ContentType="application/vnd.openxmlformats-package.relationships+xml"/>
  <Override PartName="/customXml/_rels/item9.xml.rels" ContentType="application/vnd.openxmlformats-package.relationships+xml"/>
  <Override PartName="/customXml/_rels/item12.xml.rels" ContentType="application/vnd.openxmlformats-package.relationships+xml"/>
  <Override PartName="/customXml/_rels/item7.xml.rels" ContentType="application/vnd.openxmlformats-package.relationships+xml"/>
  <Override PartName="/customXml/_rels/item10.xml.rels" ContentType="application/vnd.openxmlformats-package.relationships+xml"/>
  <Override PartName="/customXml/item15.xml" ContentType="application/xml"/>
  <Override PartName="/customXml/itemProps9.xml" ContentType="application/vnd.openxmlformats-officedocument.customXmlProperties+xml"/>
  <Override PartName="/customXml/itemProps14.xml" ContentType="application/vnd.openxmlformats-officedocument.customXmlProperties+xml"/>
  <Override PartName="/customXml/item6.xml" ContentType="application/xml"/>
  <Override PartName="/customXml/itemProps2.xml" ContentType="application/vnd.openxmlformats-officedocument.customXmlProperties+xml"/>
  <Override PartName="/customXml/item14.xml" ContentType="application/xml"/>
  <Override PartName="/customXml/itemProps8.xml" ContentType="application/vnd.openxmlformats-officedocument.customXmlProperties+xml"/>
  <Override PartName="/customXml/item18.xml" ContentType="application/xml"/>
  <Override PartName="/customXml/item1.xml" ContentType="application/xml"/>
  <Override PartName="/customXml/item17.xml" ContentType="application/xml"/>
  <Override PartName="/customXml/itemProps3.xml" ContentType="application/vnd.openxmlformats-officedocument.customXmlProperties+xml"/>
  <Override PartName="/customXml/item7.xml" ContentType="application/xml"/>
  <Override PartName="/customXml/itemProps15.xml" ContentType="application/vnd.openxmlformats-officedocument.customXmlProperties+xml"/>
  <Override PartName="/customXml/item2.xml" ContentType="application/xml"/>
  <Override PartName="/customXml/itemProps10.xml" ContentType="application/vnd.openxmlformats-officedocument.customXmlProperties+xml"/>
  <Override PartName="/customXml/item16.xml" ContentType="application/xml"/>
  <Override PartName="/customXml/item10.xml" ContentType="application/xml"/>
  <Override PartName="/customXml/itemProps16.xml" ContentType="application/vnd.openxmlformats-officedocument.customXmlProperties+xml"/>
  <Override PartName="/customXml/item8.xml" ContentType="application/xml"/>
  <Override PartName="/customXml/itemProps4.xml" ContentType="application/vnd.openxmlformats-officedocument.customXmlProperties+xml"/>
  <Override PartName="/customXml/item9.xml" ContentType="application/xml"/>
  <Override PartName="/customXml/itemProps17.xml" ContentType="application/vnd.openxmlformats-officedocument.customXmlProperties+xml"/>
  <Override PartName="/customXml/item11.xml" ContentType="application/xml"/>
  <Override PartName="/customXml/itemProps5.xml" ContentType="application/vnd.openxmlformats-officedocument.customXmlProperties+xml"/>
  <Override PartName="/customXml/item3.xml" ContentType="application/xml"/>
  <Override PartName="/customXml/itemProps11.xml" ContentType="application/vnd.openxmlformats-officedocument.customXmlProperties+xml"/>
  <Override PartName="/customXml/itemProps18.xml" ContentType="application/vnd.openxmlformats-officedocument.customXmlProperties+xml"/>
  <Override PartName="/customXml/item12.xml" ContentType="application/xml"/>
  <Override PartName="/customXml/itemProps6.xml" ContentType="application/vnd.openxmlformats-officedocument.customXmlProperties+xml"/>
  <Override PartName="/customXml/item4.xml" ContentType="application/xml"/>
  <Override PartName="/customXml/itemProps12.xml" ContentType="application/vnd.openxmlformats-officedocument.customXmlProperties+xml"/>
  <Override PartName="/customXml/itemProps7.xml" ContentType="application/vnd.openxmlformats-officedocument.customXmlProperties+xml"/>
  <Override PartName="/customXml/item13.xml" ContentType="application/xml"/>
  <Override PartName="/customXml/itemProps1.xml" ContentType="application/vnd.openxmlformats-officedocument.customXmlProperties+xml"/>
  <Override PartName="/customXml/item5.xml" ContentType="application/xml"/>
  <Override PartName="/customXml/itemProps1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<Relationship Id="rId11" Type="http://schemas.openxmlformats.org/officeDocument/2006/relationships/customXml" Target="../customXml/item7.xml"/><Relationship Id="rId12" Type="http://schemas.openxmlformats.org/officeDocument/2006/relationships/customXml" Target="../customXml/item8.xml"/><Relationship Id="rId13" Type="http://schemas.openxmlformats.org/officeDocument/2006/relationships/customXml" Target="../customXml/item9.xml"/><Relationship Id="rId14" Type="http://schemas.openxmlformats.org/officeDocument/2006/relationships/customXml" Target="../customXml/item10.xml"/><Relationship Id="rId15" Type="http://schemas.openxmlformats.org/officeDocument/2006/relationships/customXml" Target="../customXml/item11.xml"/><Relationship Id="rId16" Type="http://schemas.openxmlformats.org/officeDocument/2006/relationships/customXml" Target="../customXml/item12.xml"/><Relationship Id="rId17" Type="http://schemas.openxmlformats.org/officeDocument/2006/relationships/customXml" Target="../customXml/item13.xml"/><Relationship Id="rId18" Type="http://schemas.openxmlformats.org/officeDocument/2006/relationships/customXml" Target="../customXml/item14.xml"/><Relationship Id="rId19" Type="http://schemas.openxmlformats.org/officeDocument/2006/relationships/customXml" Target="../customXml/item15.xml"/><Relationship Id="rId20" Type="http://schemas.openxmlformats.org/officeDocument/2006/relationships/customXml" Target="../customXml/item16.xml"/><Relationship Id="rId21" Type="http://schemas.openxmlformats.org/officeDocument/2006/relationships/customXml" Target="../customXml/item17.xml"/><Relationship Id="rId22" Type="http://schemas.openxmlformats.org/officeDocument/2006/relationships/customXml" Target="../customXml/item18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Dane" sheetId="1" state="visible" r:id="rId3"/>
    <sheet name="MAGAZYN" sheetId="2" state="visible" r:id="rId4"/>
    <sheet name="KONTRAHENCI" sheetId="3" state="visible" r:id="rId5"/>
    <sheet name="TRANSPORT" sheetId="4" state="visible" r:id="rId6"/>
    <sheet name="SŁOWNIK" sheetId="5" state="visible" r:id="rId7"/>
    <sheet name="REJESTR_OPERACJI" sheetId="6" state="visible" r:id="rId8"/>
    <sheet name="RECEPTURY" sheetId="7" state="visible" r:id="rId9"/>
    <sheet name="HISTORIA_ZMIAN" sheetId="8" state="visible" r:id="rId10"/>
    <sheet name="ARCHIWUM" sheetId="9" state="visible" r:id="rId11"/>
    <sheet name="DOKUMENT" sheetId="10" state="visible" r:id="rId12"/>
    <sheet name="TESTY" sheetId="11" state="visible" r:id="rId13"/>
  </sheets>
  <definedNames>
    <definedName function="false" hidden="false" name="DV_A" vbProcedure="false">SŁOWNIK!$B$2:$B$42</definedName>
    <definedName function="false" hidden="false" name="DV_AK" vbProcedure="false">SŁOWNIK!$AA$2:$AA$2</definedName>
    <definedName function="false" hidden="false" name="DV_B" vbProcedure="false">SŁOWNIK!$C$2:$C$20</definedName>
    <definedName function="false" hidden="false" name="DV_C" vbProcedure="false">SŁOWNIK!$D$2:$D$43</definedName>
    <definedName function="false" hidden="false" name="DV_D" vbProcedure="false">SŁOWNIK!$E$2:$E$22</definedName>
    <definedName function="false" hidden="false" name="DV_E" vbProcedure="false">SŁOWNIK!$F$2:$F$6</definedName>
    <definedName function="false" hidden="false" name="DV_F" vbProcedure="false">SŁOWNIK!$G$2:$G$341</definedName>
    <definedName function="false" hidden="false" name="DV_G" vbProcedure="false">SŁOWNIK!$H$2:$H$3</definedName>
    <definedName function="false" hidden="false" name="DV_H" vbProcedure="false">SŁOWNIK!$I$2:$I$3</definedName>
    <definedName function="false" hidden="false" name="DV_I" vbProcedure="false">SŁOWNIK!$J$2:$J$153</definedName>
    <definedName function="false" hidden="false" name="DV_J" vbProcedure="false">SŁOWNIK!$K$2:$K$5</definedName>
    <definedName function="false" hidden="false" name="DV_K" vbProcedure="false">SŁOWNIK!$L$2:$L$15</definedName>
    <definedName function="false" hidden="false" name="DV_L" vbProcedure="false">SŁOWNIK!$M$2:$M$101</definedName>
    <definedName function="false" hidden="false" name="DV_M" vbProcedure="false">SŁOWNIK!$N$2:$N$2</definedName>
    <definedName function="false" hidden="false" name="DV_N" vbProcedure="false">SŁOWNIK!$O$2:$O$12</definedName>
    <definedName function="false" hidden="false" name="DV_O" vbProcedure="false">SŁOWNIK!$P$2:$P$3</definedName>
    <definedName function="false" hidden="false" name="DV_P" vbProcedure="false">SŁOWNIK!$Q$2:$Q$3</definedName>
    <definedName function="false" hidden="false" name="DV_Q" vbProcedure="false">SŁOWNIK!$R$2:$R$3</definedName>
    <definedName function="false" hidden="false" name="DV_R" vbProcedure="false">SŁOWNIK!$S$2:$S$10</definedName>
    <definedName function="false" hidden="false" name="DV_S" vbProcedure="false">SŁOWNIK!$T$2:$T$13</definedName>
    <definedName function="false" hidden="false" name="DV_T" vbProcedure="false">SŁOWNIK!$U$2:$U$20</definedName>
    <definedName function="false" hidden="false" name="DV_U" vbProcedure="false">SŁOWNIK!$V$2:$V$24</definedName>
    <definedName function="false" hidden="false" name="DV_V" vbProcedure="false">SŁOWNIK!$W$2:$W$5</definedName>
    <definedName function="false" hidden="false" name="DV_W" vbProcedure="false">SŁOWNIK!$X$2:$X$95</definedName>
    <definedName function="false" hidden="false" name="DV_X" vbProcedure="false">SŁOWNIK!$Y$2:$Y$5</definedName>
    <definedName function="false" hidden="false" name="DV_Y" vbProcedure="false">SŁOWNIK!$Z$2:$Z$33</definedName>
    <definedName function="false" hidden="false" name="Fragmentator_Miesiąc_tekst" vbProcedure="false">#N/A</definedName>
    <definedName function="false" hidden="false" name="Fragmentator_Produkt" vbProcedure="false">#N/A</definedName>
    <definedName function="false" hidden="false" name="Fragmentator_Rok" vbProcedure="false">#N/A</definedName>
    <definedName function="false" hidden="false" name="Fragmentator_Rok1" vbProcedure="false">#N/A</definedName>
    <definedName function="false" hidden="false" name="Fragmentator_Rok2" vbProcedure="false">#N/A</definedName>
    <definedName function="false" hidden="false" name="Fragmentator_Zakup_Sprzedaż" vbProcedure="false">#N/A</definedName>
    <definedName function="false" hidden="false" name="Fragmentator_Zakup_Sprzedaż11" vbProcedure="false">#N/A</definedName>
    <definedName function="false" hidden="true" name="_xlcn.WorksheetConnection_raport_magazyn2.xlsmTabela_dane1" vbProcedure="false">Tabela_dane[]</definedName>
  </definedNames>
  <calcPr iterateCount="100" refMode="A1" iterate="false" iterateDelta="0.0001"/>
  <pivotCaches>
    <pivotCache cacheId="1" r:id="rId1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<sst xmlns="http://schemas.openxmlformats.org/spreadsheetml/2006/main" count="13043" uniqueCount="1241">
  <si>
    <t xml:space="preserve">Data załadunku do klienta końcowego</t>
  </si>
  <si>
    <t xml:space="preserve">Miejsce załadunku</t>
  </si>
  <si>
    <t xml:space="preserve">Data operacji</t>
  </si>
  <si>
    <t xml:space="preserve">Dostawca</t>
  </si>
  <si>
    <t xml:space="preserve">Zakup/Sprzedaż</t>
  </si>
  <si>
    <t xml:space="preserve">Nr. WZ</t>
  </si>
  <si>
    <t xml:space="preserve">Czy magazynowane (TAK / NIE)</t>
  </si>
  <si>
    <t xml:space="preserve">Deklaracja/KZR</t>
  </si>
  <si>
    <t xml:space="preserve">Volumen</t>
  </si>
  <si>
    <t xml:space="preserve">Jednostka miary</t>
  </si>
  <si>
    <t xml:space="preserve">Cena zakupu/produkcji (zł/mp;zł/tona)</t>
  </si>
  <si>
    <t xml:space="preserve">Wartość</t>
  </si>
  <si>
    <t xml:space="preserve">Cena sprzedaży (zł/mp;zł/tona)</t>
  </si>
  <si>
    <t xml:space="preserve">Produkt</t>
  </si>
  <si>
    <t xml:space="preserve">Rodzaj zrębki a/b</t>
  </si>
  <si>
    <t xml:space="preserve">Rąbanie własne/wynajęte (kto)</t>
  </si>
  <si>
    <t xml:space="preserve">Koszt rąbania usługa</t>
  </si>
  <si>
    <t xml:space="preserve">Transport Firma</t>
  </si>
  <si>
    <t xml:space="preserve">Nr. Rejestracyjny</t>
  </si>
  <si>
    <t xml:space="preserve">Odległość km</t>
  </si>
  <si>
    <t xml:space="preserve">Koszt transportu</t>
  </si>
  <si>
    <t xml:space="preserve">Odbiorca</t>
  </si>
  <si>
    <t xml:space="preserve">Uwagi</t>
  </si>
  <si>
    <t xml:space="preserve">Miejsce pochodzenia</t>
  </si>
  <si>
    <t xml:space="preserve">Data dodania wpisu</t>
  </si>
  <si>
    <t xml:space="preserve">Wolumen_MP</t>
  </si>
  <si>
    <t xml:space="preserve">Wolumen_t</t>
  </si>
  <si>
    <t xml:space="preserve">Wolumen_GJ</t>
  </si>
  <si>
    <t xml:space="preserve">Ruch_magazyn_MP</t>
  </si>
  <si>
    <t xml:space="preserve">Ruch_magazyn_t</t>
  </si>
  <si>
    <t xml:space="preserve">Wartość_zakupu_zł_calc</t>
  </si>
  <si>
    <t xml:space="preserve">Wartość_sprzedaży_zł_calc</t>
  </si>
  <si>
    <t xml:space="preserve">Typ_transportu_heurystyka</t>
  </si>
  <si>
    <t xml:space="preserve">Koszt_rąbania_total</t>
  </si>
  <si>
    <t xml:space="preserve">Miesiąc_tekst</t>
  </si>
  <si>
    <t xml:space="preserve">Rok</t>
  </si>
  <si>
    <t xml:space="preserve">Utworzył</t>
  </si>
  <si>
    <t xml:space="preserve">Koszt transportu bazowy</t>
  </si>
  <si>
    <t xml:space="preserve">ID_operacji</t>
  </si>
  <si>
    <t xml:space="preserve">Transport</t>
  </si>
  <si>
    <t xml:space="preserve">Trasa</t>
  </si>
  <si>
    <t xml:space="preserve">Pojazd</t>
  </si>
  <si>
    <t xml:space="preserve">Operator_kierowca</t>
  </si>
  <si>
    <t xml:space="preserve">Rola_wiersza</t>
  </si>
  <si>
    <t xml:space="preserve">Receptura</t>
  </si>
  <si>
    <t xml:space="preserve">Wersja</t>
  </si>
  <si>
    <t xml:space="preserve">Lander Agro</t>
  </si>
  <si>
    <t xml:space="preserve">PRODUKCJA</t>
  </si>
  <si>
    <t xml:space="preserve">PZ/1</t>
  </si>
  <si>
    <t xml:space="preserve">TAK</t>
  </si>
  <si>
    <t xml:space="preserve">Deklaracja</t>
  </si>
  <si>
    <t xml:space="preserve">MP</t>
  </si>
  <si>
    <t xml:space="preserve">Zrębka Produkcyjna Leśna</t>
  </si>
  <si>
    <t xml:space="preserve">własne</t>
  </si>
  <si>
    <t xml:space="preserve">Magazyn Zabrze</t>
  </si>
  <si>
    <t xml:space="preserve">Automatyczna produkcja z zakupionego surowca</t>
  </si>
  <si>
    <t xml:space="preserve">Myszków</t>
  </si>
  <si>
    <t xml:space="preserve">Mateusz Roesner</t>
  </si>
  <si>
    <t xml:space="preserve">H-0001</t>
  </si>
  <si>
    <t xml:space="preserve">NIE</t>
  </si>
  <si>
    <t xml:space="preserve">PRODUKCJA AUTO</t>
  </si>
  <si>
    <t xml:space="preserve">PZ/2</t>
  </si>
  <si>
    <t xml:space="preserve">H-0002</t>
  </si>
  <si>
    <t xml:space="preserve">ZAKUP</t>
  </si>
  <si>
    <t xml:space="preserve">Drewno opałowe z lasu</t>
  </si>
  <si>
    <t xml:space="preserve">Utworzył: Roesner Mateusz</t>
  </si>
  <si>
    <t xml:space="preserve">GŁÓWNY</t>
  </si>
  <si>
    <t xml:space="preserve">B</t>
  </si>
  <si>
    <t xml:space="preserve">własny (Wilczak)</t>
  </si>
  <si>
    <t xml:space="preserve">SK 7J884</t>
  </si>
  <si>
    <t xml:space="preserve">Utworzył: Roesner Mateusz
</t>
  </si>
  <si>
    <t xml:space="preserve">H-0003</t>
  </si>
  <si>
    <t xml:space="preserve">własny (Wiór)</t>
  </si>
  <si>
    <t xml:space="preserve">SK 7H433</t>
  </si>
  <si>
    <t xml:space="preserve">H-0004</t>
  </si>
  <si>
    <t xml:space="preserve">PZ/1/D</t>
  </si>
  <si>
    <t xml:space="preserve">KZR</t>
  </si>
  <si>
    <t xml:space="preserve">M3</t>
  </si>
  <si>
    <t xml:space="preserve">H-0005</t>
  </si>
  <si>
    <t xml:space="preserve">ZUŻYCIE</t>
  </si>
  <si>
    <t xml:space="preserve">Automatyczne zużycie surowca</t>
  </si>
  <si>
    <t xml:space="preserve">ZUŻYCIE AUTO</t>
  </si>
  <si>
    <t xml:space="preserve">PZ/3</t>
  </si>
  <si>
    <t xml:space="preserve">H-0006</t>
  </si>
  <si>
    <t xml:space="preserve">PZ/4</t>
  </si>
  <si>
    <t xml:space="preserve">H-0007</t>
  </si>
  <si>
    <t xml:space="preserve">PZ/5</t>
  </si>
  <si>
    <t xml:space="preserve">H-0008</t>
  </si>
  <si>
    <t xml:space="preserve">PZ/6</t>
  </si>
  <si>
    <t xml:space="preserve">H-0009</t>
  </si>
  <si>
    <t xml:space="preserve">PZ/7</t>
  </si>
  <si>
    <t xml:space="preserve">H-0010</t>
  </si>
  <si>
    <t xml:space="preserve">H-0011</t>
  </si>
  <si>
    <t xml:space="preserve">H-0012</t>
  </si>
  <si>
    <t xml:space="preserve">własny (Kretek)</t>
  </si>
  <si>
    <t xml:space="preserve">SK 7J885</t>
  </si>
  <si>
    <t xml:space="preserve">H-0013</t>
  </si>
  <si>
    <t xml:space="preserve">Nowatrans</t>
  </si>
  <si>
    <t xml:space="preserve">WND 3546F</t>
  </si>
  <si>
    <t xml:space="preserve">H-0014</t>
  </si>
  <si>
    <t xml:space="preserve">H-0015</t>
  </si>
  <si>
    <t xml:space="preserve">Drewnex</t>
  </si>
  <si>
    <t xml:space="preserve">PZ/8</t>
  </si>
  <si>
    <t xml:space="preserve">TON</t>
  </si>
  <si>
    <t xml:space="preserve">Zrębka towar</t>
  </si>
  <si>
    <t xml:space="preserve">H-0016</t>
  </si>
  <si>
    <t xml:space="preserve">Magazyn Pyskowice</t>
  </si>
  <si>
    <t xml:space="preserve">MM</t>
  </si>
  <si>
    <t xml:space="preserve">MM-1</t>
  </si>
  <si>
    <t xml:space="preserve">H-0017</t>
  </si>
  <si>
    <t xml:space="preserve">MM-2</t>
  </si>
  <si>
    <t xml:space="preserve">H-0018</t>
  </si>
  <si>
    <t xml:space="preserve">MM-3</t>
  </si>
  <si>
    <t xml:space="preserve">H-0019</t>
  </si>
  <si>
    <t xml:space="preserve">MM-4</t>
  </si>
  <si>
    <t xml:space="preserve">H-0020</t>
  </si>
  <si>
    <t xml:space="preserve">MM-5</t>
  </si>
  <si>
    <t xml:space="preserve">H-0021</t>
  </si>
  <si>
    <t xml:space="preserve">MM-6</t>
  </si>
  <si>
    <t xml:space="preserve">H-0022</t>
  </si>
  <si>
    <t xml:space="preserve">PZ/2/D</t>
  </si>
  <si>
    <t xml:space="preserve">H-0023</t>
  </si>
  <si>
    <t xml:space="preserve">PZ/3/D</t>
  </si>
  <si>
    <t xml:space="preserve">H-0024</t>
  </si>
  <si>
    <t xml:space="preserve">Walber</t>
  </si>
  <si>
    <t xml:space="preserve">PZ/9</t>
  </si>
  <si>
    <t xml:space="preserve">H-0025</t>
  </si>
  <si>
    <t xml:space="preserve">PZ/10</t>
  </si>
  <si>
    <t xml:space="preserve">H-0026</t>
  </si>
  <si>
    <t xml:space="preserve">MM-7</t>
  </si>
  <si>
    <t xml:space="preserve">H-0027</t>
  </si>
  <si>
    <t xml:space="preserve">MM-8</t>
  </si>
  <si>
    <t xml:space="preserve">H-0028</t>
  </si>
  <si>
    <t xml:space="preserve">MM-9</t>
  </si>
  <si>
    <t xml:space="preserve">H-0029</t>
  </si>
  <si>
    <t xml:space="preserve">MM-10</t>
  </si>
  <si>
    <t xml:space="preserve">H-0030</t>
  </si>
  <si>
    <t xml:space="preserve">MM-11</t>
  </si>
  <si>
    <t xml:space="preserve">H-0031</t>
  </si>
  <si>
    <t xml:space="preserve">MM-12</t>
  </si>
  <si>
    <t xml:space="preserve">H-0032</t>
  </si>
  <si>
    <t xml:space="preserve">PZ/11</t>
  </si>
  <si>
    <t xml:space="preserve">H-0033</t>
  </si>
  <si>
    <t xml:space="preserve">PZ/12</t>
  </si>
  <si>
    <t xml:space="preserve">H-0034</t>
  </si>
  <si>
    <t xml:space="preserve">MM-13</t>
  </si>
  <si>
    <t xml:space="preserve">H-0035</t>
  </si>
  <si>
    <t xml:space="preserve">MM-14</t>
  </si>
  <si>
    <t xml:space="preserve">H-0036</t>
  </si>
  <si>
    <t xml:space="preserve">MM-15</t>
  </si>
  <si>
    <t xml:space="preserve">H-0037</t>
  </si>
  <si>
    <t xml:space="preserve">MM-16</t>
  </si>
  <si>
    <t xml:space="preserve">H-0038</t>
  </si>
  <si>
    <t xml:space="preserve">MM-17</t>
  </si>
  <si>
    <t xml:space="preserve">H-0039</t>
  </si>
  <si>
    <t xml:space="preserve">MM-18</t>
  </si>
  <si>
    <t xml:space="preserve">H-0040</t>
  </si>
  <si>
    <t xml:space="preserve">PZ/4/D</t>
  </si>
  <si>
    <t xml:space="preserve">H-0041</t>
  </si>
  <si>
    <t xml:space="preserve">PZ/13</t>
  </si>
  <si>
    <t xml:space="preserve">H-0042</t>
  </si>
  <si>
    <t xml:space="preserve">PZ/14</t>
  </si>
  <si>
    <t xml:space="preserve">H-0043</t>
  </si>
  <si>
    <t xml:space="preserve">PZ/15</t>
  </si>
  <si>
    <t xml:space="preserve">H-0044</t>
  </si>
  <si>
    <t xml:space="preserve">MM-19</t>
  </si>
  <si>
    <t xml:space="preserve">H-0045</t>
  </si>
  <si>
    <t xml:space="preserve">MM-20</t>
  </si>
  <si>
    <t xml:space="preserve">H-0046</t>
  </si>
  <si>
    <t xml:space="preserve">MM-21</t>
  </si>
  <si>
    <t xml:space="preserve">H-0047</t>
  </si>
  <si>
    <t xml:space="preserve">PZ/5/D</t>
  </si>
  <si>
    <t xml:space="preserve">H-0048</t>
  </si>
  <si>
    <t xml:space="preserve">MM-22</t>
  </si>
  <si>
    <t xml:space="preserve">H-0049</t>
  </si>
  <si>
    <t xml:space="preserve">MM-23</t>
  </si>
  <si>
    <t xml:space="preserve">H-0050</t>
  </si>
  <si>
    <t xml:space="preserve">MM-24</t>
  </si>
  <si>
    <t xml:space="preserve">H-0051</t>
  </si>
  <si>
    <t xml:space="preserve">MM-25</t>
  </si>
  <si>
    <t xml:space="preserve">H-0052</t>
  </si>
  <si>
    <t xml:space="preserve">MM-26</t>
  </si>
  <si>
    <t xml:space="preserve">własny (Chrzan)</t>
  </si>
  <si>
    <t xml:space="preserve">H-0053</t>
  </si>
  <si>
    <t xml:space="preserve">MM-27</t>
  </si>
  <si>
    <t xml:space="preserve">H-0054</t>
  </si>
  <si>
    <t xml:space="preserve">MM-28</t>
  </si>
  <si>
    <t xml:space="preserve">H-0055</t>
  </si>
  <si>
    <t xml:space="preserve">MM-29</t>
  </si>
  <si>
    <t xml:space="preserve">H-0056</t>
  </si>
  <si>
    <t xml:space="preserve">MM-30</t>
  </si>
  <si>
    <t xml:space="preserve">H-0057</t>
  </si>
  <si>
    <t xml:space="preserve">PZ/16</t>
  </si>
  <si>
    <t xml:space="preserve">Tartaczna / Utworzył: Roesner Mateusz</t>
  </si>
  <si>
    <t xml:space="preserve">H-0058</t>
  </si>
  <si>
    <t xml:space="preserve">MM-31</t>
  </si>
  <si>
    <t xml:space="preserve">ST 9995P</t>
  </si>
  <si>
    <t xml:space="preserve">H-0059</t>
  </si>
  <si>
    <t xml:space="preserve">MM-32</t>
  </si>
  <si>
    <t xml:space="preserve">H-0060</t>
  </si>
  <si>
    <t xml:space="preserve">MM-33</t>
  </si>
  <si>
    <t xml:space="preserve">H-0061</t>
  </si>
  <si>
    <t xml:space="preserve">MM-34</t>
  </si>
  <si>
    <t xml:space="preserve">H-0062</t>
  </si>
  <si>
    <t xml:space="preserve">MM-35</t>
  </si>
  <si>
    <t xml:space="preserve">H-0063</t>
  </si>
  <si>
    <t xml:space="preserve">PZ/6/D</t>
  </si>
  <si>
    <t xml:space="preserve">H-0064</t>
  </si>
  <si>
    <t xml:space="preserve">PZ/7/D</t>
  </si>
  <si>
    <t xml:space="preserve">Waga: 22,880t / Utworzył: Roesner Mateusz
</t>
  </si>
  <si>
    <t xml:space="preserve">H-0065</t>
  </si>
  <si>
    <t xml:space="preserve">PZ/8/D</t>
  </si>
  <si>
    <t xml:space="preserve">Waga: 23,300t / Utworzył: Roesner Mateusz</t>
  </si>
  <si>
    <t xml:space="preserve">H-0066</t>
  </si>
  <si>
    <t xml:space="preserve">PZ/9/D</t>
  </si>
  <si>
    <t xml:space="preserve">Waga: 24,120t / Utworzył: Roesner Mateusz</t>
  </si>
  <si>
    <t xml:space="preserve">H-0067</t>
  </si>
  <si>
    <t xml:space="preserve">Gdańsk</t>
  </si>
  <si>
    <t xml:space="preserve">Port Północny Gdańsk</t>
  </si>
  <si>
    <t xml:space="preserve">PZ/1/ŁN</t>
  </si>
  <si>
    <t xml:space="preserve">Łupiny nerkowca</t>
  </si>
  <si>
    <t xml:space="preserve">DB Cargo</t>
  </si>
  <si>
    <t xml:space="preserve">H-0068</t>
  </si>
  <si>
    <t xml:space="preserve">MM-36</t>
  </si>
  <si>
    <t xml:space="preserve">H-0069</t>
  </si>
  <si>
    <t xml:space="preserve">MM-37</t>
  </si>
  <si>
    <t xml:space="preserve">H-0070</t>
  </si>
  <si>
    <t xml:space="preserve">MM-38</t>
  </si>
  <si>
    <t xml:space="preserve">H-0071</t>
  </si>
  <si>
    <t xml:space="preserve">MM-39</t>
  </si>
  <si>
    <t xml:space="preserve">SZ 2503U</t>
  </si>
  <si>
    <t xml:space="preserve">H-0072</t>
  </si>
  <si>
    <t xml:space="preserve">MM-40</t>
  </si>
  <si>
    <t xml:space="preserve">H-0073</t>
  </si>
  <si>
    <t xml:space="preserve">MM-41</t>
  </si>
  <si>
    <t xml:space="preserve">H-0074</t>
  </si>
  <si>
    <t xml:space="preserve">MM-42</t>
  </si>
  <si>
    <t xml:space="preserve">H-0075</t>
  </si>
  <si>
    <t xml:space="preserve">PZ/10/D</t>
  </si>
  <si>
    <t xml:space="preserve">Waga: 24,740t / Utworzył: Roesner Mateusz
</t>
  </si>
  <si>
    <t xml:space="preserve">H-0076</t>
  </si>
  <si>
    <t xml:space="preserve">PZ/11/D</t>
  </si>
  <si>
    <t xml:space="preserve">Waga b/d / Utworzył: Roesner Mateusz</t>
  </si>
  <si>
    <t xml:space="preserve">H-0077</t>
  </si>
  <si>
    <t xml:space="preserve">PZ/12/D</t>
  </si>
  <si>
    <t xml:space="preserve">Waga 22,380t /Utworzył: Roesner Mateusz</t>
  </si>
  <si>
    <t xml:space="preserve">H-0078</t>
  </si>
  <si>
    <t xml:space="preserve">PZ/13/D</t>
  </si>
  <si>
    <t xml:space="preserve">Waga 22,360t /Utworzył: Roesner Mateusz
</t>
  </si>
  <si>
    <t xml:space="preserve">H-0079</t>
  </si>
  <si>
    <t xml:space="preserve">PZ/17</t>
  </si>
  <si>
    <t xml:space="preserve">90 MP / Tartaczna / Utworzył: Roesner Mateusz</t>
  </si>
  <si>
    <t xml:space="preserve">H-0080</t>
  </si>
  <si>
    <t xml:space="preserve">Marcin Jamrozik</t>
  </si>
  <si>
    <t xml:space="preserve">PZ/18, PZ/19</t>
  </si>
  <si>
    <t xml:space="preserve">Drewno przemysłowe z wycinek inwest.</t>
  </si>
  <si>
    <t xml:space="preserve">H-0081</t>
  </si>
  <si>
    <t xml:space="preserve">PZ/18</t>
  </si>
  <si>
    <t xml:space="preserve">Zrębka Produkcyjna Inwestycyjna</t>
  </si>
  <si>
    <t xml:space="preserve">H-0082</t>
  </si>
  <si>
    <t xml:space="preserve">Automatyczne zużycie surowca do produkcji</t>
  </si>
  <si>
    <t xml:space="preserve">Koniecpol</t>
  </si>
  <si>
    <t xml:space="preserve">H-0083</t>
  </si>
  <si>
    <t xml:space="preserve">PZ/19</t>
  </si>
  <si>
    <t xml:space="preserve">H-0084</t>
  </si>
  <si>
    <t xml:space="preserve">H-0085</t>
  </si>
  <si>
    <t xml:space="preserve">MM-43</t>
  </si>
  <si>
    <t xml:space="preserve">H-0086</t>
  </si>
  <si>
    <t xml:space="preserve">MM-44</t>
  </si>
  <si>
    <t xml:space="preserve">H-0087</t>
  </si>
  <si>
    <t xml:space="preserve">MM-45</t>
  </si>
  <si>
    <t xml:space="preserve">H-0088</t>
  </si>
  <si>
    <t xml:space="preserve">MM-46</t>
  </si>
  <si>
    <t xml:space="preserve">H-0089</t>
  </si>
  <si>
    <t xml:space="preserve">PZ/20</t>
  </si>
  <si>
    <t xml:space="preserve">Tartaczna / Utworzył: Roesner Mateusz
</t>
  </si>
  <si>
    <t xml:space="preserve">H-0090</t>
  </si>
  <si>
    <t xml:space="preserve">Fioskip Adam Skipioł</t>
  </si>
  <si>
    <t xml:space="preserve">PZ/21</t>
  </si>
  <si>
    <t xml:space="preserve">H-0091</t>
  </si>
  <si>
    <t xml:space="preserve">H-0092</t>
  </si>
  <si>
    <t xml:space="preserve">Pszczyna</t>
  </si>
  <si>
    <t xml:space="preserve">H-0093</t>
  </si>
  <si>
    <t xml:space="preserve">PZ/2/ŁN</t>
  </si>
  <si>
    <t xml:space="preserve">42 Wagony / Utworzył: Roesner Mateusz
</t>
  </si>
  <si>
    <t xml:space="preserve">H-0094</t>
  </si>
  <si>
    <t xml:space="preserve">PZ/22</t>
  </si>
  <si>
    <t xml:space="preserve">H-0095</t>
  </si>
  <si>
    <t xml:space="preserve">H-0096</t>
  </si>
  <si>
    <t xml:space="preserve">H-0097</t>
  </si>
  <si>
    <t xml:space="preserve">PZ/23</t>
  </si>
  <si>
    <t xml:space="preserve">H-0098</t>
  </si>
  <si>
    <t xml:space="preserve">H-0099</t>
  </si>
  <si>
    <t xml:space="preserve">H-0100</t>
  </si>
  <si>
    <t xml:space="preserve">MM-47</t>
  </si>
  <si>
    <t xml:space="preserve">H-0101</t>
  </si>
  <si>
    <t xml:space="preserve">MM-48</t>
  </si>
  <si>
    <t xml:space="preserve">H-0102</t>
  </si>
  <si>
    <t xml:space="preserve">PZ/14/D</t>
  </si>
  <si>
    <t xml:space="preserve">Waga 23,560t /Utworzył: Roesner Mateusz</t>
  </si>
  <si>
    <t xml:space="preserve">H-0103</t>
  </si>
  <si>
    <t xml:space="preserve">PZ/15/D</t>
  </si>
  <si>
    <t xml:space="preserve">Waga b/d / Utworzył: Roesner Mateusz
</t>
  </si>
  <si>
    <t xml:space="preserve">H-0104</t>
  </si>
  <si>
    <t xml:space="preserve">NDL Chrzanów, Leśnictwo Szczakowa</t>
  </si>
  <si>
    <t xml:space="preserve">PZ/24  11/202624975/6098</t>
  </si>
  <si>
    <t xml:space="preserve">H-0105</t>
  </si>
  <si>
    <t xml:space="preserve">PZ/24</t>
  </si>
  <si>
    <t xml:space="preserve">H-0106</t>
  </si>
  <si>
    <t xml:space="preserve">Jaworzno</t>
  </si>
  <si>
    <t xml:space="preserve">H-0107</t>
  </si>
  <si>
    <t xml:space="preserve">PZ/16/D</t>
  </si>
  <si>
    <t xml:space="preserve">H-0108</t>
  </si>
  <si>
    <t xml:space="preserve">MM-49</t>
  </si>
  <si>
    <t xml:space="preserve">H-0109</t>
  </si>
  <si>
    <t xml:space="preserve">MM-50</t>
  </si>
  <si>
    <t xml:space="preserve">H-0110</t>
  </si>
  <si>
    <t xml:space="preserve">PZ/25  11/202624975/6100</t>
  </si>
  <si>
    <t xml:space="preserve">H-0111</t>
  </si>
  <si>
    <t xml:space="preserve">PZ/25</t>
  </si>
  <si>
    <t xml:space="preserve">H-0112</t>
  </si>
  <si>
    <t xml:space="preserve">H-0113</t>
  </si>
  <si>
    <t xml:space="preserve">PZ/26  11/202624975/6101</t>
  </si>
  <si>
    <t xml:space="preserve">H-0114</t>
  </si>
  <si>
    <t xml:space="preserve">PZ/26</t>
  </si>
  <si>
    <t xml:space="preserve">H-0115</t>
  </si>
  <si>
    <t xml:space="preserve">H-0116</t>
  </si>
  <si>
    <t xml:space="preserve">PZ/27  11/202624975/6103</t>
  </si>
  <si>
    <t xml:space="preserve">H-0117</t>
  </si>
  <si>
    <t xml:space="preserve">PZ/27</t>
  </si>
  <si>
    <t xml:space="preserve">H-0118</t>
  </si>
  <si>
    <t xml:space="preserve">H-0119</t>
  </si>
  <si>
    <t xml:space="preserve">PZ/28  11/202624975/6099</t>
  </si>
  <si>
    <t xml:space="preserve">H-0120</t>
  </si>
  <si>
    <t xml:space="preserve">PZ/28</t>
  </si>
  <si>
    <t xml:space="preserve">H-0121</t>
  </si>
  <si>
    <t xml:space="preserve">H-0122</t>
  </si>
  <si>
    <t xml:space="preserve">PZ/29  11/202624975/6102</t>
  </si>
  <si>
    <t xml:space="preserve">H-0123</t>
  </si>
  <si>
    <t xml:space="preserve">PZ/29</t>
  </si>
  <si>
    <t xml:space="preserve">H-0124</t>
  </si>
  <si>
    <t xml:space="preserve">H-0125</t>
  </si>
  <si>
    <t xml:space="preserve">PZ/17/D</t>
  </si>
  <si>
    <t xml:space="preserve">H-0126</t>
  </si>
  <si>
    <t xml:space="preserve">PZ/18/D</t>
  </si>
  <si>
    <t xml:space="preserve">H-0127</t>
  </si>
  <si>
    <t xml:space="preserve">PZ/19/D</t>
  </si>
  <si>
    <t xml:space="preserve">H-0128</t>
  </si>
  <si>
    <t xml:space="preserve">PZ/20/D</t>
  </si>
  <si>
    <t xml:space="preserve">H-0129</t>
  </si>
  <si>
    <t xml:space="preserve">PZ/21/D</t>
  </si>
  <si>
    <t xml:space="preserve">H-0130</t>
  </si>
  <si>
    <t xml:space="preserve">PZ/22/D</t>
  </si>
  <si>
    <t xml:space="preserve">H-0131</t>
  </si>
  <si>
    <t xml:space="preserve">PZ/30</t>
  </si>
  <si>
    <t xml:space="preserve">H-0132</t>
  </si>
  <si>
    <t xml:space="preserve">H-0133</t>
  </si>
  <si>
    <t xml:space="preserve">H-0134</t>
  </si>
  <si>
    <t xml:space="preserve">PZ/23/D</t>
  </si>
  <si>
    <t xml:space="preserve">H-0135</t>
  </si>
  <si>
    <t xml:space="preserve">PZ/31</t>
  </si>
  <si>
    <t xml:space="preserve">75 mp / Utworzył: Roesner Mateusz</t>
  </si>
  <si>
    <t xml:space="preserve">H-0136</t>
  </si>
  <si>
    <t xml:space="preserve">PZ/32</t>
  </si>
  <si>
    <t xml:space="preserve">82 mp / Utworzył: Roesner Mateusz</t>
  </si>
  <si>
    <t xml:space="preserve">H-0137</t>
  </si>
  <si>
    <t xml:space="preserve">PZ/33</t>
  </si>
  <si>
    <t xml:space="preserve">78 mp / Utworzył: Roesner Mateusz</t>
  </si>
  <si>
    <t xml:space="preserve">H-0138</t>
  </si>
  <si>
    <t xml:space="preserve">PZ/34</t>
  </si>
  <si>
    <t xml:space="preserve">H-0139</t>
  </si>
  <si>
    <t xml:space="preserve">PZ/35</t>
  </si>
  <si>
    <t xml:space="preserve">H-0140</t>
  </si>
  <si>
    <t xml:space="preserve">PZ/3/ŁN</t>
  </si>
  <si>
    <t xml:space="preserve">43 Wagony / Utworzył: Roesner Mateusz
</t>
  </si>
  <si>
    <t xml:space="preserve">H-0141</t>
  </si>
  <si>
    <t xml:space="preserve">Grandpol</t>
  </si>
  <si>
    <t xml:space="preserve">PZ/36</t>
  </si>
  <si>
    <t xml:space="preserve">H-0142</t>
  </si>
  <si>
    <t xml:space="preserve">H-0143</t>
  </si>
  <si>
    <t xml:space="preserve">Ściborzyce</t>
  </si>
  <si>
    <t xml:space="preserve">H-0144</t>
  </si>
  <si>
    <t xml:space="preserve">PZ/37</t>
  </si>
  <si>
    <t xml:space="preserve">H-0145</t>
  </si>
  <si>
    <t xml:space="preserve">H-0146</t>
  </si>
  <si>
    <t xml:space="preserve">H-0147</t>
  </si>
  <si>
    <t xml:space="preserve">PZ/38</t>
  </si>
  <si>
    <t xml:space="preserve">H-0148</t>
  </si>
  <si>
    <t xml:space="preserve">H-0149</t>
  </si>
  <si>
    <t xml:space="preserve">H-0150</t>
  </si>
  <si>
    <t xml:space="preserve">PZ/39</t>
  </si>
  <si>
    <t xml:space="preserve">H-0151</t>
  </si>
  <si>
    <t xml:space="preserve">H-0152</t>
  </si>
  <si>
    <t xml:space="preserve">H-0153</t>
  </si>
  <si>
    <t xml:space="preserve">H-0154</t>
  </si>
  <si>
    <t xml:space="preserve">PZ/24/D</t>
  </si>
  <si>
    <t xml:space="preserve">H-0155</t>
  </si>
  <si>
    <t xml:space="preserve">PZ/25/D</t>
  </si>
  <si>
    <t xml:space="preserve">H-0156</t>
  </si>
  <si>
    <t xml:space="preserve">MM-51</t>
  </si>
  <si>
    <t xml:space="preserve">H-0157</t>
  </si>
  <si>
    <t xml:space="preserve">PZ/40</t>
  </si>
  <si>
    <t xml:space="preserve">H-0158</t>
  </si>
  <si>
    <t xml:space="preserve">H-0159</t>
  </si>
  <si>
    <t xml:space="preserve">Głubczyce</t>
  </si>
  <si>
    <t xml:space="preserve">H-0160</t>
  </si>
  <si>
    <t xml:space="preserve">PZ/41</t>
  </si>
  <si>
    <t xml:space="preserve">H-0161</t>
  </si>
  <si>
    <t xml:space="preserve">H-0162</t>
  </si>
  <si>
    <t xml:space="preserve">H-0163</t>
  </si>
  <si>
    <t xml:space="preserve">H-0164</t>
  </si>
  <si>
    <t xml:space="preserve">PZ/42</t>
  </si>
  <si>
    <t xml:space="preserve">H-0165</t>
  </si>
  <si>
    <t xml:space="preserve">H-0166</t>
  </si>
  <si>
    <t xml:space="preserve">Kwiatniów</t>
  </si>
  <si>
    <t xml:space="preserve">H-0167</t>
  </si>
  <si>
    <t xml:space="preserve">PZ/43</t>
  </si>
  <si>
    <t xml:space="preserve">H-0168</t>
  </si>
  <si>
    <t xml:space="preserve">H-0169</t>
  </si>
  <si>
    <t xml:space="preserve">H-0170</t>
  </si>
  <si>
    <t xml:space="preserve">H-0171</t>
  </si>
  <si>
    <t xml:space="preserve">PZ/44</t>
  </si>
  <si>
    <t xml:space="preserve">H-0172</t>
  </si>
  <si>
    <t xml:space="preserve">H-0173</t>
  </si>
  <si>
    <t xml:space="preserve">H-0174</t>
  </si>
  <si>
    <t xml:space="preserve">PZ/45</t>
  </si>
  <si>
    <t xml:space="preserve">H-0175</t>
  </si>
  <si>
    <t xml:space="preserve">H-0176</t>
  </si>
  <si>
    <t xml:space="preserve">H-0177</t>
  </si>
  <si>
    <t xml:space="preserve">PZ/26/D</t>
  </si>
  <si>
    <t xml:space="preserve">H-0178</t>
  </si>
  <si>
    <t xml:space="preserve">MM-52</t>
  </si>
  <si>
    <t xml:space="preserve">H-0179</t>
  </si>
  <si>
    <t xml:space="preserve">MM-53</t>
  </si>
  <si>
    <t xml:space="preserve">Kurs z 1 kontenerem.
Utworzył: Roesner Mateusz</t>
  </si>
  <si>
    <t xml:space="preserve">H-0180</t>
  </si>
  <si>
    <t xml:space="preserve">NDL Chrzanów, Leśnictwo Chełmek</t>
  </si>
  <si>
    <t xml:space="preserve">PZ/46</t>
  </si>
  <si>
    <t xml:space="preserve">H-0181</t>
  </si>
  <si>
    <t xml:space="preserve">H-0182</t>
  </si>
  <si>
    <t xml:space="preserve">Chrzanów</t>
  </si>
  <si>
    <t xml:space="preserve">PZ/46  2/202624966/6105</t>
  </si>
  <si>
    <t xml:space="preserve">H-0183</t>
  </si>
  <si>
    <t xml:space="preserve">PZ/47</t>
  </si>
  <si>
    <t xml:space="preserve">H-0184</t>
  </si>
  <si>
    <t xml:space="preserve">H-0185</t>
  </si>
  <si>
    <t xml:space="preserve">PZ/47  2/202624966/6107</t>
  </si>
  <si>
    <t xml:space="preserve">H-0186</t>
  </si>
  <si>
    <t xml:space="preserve">PZ/48</t>
  </si>
  <si>
    <t xml:space="preserve">H-0187</t>
  </si>
  <si>
    <t xml:space="preserve">H-0188</t>
  </si>
  <si>
    <t xml:space="preserve">PZ/478 2/202624966/6106</t>
  </si>
  <si>
    <t xml:space="preserve">H-0189</t>
  </si>
  <si>
    <t xml:space="preserve">H-0190</t>
  </si>
  <si>
    <t xml:space="preserve">PZ/27/D</t>
  </si>
  <si>
    <t xml:space="preserve">H-0191</t>
  </si>
  <si>
    <t xml:space="preserve">PZ/49</t>
  </si>
  <si>
    <t xml:space="preserve">H-0192</t>
  </si>
  <si>
    <t xml:space="preserve">H-0193</t>
  </si>
  <si>
    <t xml:space="preserve">PZ/49  2/202624966/6108</t>
  </si>
  <si>
    <t xml:space="preserve">SK 4K626</t>
  </si>
  <si>
    <t xml:space="preserve">H-0194</t>
  </si>
  <si>
    <t xml:space="preserve">NDL Chrzanów, Leśnictwo Płoki</t>
  </si>
  <si>
    <t xml:space="preserve">PZ/50</t>
  </si>
  <si>
    <t xml:space="preserve">H-0195</t>
  </si>
  <si>
    <t xml:space="preserve">H-0196</t>
  </si>
  <si>
    <t xml:space="preserve">PZ/50  5/202624969/6081</t>
  </si>
  <si>
    <t xml:space="preserve">H-0197</t>
  </si>
  <si>
    <t xml:space="preserve">PZ/51</t>
  </si>
  <si>
    <t xml:space="preserve">H-0198</t>
  </si>
  <si>
    <t xml:space="preserve">H-0199</t>
  </si>
  <si>
    <t xml:space="preserve">PZ/51  5/202624969/6082</t>
  </si>
  <si>
    <t xml:space="preserve">H-0200</t>
  </si>
  <si>
    <t xml:space="preserve">PZ/52</t>
  </si>
  <si>
    <t xml:space="preserve">H-0201</t>
  </si>
  <si>
    <t xml:space="preserve">H-0202</t>
  </si>
  <si>
    <t xml:space="preserve">PZ/52  5/202624969/6083</t>
  </si>
  <si>
    <t xml:space="preserve">H-0203</t>
  </si>
  <si>
    <t xml:space="preserve">PZ/53</t>
  </si>
  <si>
    <t xml:space="preserve">H-0204</t>
  </si>
  <si>
    <t xml:space="preserve">H-0205</t>
  </si>
  <si>
    <t xml:space="preserve">PZ/53  5/202624969/6084</t>
  </si>
  <si>
    <t xml:space="preserve">H-0206</t>
  </si>
  <si>
    <t xml:space="preserve">PZ/4/ŁN</t>
  </si>
  <si>
    <t xml:space="preserve">23 Wagony Łupiny Nerkowca / Utworzył: Roesner Mateusz</t>
  </si>
  <si>
    <t xml:space="preserve">H-0207</t>
  </si>
  <si>
    <t xml:space="preserve">PKS</t>
  </si>
  <si>
    <t xml:space="preserve">9 Wagonów + 1 dziurawy (pusty) / Utworzył: Roesner Mateusz
</t>
  </si>
  <si>
    <t xml:space="preserve">H-0208</t>
  </si>
  <si>
    <t xml:space="preserve">CNSC</t>
  </si>
  <si>
    <t xml:space="preserve">9 Wagonów + 1 dziurawy (pusty) / Utworzył: Roesner Mateusz</t>
  </si>
  <si>
    <t xml:space="preserve">H-0209</t>
  </si>
  <si>
    <t xml:space="preserve">PZ/28/D</t>
  </si>
  <si>
    <t xml:space="preserve">H-0210</t>
  </si>
  <si>
    <t xml:space="preserve">MM-54</t>
  </si>
  <si>
    <t xml:space="preserve">H-0211</t>
  </si>
  <si>
    <t xml:space="preserve">PZ/54  5/20264969/6088</t>
  </si>
  <si>
    <t xml:space="preserve">H-0212</t>
  </si>
  <si>
    <t xml:space="preserve">PZ/54</t>
  </si>
  <si>
    <t xml:space="preserve">H-0213</t>
  </si>
  <si>
    <t xml:space="preserve">H-0214</t>
  </si>
  <si>
    <t xml:space="preserve">PZ/55  5/26264969/6089</t>
  </si>
  <si>
    <t xml:space="preserve">H-0215</t>
  </si>
  <si>
    <t xml:space="preserve">PZ/55</t>
  </si>
  <si>
    <t xml:space="preserve">H-0216</t>
  </si>
  <si>
    <t xml:space="preserve">H-0217</t>
  </si>
  <si>
    <t xml:space="preserve">PZ/56</t>
  </si>
  <si>
    <t xml:space="preserve">H-0218</t>
  </si>
  <si>
    <t xml:space="preserve">H-0219</t>
  </si>
  <si>
    <t xml:space="preserve">SK 5L809</t>
  </si>
  <si>
    <t xml:space="preserve">H-0220</t>
  </si>
  <si>
    <t xml:space="preserve">NDL Siewierz, Leśnictwo Mitręga</t>
  </si>
  <si>
    <t xml:space="preserve">PZ/57  1/20263368/6070</t>
  </si>
  <si>
    <t xml:space="preserve">H-0221</t>
  </si>
  <si>
    <t xml:space="preserve">PZ/57</t>
  </si>
  <si>
    <t xml:space="preserve">H-0222</t>
  </si>
  <si>
    <t xml:space="preserve">Mitręga</t>
  </si>
  <si>
    <t xml:space="preserve">H-0223</t>
  </si>
  <si>
    <t xml:space="preserve">PZ/58  1/20263368/6071</t>
  </si>
  <si>
    <t xml:space="preserve">H-0224</t>
  </si>
  <si>
    <t xml:space="preserve">PZ/58</t>
  </si>
  <si>
    <t xml:space="preserve">H-0225</t>
  </si>
  <si>
    <t xml:space="preserve">H-0226</t>
  </si>
  <si>
    <t xml:space="preserve">PZ/59  1/20263368/6072</t>
  </si>
  <si>
    <t xml:space="preserve">H-0227</t>
  </si>
  <si>
    <t xml:space="preserve">PZ/59</t>
  </si>
  <si>
    <t xml:space="preserve">H-0228</t>
  </si>
  <si>
    <t xml:space="preserve">H-0229</t>
  </si>
  <si>
    <t xml:space="preserve">PZ/60</t>
  </si>
  <si>
    <t xml:space="preserve">H-0230</t>
  </si>
  <si>
    <t xml:space="preserve">H-0231</t>
  </si>
  <si>
    <t xml:space="preserve">H-0232</t>
  </si>
  <si>
    <t xml:space="preserve">PZ/61  1/202623368/6075</t>
  </si>
  <si>
    <t xml:space="preserve">H-0233</t>
  </si>
  <si>
    <t xml:space="preserve">PZ/61</t>
  </si>
  <si>
    <t xml:space="preserve">H-0234</t>
  </si>
  <si>
    <t xml:space="preserve">Utworzył: Roesner Mateusz
</t>
  </si>
  <si>
    <t xml:space="preserve">H-0235</t>
  </si>
  <si>
    <t xml:space="preserve">PZ/62  1/202623368/6076</t>
  </si>
  <si>
    <t xml:space="preserve">H-0236</t>
  </si>
  <si>
    <t xml:space="preserve">PZ/62</t>
  </si>
  <si>
    <t xml:space="preserve">H-0237</t>
  </si>
  <si>
    <t xml:space="preserve">H-0238</t>
  </si>
  <si>
    <t xml:space="preserve">PZ/126  1/202623368/6073</t>
  </si>
  <si>
    <t xml:space="preserve">Utworzył: Roesner Mateusz
Produkcja z 04.05.2026r.
</t>
  </si>
  <si>
    <t xml:space="preserve">H-0239</t>
  </si>
  <si>
    <t xml:space="preserve">PZ/126</t>
  </si>
  <si>
    <t xml:space="preserve">Utworzył: Roesner Mateusz
Produkcja z 04.05.2026r.</t>
  </si>
  <si>
    <t xml:space="preserve">H-0240</t>
  </si>
  <si>
    <t xml:space="preserve">Zrzyna</t>
  </si>
  <si>
    <t xml:space="preserve">własny (Łukasz Wojciechowski)</t>
  </si>
  <si>
    <t xml:space="preserve">SK 4K625</t>
  </si>
  <si>
    <t xml:space="preserve">H-0241</t>
  </si>
  <si>
    <t xml:space="preserve">PZ/29/D</t>
  </si>
  <si>
    <t xml:space="preserve">H-0242</t>
  </si>
  <si>
    <t xml:space="preserve">PZ/30/D</t>
  </si>
  <si>
    <t xml:space="preserve">H-0243</t>
  </si>
  <si>
    <t xml:space="preserve">MM-55</t>
  </si>
  <si>
    <t xml:space="preserve">H-0244</t>
  </si>
  <si>
    <t xml:space="preserve">SPRZEDAŻ</t>
  </si>
  <si>
    <t xml:space="preserve">WZ-1</t>
  </si>
  <si>
    <t xml:space="preserve">Re Alloys, Łaziska</t>
  </si>
  <si>
    <t xml:space="preserve">H-0245</t>
  </si>
  <si>
    <t xml:space="preserve">MM-56</t>
  </si>
  <si>
    <t xml:space="preserve">H-0246</t>
  </si>
  <si>
    <t xml:space="preserve">WZ-2</t>
  </si>
  <si>
    <t xml:space="preserve">H-0247</t>
  </si>
  <si>
    <t xml:space="preserve">MM-57</t>
  </si>
  <si>
    <t xml:space="preserve">H-0248</t>
  </si>
  <si>
    <t xml:space="preserve">WZ-3</t>
  </si>
  <si>
    <t xml:space="preserve">H-0249</t>
  </si>
  <si>
    <t xml:space="preserve">MM-58</t>
  </si>
  <si>
    <t xml:space="preserve">H-0250</t>
  </si>
  <si>
    <t xml:space="preserve">WZ-4</t>
  </si>
  <si>
    <t xml:space="preserve">H-0251</t>
  </si>
  <si>
    <t xml:space="preserve">MM-59</t>
  </si>
  <si>
    <t xml:space="preserve">H-0252</t>
  </si>
  <si>
    <t xml:space="preserve">WZ-5</t>
  </si>
  <si>
    <t xml:space="preserve">H-0253</t>
  </si>
  <si>
    <t xml:space="preserve">MM-60</t>
  </si>
  <si>
    <t xml:space="preserve">SK 5K809</t>
  </si>
  <si>
    <t xml:space="preserve">H-0254</t>
  </si>
  <si>
    <t xml:space="preserve">WZ-6</t>
  </si>
  <si>
    <t xml:space="preserve">H-0255</t>
  </si>
  <si>
    <t xml:space="preserve">MM-61</t>
  </si>
  <si>
    <t xml:space="preserve">H-0256</t>
  </si>
  <si>
    <t xml:space="preserve">WZ-7</t>
  </si>
  <si>
    <t xml:space="preserve">H-0257</t>
  </si>
  <si>
    <t xml:space="preserve">MM-62</t>
  </si>
  <si>
    <t xml:space="preserve">H-0258</t>
  </si>
  <si>
    <t xml:space="preserve">WZ-8</t>
  </si>
  <si>
    <t xml:space="preserve">H-0259</t>
  </si>
  <si>
    <t xml:space="preserve">MM-63</t>
  </si>
  <si>
    <t xml:space="preserve">H-0260</t>
  </si>
  <si>
    <t xml:space="preserve">WZ-9</t>
  </si>
  <si>
    <t xml:space="preserve">H-0261</t>
  </si>
  <si>
    <t xml:space="preserve">MM-64</t>
  </si>
  <si>
    <t xml:space="preserve">H-0262</t>
  </si>
  <si>
    <t xml:space="preserve">WZ-10</t>
  </si>
  <si>
    <t xml:space="preserve">H-0263</t>
  </si>
  <si>
    <t xml:space="preserve">MM-65</t>
  </si>
  <si>
    <t xml:space="preserve">H-0264</t>
  </si>
  <si>
    <t xml:space="preserve">WZ-11</t>
  </si>
  <si>
    <t xml:space="preserve">H-0265</t>
  </si>
  <si>
    <t xml:space="preserve">MM-66</t>
  </si>
  <si>
    <t xml:space="preserve">H-0266</t>
  </si>
  <si>
    <t xml:space="preserve">WZ-12</t>
  </si>
  <si>
    <t xml:space="preserve">H-0267</t>
  </si>
  <si>
    <t xml:space="preserve">MM-67</t>
  </si>
  <si>
    <t xml:space="preserve">H-0268</t>
  </si>
  <si>
    <t xml:space="preserve">WZ-13</t>
  </si>
  <si>
    <t xml:space="preserve">H-0269</t>
  </si>
  <si>
    <t xml:space="preserve">MM-68</t>
  </si>
  <si>
    <t xml:space="preserve">H-0270</t>
  </si>
  <si>
    <t xml:space="preserve">WZ-14</t>
  </si>
  <si>
    <t xml:space="preserve">H-0271</t>
  </si>
  <si>
    <t xml:space="preserve">MM-69</t>
  </si>
  <si>
    <t xml:space="preserve">H-0272</t>
  </si>
  <si>
    <t xml:space="preserve">WZ-15</t>
  </si>
  <si>
    <t xml:space="preserve">H-0273</t>
  </si>
  <si>
    <t xml:space="preserve">MM-70</t>
  </si>
  <si>
    <t xml:space="preserve">H-0274</t>
  </si>
  <si>
    <t xml:space="preserve">WZ-16</t>
  </si>
  <si>
    <t xml:space="preserve">H-0275</t>
  </si>
  <si>
    <t xml:space="preserve">PZ/5/ŁN</t>
  </si>
  <si>
    <t xml:space="preserve">CNCS</t>
  </si>
  <si>
    <t xml:space="preserve">43 wagony
Utworzył: Marcin Kwiatkowski</t>
  </si>
  <si>
    <t xml:space="preserve">H-0276</t>
  </si>
  <si>
    <t xml:space="preserve">MM-71</t>
  </si>
  <si>
    <t xml:space="preserve">Utworzył: Marcin Kwiatkowski</t>
  </si>
  <si>
    <t xml:space="preserve">H-0277</t>
  </si>
  <si>
    <t xml:space="preserve">WZ-17</t>
  </si>
  <si>
    <t xml:space="preserve">H-0278</t>
  </si>
  <si>
    <t xml:space="preserve">MM-72</t>
  </si>
  <si>
    <t xml:space="preserve">H-0279</t>
  </si>
  <si>
    <t xml:space="preserve">WZ-18</t>
  </si>
  <si>
    <t xml:space="preserve">H-0280</t>
  </si>
  <si>
    <t xml:space="preserve">MM-73</t>
  </si>
  <si>
    <t xml:space="preserve">H-0281</t>
  </si>
  <si>
    <t xml:space="preserve">WZ-19</t>
  </si>
  <si>
    <t xml:space="preserve">H-0282</t>
  </si>
  <si>
    <t xml:space="preserve">Magazyn Brąszewice</t>
  </si>
  <si>
    <t xml:space="preserve">MM-74</t>
  </si>
  <si>
    <t xml:space="preserve">Zrębka Produkcyjna Drzewna</t>
  </si>
  <si>
    <t xml:space="preserve">H-0283</t>
  </si>
  <si>
    <t xml:space="preserve">PZ/31/D</t>
  </si>
  <si>
    <t xml:space="preserve">H-0284</t>
  </si>
  <si>
    <t xml:space="preserve">PZ/32/D</t>
  </si>
  <si>
    <t xml:space="preserve">Waga: 21 940 kg
Utworzył: Marcin Kwiatkowski</t>
  </si>
  <si>
    <t xml:space="preserve">H-0285</t>
  </si>
  <si>
    <t xml:space="preserve">NDL Chrzanów, Leśnictwo Mętków</t>
  </si>
  <si>
    <t xml:space="preserve">PZ/63  3/202624967/6162</t>
  </si>
  <si>
    <t xml:space="preserve">Waga: 23 180 kg
Utworzył: Marcin Kwiatkowski</t>
  </si>
  <si>
    <t xml:space="preserve">H-0286</t>
  </si>
  <si>
    <t xml:space="preserve">PZ/63</t>
  </si>
  <si>
    <t xml:space="preserve">Rębak z Brąszewic, rębakowy Łukasz Kempski
Utworzył: Marcin Kwiatkowski</t>
  </si>
  <si>
    <t xml:space="preserve">H-0287</t>
  </si>
  <si>
    <t xml:space="preserve">Mętków</t>
  </si>
  <si>
    <t xml:space="preserve">Urworzył: Marcin Kwiatkowski</t>
  </si>
  <si>
    <t xml:space="preserve">H-0288</t>
  </si>
  <si>
    <t xml:space="preserve">PZ/64   3/202624967/6166</t>
  </si>
  <si>
    <t xml:space="preserve">Waga: 22 020 kg
Utworzył: Marcin Kwiatkowski</t>
  </si>
  <si>
    <t xml:space="preserve">H-0289</t>
  </si>
  <si>
    <t xml:space="preserve">PZ/64</t>
  </si>
  <si>
    <t xml:space="preserve">H-0290</t>
  </si>
  <si>
    <t xml:space="preserve">H-0291</t>
  </si>
  <si>
    <t xml:space="preserve">PZ/65   3/202624967/6163</t>
  </si>
  <si>
    <t xml:space="preserve">Waga: 26280
Utworzył: Marcin Kwiatkowski</t>
  </si>
  <si>
    <t xml:space="preserve">H-0292</t>
  </si>
  <si>
    <t xml:space="preserve">PZ/65</t>
  </si>
  <si>
    <t xml:space="preserve">H-0293</t>
  </si>
  <si>
    <t xml:space="preserve">H-0294</t>
  </si>
  <si>
    <t xml:space="preserve">PZ/66   3/202624967/6168</t>
  </si>
  <si>
    <t xml:space="preserve">Waga: 24 240 kg
Utworzył: Marcin Kwiatkowski</t>
  </si>
  <si>
    <t xml:space="preserve">H-0295</t>
  </si>
  <si>
    <t xml:space="preserve">PZ/66</t>
  </si>
  <si>
    <t xml:space="preserve">H-0296</t>
  </si>
  <si>
    <t xml:space="preserve">H-0297</t>
  </si>
  <si>
    <t xml:space="preserve">PZ/67   3/202624967/6165</t>
  </si>
  <si>
    <t xml:space="preserve">Waga: 23 880 kg
Utworzył: Marcin Kwiatkowski</t>
  </si>
  <si>
    <t xml:space="preserve">H-0298</t>
  </si>
  <si>
    <t xml:space="preserve">PZ/67</t>
  </si>
  <si>
    <t xml:space="preserve">Rębak z Brąszewic, rębakowy Łukasz Kempski
Utworzył: Marcin Kwiatkowski
</t>
  </si>
  <si>
    <t xml:space="preserve">H-0299</t>
  </si>
  <si>
    <t xml:space="preserve">H-0300</t>
  </si>
  <si>
    <t xml:space="preserve">PZ/68   3/202624967/6168</t>
  </si>
  <si>
    <t xml:space="preserve">Waga: 22 260 kg
Utworzył: Marcin Kwiatkowski</t>
  </si>
  <si>
    <t xml:space="preserve">H-0301</t>
  </si>
  <si>
    <t xml:space="preserve">PZ/68</t>
  </si>
  <si>
    <t xml:space="preserve">H-0302</t>
  </si>
  <si>
    <t xml:space="preserve">H-0303</t>
  </si>
  <si>
    <t xml:space="preserve">GWood</t>
  </si>
  <si>
    <t xml:space="preserve">PZ/69   WZ 01/08/26</t>
  </si>
  <si>
    <t xml:space="preserve">H-0304</t>
  </si>
  <si>
    <t xml:space="preserve">NDL Świerklaniec, Leśnictwo Mieczysko</t>
  </si>
  <si>
    <t xml:space="preserve">PZ/70   202632708/6668</t>
  </si>
  <si>
    <t xml:space="preserve">Waga: 23 140 kg
Utworzył: Marcin Kwiatkowski</t>
  </si>
  <si>
    <t xml:space="preserve">H-0305</t>
  </si>
  <si>
    <t xml:space="preserve">PZ/70</t>
  </si>
  <si>
    <t xml:space="preserve">H-0306</t>
  </si>
  <si>
    <t xml:space="preserve">Mieczysko</t>
  </si>
  <si>
    <t xml:space="preserve">H-0307</t>
  </si>
  <si>
    <t xml:space="preserve">PZ/71   3/202632708/6667</t>
  </si>
  <si>
    <t xml:space="preserve">Waga: 24 700 kg
Utworzył: Marcin Kwiatkowski</t>
  </si>
  <si>
    <t xml:space="preserve">H-0308</t>
  </si>
  <si>
    <t xml:space="preserve">PZ/71</t>
  </si>
  <si>
    <t xml:space="preserve">H-0309</t>
  </si>
  <si>
    <t xml:space="preserve">H-0310</t>
  </si>
  <si>
    <t xml:space="preserve">PZ/72   3/2026/32708/6666</t>
  </si>
  <si>
    <t xml:space="preserve">Waga: 22 780 kg
Utworzył Marcin Kwiatkowski</t>
  </si>
  <si>
    <t xml:space="preserve">H-0311</t>
  </si>
  <si>
    <t xml:space="preserve">PZ/72</t>
  </si>
  <si>
    <t xml:space="preserve">H-0312</t>
  </si>
  <si>
    <t xml:space="preserve">H-0313</t>
  </si>
  <si>
    <t xml:space="preserve">PZ/73   3/202632708/6669</t>
  </si>
  <si>
    <t xml:space="preserve">Waga: 22 480 kg
Utworzył: Marcin Kwiatkowski</t>
  </si>
  <si>
    <t xml:space="preserve">H-0314</t>
  </si>
  <si>
    <t xml:space="preserve">PZ/73</t>
  </si>
  <si>
    <t xml:space="preserve">H-0315</t>
  </si>
  <si>
    <t xml:space="preserve">H-0316</t>
  </si>
  <si>
    <t xml:space="preserve">PZ/33/D</t>
  </si>
  <si>
    <t xml:space="preserve">H-0317</t>
  </si>
  <si>
    <t xml:space="preserve">PZ/34/D</t>
  </si>
  <si>
    <t xml:space="preserve">H-0318</t>
  </si>
  <si>
    <t xml:space="preserve">PZ/35/D</t>
  </si>
  <si>
    <t xml:space="preserve">H-0319</t>
  </si>
  <si>
    <t xml:space="preserve">PZ/74</t>
  </si>
  <si>
    <t xml:space="preserve">85 mp
Utworzył: Marcin Kwiatkowski</t>
  </si>
  <si>
    <t xml:space="preserve">H-0320</t>
  </si>
  <si>
    <t xml:space="preserve">PZ/75</t>
  </si>
  <si>
    <t xml:space="preserve">75 mp
Utworzył: Marcin Kwiatkowski</t>
  </si>
  <si>
    <t xml:space="preserve">H-0321</t>
  </si>
  <si>
    <t xml:space="preserve">PZ/36/D</t>
  </si>
  <si>
    <t xml:space="preserve">H-0322</t>
  </si>
  <si>
    <t xml:space="preserve">PZ/37/D</t>
  </si>
  <si>
    <t xml:space="preserve">Waga: 21 260 kg
Utworzył: Marcin Kwiatkowski</t>
  </si>
  <si>
    <t xml:space="preserve">H-0323</t>
  </si>
  <si>
    <t xml:space="preserve">Brąszewice</t>
  </si>
  <si>
    <t xml:space="preserve">MM-75</t>
  </si>
  <si>
    <t xml:space="preserve">Waga: 24 420 kg
Utworzył: Marcin Kwiatkowski</t>
  </si>
  <si>
    <t xml:space="preserve">H-0324</t>
  </si>
  <si>
    <t xml:space="preserve">MM-76</t>
  </si>
  <si>
    <t xml:space="preserve">własny (Adrian Wojciechowski)</t>
  </si>
  <si>
    <t xml:space="preserve">SK 5J756</t>
  </si>
  <si>
    <t xml:space="preserve">Kierowca z Brąszewic
Waga: 28 800 kg
Utwotzył: Marcin Kwiatkowski</t>
  </si>
  <si>
    <t xml:space="preserve">H-0325</t>
  </si>
  <si>
    <t xml:space="preserve">PZ/76   3/202632708/6671</t>
  </si>
  <si>
    <t xml:space="preserve">Waga: 22 880 kg
Utworzył: Marcin Kwiatkowski</t>
  </si>
  <si>
    <t xml:space="preserve">H-0326</t>
  </si>
  <si>
    <t xml:space="preserve">PZ/76</t>
  </si>
  <si>
    <t xml:space="preserve">H-0327</t>
  </si>
  <si>
    <t xml:space="preserve">H-0328</t>
  </si>
  <si>
    <t xml:space="preserve">PZ/77   3/202632708/6672</t>
  </si>
  <si>
    <t xml:space="preserve">Waga: 20 400 kg
Utworzył: Marcin Kwiatkowski</t>
  </si>
  <si>
    <t xml:space="preserve">H-0329</t>
  </si>
  <si>
    <t xml:space="preserve">PZ/77</t>
  </si>
  <si>
    <t xml:space="preserve">H-0330</t>
  </si>
  <si>
    <t xml:space="preserve">H-0331</t>
  </si>
  <si>
    <t xml:space="preserve">PZ/78   3/202632708/6673</t>
  </si>
  <si>
    <t xml:space="preserve">Waga: 21 340 kg
Utworzył: Marcin Kwiatkowski</t>
  </si>
  <si>
    <t xml:space="preserve">H-0332</t>
  </si>
  <si>
    <t xml:space="preserve">PZ/78</t>
  </si>
  <si>
    <t xml:space="preserve">H-0333</t>
  </si>
  <si>
    <t xml:space="preserve">H-0334</t>
  </si>
  <si>
    <t xml:space="preserve">PZ/79   3/202632708/6674</t>
  </si>
  <si>
    <t xml:space="preserve">Waga: 20 760 kg
Utworzył: Marcin Kwiatkowski</t>
  </si>
  <si>
    <t xml:space="preserve">H-0335</t>
  </si>
  <si>
    <t xml:space="preserve">PZ/79</t>
  </si>
  <si>
    <t xml:space="preserve">H-0336</t>
  </si>
  <si>
    <t xml:space="preserve">Kierowca z Brąszewic
Utworzył: Marcin Kwiatkowski</t>
  </si>
  <si>
    <t xml:space="preserve">H-0337</t>
  </si>
  <si>
    <t xml:space="preserve">PZ/80   3/202632708/6675</t>
  </si>
  <si>
    <t xml:space="preserve">Waga: 16 360 kg
Utworzył: Marcin Kwiatkowski</t>
  </si>
  <si>
    <t xml:space="preserve">H-0338</t>
  </si>
  <si>
    <t xml:space="preserve">PZ/80</t>
  </si>
  <si>
    <t xml:space="preserve">H-0339</t>
  </si>
  <si>
    <t xml:space="preserve">H-0340</t>
  </si>
  <si>
    <t xml:space="preserve">PZ/38/D</t>
  </si>
  <si>
    <t xml:space="preserve">Waga: 22 300 kg
Utworzył: Marcin Kwiatkowski</t>
  </si>
  <si>
    <t xml:space="preserve">H-0341</t>
  </si>
  <si>
    <t xml:space="preserve">PZ/39/D</t>
  </si>
  <si>
    <t xml:space="preserve">Waga: 22 400 kg
Utworzył: Marcin Kwiatkowski</t>
  </si>
  <si>
    <t xml:space="preserve">H-0342</t>
  </si>
  <si>
    <t xml:space="preserve">PZ/81</t>
  </si>
  <si>
    <t xml:space="preserve">Waga: 24 360 kg
Utworzył: Marcin Kwiatkowski</t>
  </si>
  <si>
    <t xml:space="preserve">H-0343</t>
  </si>
  <si>
    <t xml:space="preserve">H-0344</t>
  </si>
  <si>
    <t xml:space="preserve">H-0345</t>
  </si>
  <si>
    <t xml:space="preserve">PZ/82</t>
  </si>
  <si>
    <t xml:space="preserve">Waga: 22 420 kg
Utworzył: Marcin Kwiatkowski</t>
  </si>
  <si>
    <t xml:space="preserve">H-0346</t>
  </si>
  <si>
    <t xml:space="preserve">H-0347</t>
  </si>
  <si>
    <t xml:space="preserve">H-0348</t>
  </si>
  <si>
    <t xml:space="preserve">PZ/83</t>
  </si>
  <si>
    <t xml:space="preserve">Waga: 22 000 kg
Utworzył: Marcin Kwiatkowski</t>
  </si>
  <si>
    <t xml:space="preserve">H-0349</t>
  </si>
  <si>
    <t xml:space="preserve">H-0350</t>
  </si>
  <si>
    <t xml:space="preserve">H-0351</t>
  </si>
  <si>
    <t xml:space="preserve">PZ/84</t>
  </si>
  <si>
    <t xml:space="preserve">Waga: 22 760 kg
Utworzył: Marcin Kwiatkowski</t>
  </si>
  <si>
    <t xml:space="preserve">H-0352</t>
  </si>
  <si>
    <t xml:space="preserve">H-0353</t>
  </si>
  <si>
    <t xml:space="preserve">Kierowca z Brąszewic, jechał pojazdem Tomasza Kretka
Utworzył: Marcin Kwiatkowski
</t>
  </si>
  <si>
    <t xml:space="preserve">H-0354</t>
  </si>
  <si>
    <t xml:space="preserve">PZ/85</t>
  </si>
  <si>
    <t xml:space="preserve">Waga: 21 320 kg
Utworzył: Marcin Kwiatkowski</t>
  </si>
  <si>
    <t xml:space="preserve">H-0355</t>
  </si>
  <si>
    <t xml:space="preserve">H-0356</t>
  </si>
  <si>
    <t xml:space="preserve">H-0357</t>
  </si>
  <si>
    <t xml:space="preserve">PZ/86</t>
  </si>
  <si>
    <t xml:space="preserve">Waga: 24 080 kg
Utworzył: Marcin Kwiatkowski</t>
  </si>
  <si>
    <t xml:space="preserve">H-0358</t>
  </si>
  <si>
    <t xml:space="preserve">H-0359</t>
  </si>
  <si>
    <t xml:space="preserve">H-0360</t>
  </si>
  <si>
    <t xml:space="preserve">PZ/40/D</t>
  </si>
  <si>
    <t xml:space="preserve">Waga: 22 700 kg
Utworzył: Marcin Kwiatkowski</t>
  </si>
  <si>
    <t xml:space="preserve">H-0361</t>
  </si>
  <si>
    <t xml:space="preserve">PZ/41/D</t>
  </si>
  <si>
    <t xml:space="preserve">Waga: 20 940 kg
Utworzył: Marcin Kwiatkowski</t>
  </si>
  <si>
    <t xml:space="preserve">H-0362</t>
  </si>
  <si>
    <t xml:space="preserve">PZ/87</t>
  </si>
  <si>
    <t xml:space="preserve">Waga: 21 600 kg
Utworzył: Marcin Kwiatkowski</t>
  </si>
  <si>
    <t xml:space="preserve">H-0363</t>
  </si>
  <si>
    <t xml:space="preserve">H-0364</t>
  </si>
  <si>
    <t xml:space="preserve">H-0365</t>
  </si>
  <si>
    <t xml:space="preserve">PZ/88</t>
  </si>
  <si>
    <t xml:space="preserve">Waga: 17 740 kg
Utworzył: Marcin Kwiatkowski</t>
  </si>
  <si>
    <t xml:space="preserve">H-0366</t>
  </si>
  <si>
    <t xml:space="preserve">H-0367</t>
  </si>
  <si>
    <t xml:space="preserve">Kierowca z Brąszewic, jechał pojazdem Tomasza Kretka
Utworzył: Marcin Kwiatkowski</t>
  </si>
  <si>
    <t xml:space="preserve">H-0368</t>
  </si>
  <si>
    <t xml:space="preserve">PZ/89</t>
  </si>
  <si>
    <t xml:space="preserve">Waga: 24 500 kg
Utworzył: Marcin Kwiatkowski</t>
  </si>
  <si>
    <t xml:space="preserve">H-0369</t>
  </si>
  <si>
    <t xml:space="preserve">H-0370</t>
  </si>
  <si>
    <t xml:space="preserve">H-0371</t>
  </si>
  <si>
    <t xml:space="preserve">PZ/90</t>
  </si>
  <si>
    <t xml:space="preserve">Waga: 25 900 kg
Utworzył: Marcin Kwiatkowski</t>
  </si>
  <si>
    <t xml:space="preserve">H-0372</t>
  </si>
  <si>
    <t xml:space="preserve">H-0373</t>
  </si>
  <si>
    <t xml:space="preserve">H-0374</t>
  </si>
  <si>
    <t xml:space="preserve">PZ/42/D</t>
  </si>
  <si>
    <t xml:space="preserve">Waga: 25 140 kg
Utworzył: Marcin Kwiatkowski</t>
  </si>
  <si>
    <t xml:space="preserve">H-0375</t>
  </si>
  <si>
    <t xml:space="preserve">PZ/91</t>
  </si>
  <si>
    <t xml:space="preserve">22,54T
Utworzył: Marcin Kwiatkowski</t>
  </si>
  <si>
    <t xml:space="preserve">H-0376</t>
  </si>
  <si>
    <t xml:space="preserve">PZ/92</t>
  </si>
  <si>
    <t xml:space="preserve">Waga: 13 820 kg
Utworzył: Marcin Kwiatkowski</t>
  </si>
  <si>
    <t xml:space="preserve">H-0377</t>
  </si>
  <si>
    <t xml:space="preserve">H-0378</t>
  </si>
  <si>
    <t xml:space="preserve">PY 30536</t>
  </si>
  <si>
    <t xml:space="preserve">Brak informacji nt. kosztu transportu, kierowca z Lander Agro
Utworzył: Marcin Kwiatkowski</t>
  </si>
  <si>
    <t xml:space="preserve">H-0379</t>
  </si>
  <si>
    <t xml:space="preserve">PZ/93</t>
  </si>
  <si>
    <t xml:space="preserve">Waga: 19 480 kg
Utworzył: Marcin Kwiatkowski</t>
  </si>
  <si>
    <t xml:space="preserve">H-0380</t>
  </si>
  <si>
    <t xml:space="preserve">H-0381</t>
  </si>
  <si>
    <t xml:space="preserve">H-0382</t>
  </si>
  <si>
    <t xml:space="preserve">PZ/94</t>
  </si>
  <si>
    <t xml:space="preserve">Waga: 25 080 kg
Utworzył: Marcin Kwiatkowski</t>
  </si>
  <si>
    <t xml:space="preserve">H-0383</t>
  </si>
  <si>
    <t xml:space="preserve">H-0384</t>
  </si>
  <si>
    <t xml:space="preserve">H-0385</t>
  </si>
  <si>
    <t xml:space="preserve">PZ/95</t>
  </si>
  <si>
    <t xml:space="preserve">Waga: 13 300 kg
Utworzył: Marcin Kwiatkowski</t>
  </si>
  <si>
    <t xml:space="preserve">H-0386</t>
  </si>
  <si>
    <t xml:space="preserve">H-0387</t>
  </si>
  <si>
    <t xml:space="preserve">H-0388</t>
  </si>
  <si>
    <t xml:space="preserve">PZ/43/D</t>
  </si>
  <si>
    <t xml:space="preserve">Waga: 21 900 kg
Utworzył: Marcin Kwiatkowski</t>
  </si>
  <si>
    <t xml:space="preserve">H-0389</t>
  </si>
  <si>
    <t xml:space="preserve">PZ/96   3/202632708/6676</t>
  </si>
  <si>
    <t xml:space="preserve">H-0390</t>
  </si>
  <si>
    <t xml:space="preserve">PZ/96</t>
  </si>
  <si>
    <t xml:space="preserve">H-0391</t>
  </si>
  <si>
    <t xml:space="preserve">H-0392</t>
  </si>
  <si>
    <t xml:space="preserve">PZ/97   3/202632708/6677</t>
  </si>
  <si>
    <t xml:space="preserve">H-0393</t>
  </si>
  <si>
    <t xml:space="preserve">PZ/97</t>
  </si>
  <si>
    <t xml:space="preserve">H-0394</t>
  </si>
  <si>
    <t xml:space="preserve">H-0395</t>
  </si>
  <si>
    <t xml:space="preserve">PZ/98   3/202632708/6678</t>
  </si>
  <si>
    <t xml:space="preserve">Waga: 21 080 kg
Utworzył: Marcin Kwiatkowski</t>
  </si>
  <si>
    <t xml:space="preserve">H-0396</t>
  </si>
  <si>
    <t xml:space="preserve">PZ/98</t>
  </si>
  <si>
    <t xml:space="preserve">H-0397</t>
  </si>
  <si>
    <t xml:space="preserve">H-0398</t>
  </si>
  <si>
    <t xml:space="preserve">PZ/99</t>
  </si>
  <si>
    <t xml:space="preserve">Waga: 25,46 t
Utworzył: Marcin Kwiatkowski</t>
  </si>
  <si>
    <t xml:space="preserve">H-0399</t>
  </si>
  <si>
    <t xml:space="preserve">PZ/100  3/202624967/1074</t>
  </si>
  <si>
    <t xml:space="preserve">H-0400</t>
  </si>
  <si>
    <t xml:space="preserve">PZ/100</t>
  </si>
  <si>
    <t xml:space="preserve">H-0401</t>
  </si>
  <si>
    <t xml:space="preserve">H-0402</t>
  </si>
  <si>
    <t xml:space="preserve">NDL Chrzanów, Leśnictwo Mętków+Szczakowa</t>
  </si>
  <si>
    <t xml:space="preserve">PZ/101</t>
  </si>
  <si>
    <t xml:space="preserve">12 m3 (Mętków) + 4,22 m3 (Szczakowa)
Utworzył: Roesner Mateusz
</t>
  </si>
  <si>
    <t xml:space="preserve">H-0403</t>
  </si>
  <si>
    <t xml:space="preserve">PZ/101 </t>
  </si>
  <si>
    <t xml:space="preserve">12 m3 (Mętków 3/202624967/1073)
+ 4,22 m3 (Szczakowa 11/202624975/11181)
Utworzył: Roesner Mateusz
</t>
  </si>
  <si>
    <t xml:space="preserve">H-0404</t>
  </si>
  <si>
    <t xml:space="preserve">Mętków/Szczakowa</t>
  </si>
  <si>
    <t xml:space="preserve">H-0405</t>
  </si>
  <si>
    <t xml:space="preserve">PZ/102  2/202624966/6131</t>
  </si>
  <si>
    <t xml:space="preserve">H-0406</t>
  </si>
  <si>
    <t xml:space="preserve">PZ/102</t>
  </si>
  <si>
    <t xml:space="preserve">H-0407</t>
  </si>
  <si>
    <t xml:space="preserve">H-0408</t>
  </si>
  <si>
    <t xml:space="preserve">MM-77</t>
  </si>
  <si>
    <t xml:space="preserve">Waga: 25,660 T
Utworzył: Roesner Mateusz</t>
  </si>
  <si>
    <t xml:space="preserve">H-0409</t>
  </si>
  <si>
    <t xml:space="preserve">PZ/103  2/202624966/6133</t>
  </si>
  <si>
    <t xml:space="preserve">H-0410</t>
  </si>
  <si>
    <t xml:space="preserve">PZ/103</t>
  </si>
  <si>
    <t xml:space="preserve">H-0411</t>
  </si>
  <si>
    <t xml:space="preserve">H-0412</t>
  </si>
  <si>
    <t xml:space="preserve">PZ/104  2/202624966/6135</t>
  </si>
  <si>
    <t xml:space="preserve">H-0413</t>
  </si>
  <si>
    <t xml:space="preserve">PZ/104</t>
  </si>
  <si>
    <t xml:space="preserve">H-0414</t>
  </si>
  <si>
    <t xml:space="preserve">H-0415</t>
  </si>
  <si>
    <t xml:space="preserve">PZ/105  2/202624966/6136</t>
  </si>
  <si>
    <t xml:space="preserve">H-0416</t>
  </si>
  <si>
    <t xml:space="preserve">PZ/105</t>
  </si>
  <si>
    <t xml:space="preserve">H-0417</t>
  </si>
  <si>
    <t xml:space="preserve">H-0418</t>
  </si>
  <si>
    <t xml:space="preserve">WZ-20</t>
  </si>
  <si>
    <t xml:space="preserve">H-0419</t>
  </si>
  <si>
    <t xml:space="preserve">WZ-21</t>
  </si>
  <si>
    <t xml:space="preserve">H-0420</t>
  </si>
  <si>
    <t xml:space="preserve">PZ/106</t>
  </si>
  <si>
    <t xml:space="preserve">Utworzył: Roesner Mateusz/25,42T</t>
  </si>
  <si>
    <t xml:space="preserve">H-0421</t>
  </si>
  <si>
    <t xml:space="preserve">PZ/107</t>
  </si>
  <si>
    <t xml:space="preserve">Utworzył: Roesner Mateusz/26,28T
</t>
  </si>
  <si>
    <t xml:space="preserve">H-0422</t>
  </si>
  <si>
    <t xml:space="preserve">PZ/108</t>
  </si>
  <si>
    <t xml:space="preserve">Utworzył: Roesner Mateusz/24,40T
</t>
  </si>
  <si>
    <t xml:space="preserve">H-0423</t>
  </si>
  <si>
    <t xml:space="preserve">PZ/109</t>
  </si>
  <si>
    <t xml:space="preserve">Utworzył: Roesner Mateusz/27,94T
</t>
  </si>
  <si>
    <t xml:space="preserve">H-0424</t>
  </si>
  <si>
    <t xml:space="preserve">H-0425</t>
  </si>
  <si>
    <t xml:space="preserve">NDL Strzelce Op, Leśnictwo Spórok</t>
  </si>
  <si>
    <t xml:space="preserve">PZ/110  3/202638592/1129</t>
  </si>
  <si>
    <t xml:space="preserve">H-0426</t>
  </si>
  <si>
    <t xml:space="preserve">PZ/110</t>
  </si>
  <si>
    <t xml:space="preserve">H-0427</t>
  </si>
  <si>
    <t xml:space="preserve">Strzelce Opolskie</t>
  </si>
  <si>
    <t xml:space="preserve">H-0428</t>
  </si>
  <si>
    <t xml:space="preserve">PZ/111  3/202638592/1130</t>
  </si>
  <si>
    <t xml:space="preserve">H-0429</t>
  </si>
  <si>
    <t xml:space="preserve">PZ/111</t>
  </si>
  <si>
    <t xml:space="preserve">H-0430</t>
  </si>
  <si>
    <t xml:space="preserve">H-0431</t>
  </si>
  <si>
    <t xml:space="preserve">PZ/112  3/202638592/1134</t>
  </si>
  <si>
    <t xml:space="preserve">H-0432</t>
  </si>
  <si>
    <t xml:space="preserve">PZ/112</t>
  </si>
  <si>
    <t xml:space="preserve">H-0433</t>
  </si>
  <si>
    <t xml:space="preserve">H-0434</t>
  </si>
  <si>
    <t xml:space="preserve">PZ/113  3/202638592/1132</t>
  </si>
  <si>
    <t xml:space="preserve">H-0435</t>
  </si>
  <si>
    <t xml:space="preserve">PZ/113</t>
  </si>
  <si>
    <t xml:space="preserve">H-0436</t>
  </si>
  <si>
    <t xml:space="preserve">H-0437</t>
  </si>
  <si>
    <t xml:space="preserve">PZ/122    3/202638592/1131</t>
  </si>
  <si>
    <t xml:space="preserve">H-0438</t>
  </si>
  <si>
    <t xml:space="preserve">PZ/122</t>
  </si>
  <si>
    <t xml:space="preserve">H-0439</t>
  </si>
  <si>
    <t xml:space="preserve">H-0440</t>
  </si>
  <si>
    <t xml:space="preserve">PZ/123  3/202638592/1133</t>
  </si>
  <si>
    <t xml:space="preserve">H-0441</t>
  </si>
  <si>
    <t xml:space="preserve">PZ/123</t>
  </si>
  <si>
    <t xml:space="preserve">H-0442</t>
  </si>
  <si>
    <t xml:space="preserve">H-0443</t>
  </si>
  <si>
    <t xml:space="preserve">PZ/116</t>
  </si>
  <si>
    <t xml:space="preserve">H-0444</t>
  </si>
  <si>
    <t xml:space="preserve">PZ/117</t>
  </si>
  <si>
    <t xml:space="preserve">H-0445</t>
  </si>
  <si>
    <t xml:space="preserve">PZ/118</t>
  </si>
  <si>
    <t xml:space="preserve">H-0446</t>
  </si>
  <si>
    <t xml:space="preserve">H-0447</t>
  </si>
  <si>
    <t xml:space="preserve">PZ/44/D</t>
  </si>
  <si>
    <t xml:space="preserve">H-0448</t>
  </si>
  <si>
    <t xml:space="preserve">Drew-Lech</t>
  </si>
  <si>
    <t xml:space="preserve">PZ/119</t>
  </si>
  <si>
    <t xml:space="preserve">92 MP/ Utworzył: Roesner Mateusz
</t>
  </si>
  <si>
    <t xml:space="preserve">H-0449</t>
  </si>
  <si>
    <t xml:space="preserve">H-0450</t>
  </si>
  <si>
    <t xml:space="preserve">H-0451</t>
  </si>
  <si>
    <t xml:space="preserve">PZ/114</t>
  </si>
  <si>
    <t xml:space="preserve">Utworzył: Roesner Mateusz/23,78T
</t>
  </si>
  <si>
    <t xml:space="preserve">H-0452</t>
  </si>
  <si>
    <t xml:space="preserve">PZ/115</t>
  </si>
  <si>
    <t xml:space="preserve">Utworzył: Roesner Mateusz/24,36T
</t>
  </si>
  <si>
    <t xml:space="preserve">H-0453</t>
  </si>
  <si>
    <t xml:space="preserve">PZ/116  3/202638592/6107</t>
  </si>
  <si>
    <t xml:space="preserve">H-0454</t>
  </si>
  <si>
    <t xml:space="preserve">PZ/117  3/20268592/6108</t>
  </si>
  <si>
    <t xml:space="preserve">H-0455</t>
  </si>
  <si>
    <t xml:space="preserve">PZ/118  3/202638592/1135</t>
  </si>
  <si>
    <t xml:space="preserve">H-0456</t>
  </si>
  <si>
    <t xml:space="preserve">WZ/1/PKS</t>
  </si>
  <si>
    <t xml:space="preserve">Re Chorzów</t>
  </si>
  <si>
    <t xml:space="preserve">nr. zamówienia: Z2/26/001120
Utworzył: Roesner Mateusz
</t>
  </si>
  <si>
    <t xml:space="preserve">H-0457</t>
  </si>
  <si>
    <t xml:space="preserve">WZ/2/PKS</t>
  </si>
  <si>
    <t xml:space="preserve">nr. zamówienia: Z2/26/001120
Utworzył: Roesner Mateusz</t>
  </si>
  <si>
    <t xml:space="preserve">H-0458</t>
  </si>
  <si>
    <t xml:space="preserve">PZ/45/D</t>
  </si>
  <si>
    <t xml:space="preserve">H-0459</t>
  </si>
  <si>
    <t xml:space="preserve">PZ/46/D</t>
  </si>
  <si>
    <t xml:space="preserve">H-0460</t>
  </si>
  <si>
    <t xml:space="preserve">PZ/47/D</t>
  </si>
  <si>
    <t xml:space="preserve">H-0461</t>
  </si>
  <si>
    <t xml:space="preserve">Rudziniec</t>
  </si>
  <si>
    <t xml:space="preserve">PZ/120</t>
  </si>
  <si>
    <t xml:space="preserve">H-0462</t>
  </si>
  <si>
    <t xml:space="preserve">PZ/48/D</t>
  </si>
  <si>
    <t xml:space="preserve">H-0463</t>
  </si>
  <si>
    <t xml:space="preserve">PZ/121</t>
  </si>
  <si>
    <t xml:space="preserve">H-0464</t>
  </si>
  <si>
    <t xml:space="preserve">H-0465</t>
  </si>
  <si>
    <t xml:space="preserve">NDL Rudziniec, Leśnictwo Nogowczyce</t>
  </si>
  <si>
    <t xml:space="preserve">PZ/120  7/202640547/6118</t>
  </si>
  <si>
    <t xml:space="preserve">H-0466</t>
  </si>
  <si>
    <t xml:space="preserve">H-0467</t>
  </si>
  <si>
    <t xml:space="preserve">PZ/121  7/202640547/6119</t>
  </si>
  <si>
    <t xml:space="preserve">H-0468</t>
  </si>
  <si>
    <t xml:space="preserve">PZ/124  7/202640547/6120</t>
  </si>
  <si>
    <t xml:space="preserve">H-0469</t>
  </si>
  <si>
    <t xml:space="preserve">PZ/124</t>
  </si>
  <si>
    <t xml:space="preserve">H-0470</t>
  </si>
  <si>
    <t xml:space="preserve">H-0471</t>
  </si>
  <si>
    <t xml:space="preserve">PZ/125  7/202640547/6121</t>
  </si>
  <si>
    <t xml:space="preserve">H-0472</t>
  </si>
  <si>
    <t xml:space="preserve">PZ/125</t>
  </si>
  <si>
    <t xml:space="preserve">H-0473</t>
  </si>
  <si>
    <t xml:space="preserve">H-0474</t>
  </si>
  <si>
    <t xml:space="preserve">MM-78</t>
  </si>
  <si>
    <t xml:space="preserve">H-0475</t>
  </si>
  <si>
    <t xml:space="preserve">TEST Dostawca</t>
  </si>
  <si>
    <t xml:space="preserve">TEST/ZAKUP</t>
  </si>
  <si>
    <t xml:space="preserve">TEST Drewno opałowe</t>
  </si>
  <si>
    <t xml:space="preserve">test automatyczny</t>
  </si>
  <si>
    <t xml:space="preserve">nieznany</t>
  </si>
  <si>
    <t xml:space="preserve">OP-000001</t>
  </si>
  <si>
    <t xml:space="preserve">OP-000003</t>
  </si>
  <si>
    <t xml:space="preserve">TEST/PRODUKCJA</t>
  </si>
  <si>
    <t xml:space="preserve">TEST Zrębka produkcyjna</t>
  </si>
  <si>
    <t xml:space="preserve">OP-000005</t>
  </si>
  <si>
    <t xml:space="preserve">plac → hala</t>
  </si>
  <si>
    <t xml:space="preserve">Ładowarka / ciągnik</t>
  </si>
  <si>
    <t xml:space="preserve">Adrian Wojciechowski</t>
  </si>
  <si>
    <t xml:space="preserve">TEST Drewno opałowe → TEST Zrębka produkcyjna (1 m³ = 4 MP)</t>
  </si>
  <si>
    <t xml:space="preserve">Automatyczne zużycie surowca wg receptury: TEST Drewno opałowe → TEST Zrębka produkcyjna (1 m³ = 4 MP)</t>
  </si>
  <si>
    <t xml:space="preserve">OP-000007</t>
  </si>
  <si>
    <t xml:space="preserve">XYZ Transport</t>
  </si>
  <si>
    <t xml:space="preserve">SK 1234A</t>
  </si>
  <si>
    <t xml:space="preserve">OP-000006</t>
  </si>
  <si>
    <t xml:space="preserve">Gliwice → Zabrze</t>
  </si>
  <si>
    <t xml:space="preserve">MAN TGX</t>
  </si>
  <si>
    <t xml:space="preserve">LANDER AGRO</t>
  </si>
  <si>
    <t xml:space="preserve">OP-000004</t>
  </si>
  <si>
    <t xml:space="preserve">OP-000008</t>
  </si>
  <si>
    <t xml:space="preserve">AKTUALNY STAN MAGAZYNOWY</t>
  </si>
  <si>
    <t xml:space="preserve">Data</t>
  </si>
  <si>
    <t xml:space="preserve">Metry przestrzenne</t>
  </si>
  <si>
    <t xml:space="preserve">Tony</t>
  </si>
  <si>
    <t xml:space="preserve">Column Labels</t>
  </si>
  <si>
    <t xml:space="preserve">TRANSPORT</t>
  </si>
  <si>
    <t xml:space="preserve">Liczba kursów</t>
  </si>
  <si>
    <t xml:space="preserve">Suma z Wartość</t>
  </si>
  <si>
    <t xml:space="preserve">Stawka</t>
  </si>
  <si>
    <t xml:space="preserve">5 zł/km</t>
  </si>
  <si>
    <t xml:space="preserve">Koszt średni / kurs</t>
  </si>
  <si>
    <t xml:space="preserve">Transport = pole w operacji (TAK/NIE); nie wpływa na stan magazynu</t>
  </si>
  <si>
    <t xml:space="preserve">Wartość zakupu</t>
  </si>
  <si>
    <t xml:space="preserve">Wartość sprzedaży</t>
  </si>
  <si>
    <t xml:space="preserve">OPERACJE</t>
  </si>
  <si>
    <t xml:space="preserve">Total Result</t>
  </si>
  <si>
    <t xml:space="preserve">Koszt transportu </t>
  </si>
  <si>
    <t xml:space="preserve">Koszt transportu  </t>
  </si>
  <si>
    <t xml:space="preserve">Row Labels</t>
  </si>
  <si>
    <t xml:space="preserve">Ilość ton</t>
  </si>
  <si>
    <t xml:space="preserve">Ilość MP</t>
  </si>
  <si>
    <t xml:space="preserve">Suma z Koszt transportu</t>
  </si>
  <si>
    <t xml:space="preserve">Własny</t>
  </si>
  <si>
    <t xml:space="preserve">Zewnętrzny</t>
  </si>
  <si>
    <t xml:space="preserve">(empty)</t>
  </si>
  <si>
    <t xml:space="preserve">NAZWA PRODUKTU</t>
  </si>
  <si>
    <t xml:space="preserve">Trociny</t>
  </si>
  <si>
    <t xml:space="preserve">A</t>
  </si>
  <si>
    <t xml:space="preserve">wynajęte</t>
  </si>
  <si>
    <t xml:space="preserve">GJ</t>
  </si>
  <si>
    <t xml:space="preserve">Pozostałość tartaczna</t>
  </si>
  <si>
    <t xml:space="preserve">REJESTR OPERACJI — jedna linia = jedna operacja (transport jest częścią operacji)</t>
  </si>
  <si>
    <t xml:space="preserve">Zaznacz wiersz operacji i użyj przycisku: KOREKTA / USUŃ / DOKUMENT PDF. Lista odświeża się po każdej zmianie i przy wejściu na arkusz.</t>
  </si>
  <si>
    <t xml:space="preserve">Operacji: 482   |   odświeżono: 08.10.2026 19:Thu</t>
  </si>
  <si>
    <t xml:space="preserve">Typ</t>
  </si>
  <si>
    <t xml:space="preserve">Materiał</t>
  </si>
  <si>
    <t xml:space="preserve">Ilość</t>
  </si>
  <si>
    <t xml:space="preserve">Jednostka</t>
  </si>
  <si>
    <t xml:space="preserve">Przewoźnik / nr rej.</t>
  </si>
  <si>
    <t xml:space="preserve">Surowiec zużyty</t>
  </si>
  <si>
    <t xml:space="preserve">Zużycie</t>
  </si>
  <si>
    <t xml:space="preserve">JM surowca</t>
  </si>
  <si>
    <t xml:space="preserve">ID operacji</t>
  </si>
  <si>
    <t xml:space="preserve">ZAKUP + PRODUKCJA</t>
  </si>
  <si>
    <t xml:space="preserve">Nie</t>
  </si>
  <si>
    <t xml:space="preserve">Tak</t>
  </si>
  <si>
    <t xml:space="preserve">XYZ Transport / MAN TGX / SK 1234A</t>
  </si>
  <si>
    <t xml:space="preserve"> / Ładowarka / ciągnik / SK 5L809</t>
  </si>
  <si>
    <t xml:space="preserve">własny (Łukasz Wojciechowski) / SK 4K625</t>
  </si>
  <si>
    <t xml:space="preserve">własny (Wilczak) / SK 7J884</t>
  </si>
  <si>
    <t xml:space="preserve">własny (Kretek) / SK 7J885</t>
  </si>
  <si>
    <t xml:space="preserve">własny (Wilczak) / SK 7J885</t>
  </si>
  <si>
    <t xml:space="preserve">własny (Chrzan) / SK 5L809</t>
  </si>
  <si>
    <t xml:space="preserve">Lander Agro / PY 30536</t>
  </si>
  <si>
    <t xml:space="preserve">własny (Łukasz Wojciechowski) / SK 7J885</t>
  </si>
  <si>
    <t xml:space="preserve">własny (Adrian Wojciechowski) / SK 5J756</t>
  </si>
  <si>
    <t xml:space="preserve">własny (Chrzan) / SK 5K809</t>
  </si>
  <si>
    <t xml:space="preserve">własny (Wiór) / SK 7H433</t>
  </si>
  <si>
    <t xml:space="preserve">własny (Chrzan) / SK 4K626</t>
  </si>
  <si>
    <t xml:space="preserve">Nowatrans / WND 3546F</t>
  </si>
  <si>
    <t xml:space="preserve">Nowatrans / ST 9995P</t>
  </si>
  <si>
    <t xml:space="preserve">Nowatrans / SZ 2503U</t>
  </si>
  <si>
    <t xml:space="preserve">własny (Chrzan) / SK 7J885</t>
  </si>
  <si>
    <t xml:space="preserve">Produkt wyjściowy</t>
  </si>
  <si>
    <t xml:space="preserve">JM produktu</t>
  </si>
  <si>
    <t xml:space="preserve">Surowiec (zużywany)</t>
  </si>
  <si>
    <t xml:space="preserve">Przelicznik: ilość produktu z 1 jedn. surowca</t>
  </si>
  <si>
    <t xml:space="preserve">Aktywna (TAK/NIE)</t>
  </si>
  <si>
    <t xml:space="preserve">1 m³ drewna = 4 MP zrębki</t>
  </si>
  <si>
    <t xml:space="preserve">sprawdź surowiec dla tej zrębki</t>
  </si>
  <si>
    <t xml:space="preserve">PRODUKCJA zużywa SUROWIEC z tej tabeli (np. 120 MP zrębki ÷ 4 = 30 m³ drewna). Zrębka nie może być surowcem. Jednostki: MP, M3, TON.</t>
  </si>
  <si>
    <t xml:space="preserve">receptura testowa</t>
  </si>
  <si>
    <t xml:space="preserve">TEST Zła receptura</t>
  </si>
  <si>
    <t xml:space="preserve">Data i godzina</t>
  </si>
  <si>
    <t xml:space="preserve">Użytkownik</t>
  </si>
  <si>
    <t xml:space="preserve">Akcja</t>
  </si>
  <si>
    <t xml:space="preserve">Pole</t>
  </si>
  <si>
    <t xml:space="preserve">Było</t>
  </si>
  <si>
    <t xml:space="preserve">Jest</t>
  </si>
  <si>
    <t xml:space="preserve">Powód</t>
  </si>
  <si>
    <t xml:space="preserve">System (migracja 4.0)</t>
  </si>
  <si>
    <t xml:space="preserve">—</t>
  </si>
  <si>
    <t xml:space="preserve">MIGRACJA</t>
  </si>
  <si>
    <t xml:space="preserve">Kolumny Tabela_dane</t>
  </si>
  <si>
    <t xml:space="preserve">A:AL (38)</t>
  </si>
  <si>
    <t xml:space="preserve">A:AT (46): ID_operacji, Transport, Trasa, Pojazd, Operator_kierowca, Rola_wiersza, Receptura, Wersja</t>
  </si>
  <si>
    <t xml:space="preserve">Transport jako część operacji, receptury produkcji</t>
  </si>
  <si>
    <t xml:space="preserve">Identyfikatory operacji</t>
  </si>
  <si>
    <t xml:space="preserve">brak</t>
  </si>
  <si>
    <t xml:space="preserve">577 wierszy → 475 operacji H-xxxx (w tym 95 złożonych: wiersz główny + wiersze automatyczne)</t>
  </si>
  <si>
    <t xml:space="preserve">typ operacji TRANSPORT / kolumny R-U</t>
  </si>
  <si>
    <t xml:space="preserve">pole Transport: TAK w 204 wierszach, NIE w 373</t>
  </si>
  <si>
    <t xml:space="preserve">dane historyczne bez zmian</t>
  </si>
  <si>
    <t xml:space="preserve">Receptury produkcji</t>
  </si>
  <si>
    <t xml:space="preserve">zużycie = ta sama ilość i produkt „Zrzyna”/zrębka</t>
  </si>
  <si>
    <t xml:space="preserve">arkusz RECEPTURY (3 receptur, 1 m³ = 4 MP)</t>
  </si>
  <si>
    <t xml:space="preserve">zużycie drewna zamiast zrębki</t>
  </si>
  <si>
    <t xml:space="preserve">MAGAZYN!AA12:AC12</t>
  </si>
  <si>
    <t xml:space="preserve">COUNTIF/SUMIF(typ="TRANSPORT")</t>
  </si>
  <si>
    <t xml:space="preserve">COUNTIFS/SUMIFS(Transport=TAK)</t>
  </si>
  <si>
    <t xml:space="preserve">SŁOWNIK!F7</t>
  </si>
  <si>
    <t xml:space="preserve">(usunięto z listy typów)</t>
  </si>
  <si>
    <t xml:space="preserve">UTWORZENIE</t>
  </si>
  <si>
    <t xml:space="preserve">Operacja</t>
  </si>
  <si>
    <t xml:space="preserve">ZAKUP | Produkt: TEST Drewno opałowe | Ilość: 30 m³ | Dostawca: TEST Dostawca | Wartość: 6,900.00 zł |  | Transport: NIE</t>
  </si>
  <si>
    <t xml:space="preserve">OP-000002</t>
  </si>
  <si>
    <t xml:space="preserve">PRODUKCJA | Produkt: TEST Zrębka produkcyjna | Ilość: 120 MP |  | SUROWIEC DO ZUŻYCIA | TEST Drewno opałowe: 30 m³ | Receptura: TEST Drewno opałowe → TEST Zrębka produkcyjna (1 m³ = 4 MP) |  | STAN MAGAZYNOWY PO ZATWIERDZENIU | TEST Drewno opałowe: 30 m³ → 0 m³ | TEST Zrębka produkcyjna: 0 MP → 120 MP |  | Transport: NIE</t>
  </si>
  <si>
    <t xml:space="preserve">ZAKUP | Produkt: TEST Drewno opałowe | Ilość: 10 m³ | Dostawca: TEST Dostawca | Wartość: 2,300.00 zł |  | Transport: NIE</t>
  </si>
  <si>
    <t xml:space="preserve">KOREKTA</t>
  </si>
  <si>
    <t xml:space="preserve">Zużycie surowca</t>
  </si>
  <si>
    <t xml:space="preserve">30 m³</t>
  </si>
  <si>
    <t xml:space="preserve">20 m³</t>
  </si>
  <si>
    <t xml:space="preserve">2 (zmienionych pól: 2)</t>
  </si>
  <si>
    <t xml:space="preserve">USUNIĘCIE</t>
  </si>
  <si>
    <t xml:space="preserve">PRODUKCJA | Produkt: TEST Zrębka produkcyjna | Ilość: 80 MP |  | SUROWIEC DO ZUŻYCIA | : 0  | Receptura:  |  | STAN MAGAZYNOWY PO ZATWIERDZENIU | : 0  → 0  | TEST Zrębka produkcyjna: 0 MP → 0 MP |  | Transport: NIE</t>
  </si>
  <si>
    <t xml:space="preserve">(usunięta — wiersze w ARCHIWUM)</t>
  </si>
  <si>
    <t xml:space="preserve">test usunięcia</t>
  </si>
  <si>
    <t xml:space="preserve">Skutek magazynowy</t>
  </si>
  <si>
    <t xml:space="preserve">TEST Zrębka produkcyjna: -80 MP | TEST Drewno opałowe: +20 m³ | </t>
  </si>
  <si>
    <t xml:space="preserve">ZAKUP | Produkt: TEST Drewno opałowe | Ilość: 30 m³ | Dostawca: LANDER AGRO | Wartość: 6,900.00 zł |  | Transport: TAK | przewoźnik: Transport Kowalski | pojazd: Scania R450 | nr rej.: SK 7J884 | operator: Jan Nowak | trasa: Myszków → Zabrze | 110 km | koszt: 550.00 zł</t>
  </si>
  <si>
    <t xml:space="preserve">PRODUKCJA | Produkt: TEST Zrębka produkcyjna | Ilość: 120 MP |  | SUROWIEC DO ZUŻYCIA | TEST Drewno opałowe: 30 m³ | Receptura: TEST Drewno opałowe → TEST Zrębka produkcyjna (1 m³ = 4 MP) |  | STAN MAGAZYNOWY PO ZATWIERDZENIU | TEST Drewno opałowe: 70 m³ → 40 m³ | TEST Zrębka produkcyjna: 0 MP → 120 MP |  | Transport: TAK | pojazd: Ładowarka / ciągnik | nr rej.: SK 5L809 | operator: Adrian Wojciechowski | trasa: plac → hala | 2 km | koszt: 120.00 zł</t>
  </si>
  <si>
    <t xml:space="preserve">ZAKUP | Produkt: TEST Drewno opałowe | Ilość: 5 m³ | Dostawca: TEST Dostawca | Wartość: 1,150.00 zł |  | Transport: NIE</t>
  </si>
  <si>
    <t xml:space="preserve">PRODUKCJA | Produkt: TEST Zrębka produkcyjna | Ilość: 20 MP |  | SUROWIEC DO ZUŻYCIA | TEST Drewno opałowe: 5 m³ | Receptura: TEST Drewno opałowe → TEST Zrębka produkcyjna (1 m³ = 4 MP) |  | STAN MAGAZYNOWY PO ZATWIERDZENIU | TEST Drewno opałowe: 45 m³ → 40 m³ | TEST Zrębka produkcyjna: 120 MP → 140 MP |  | Transport: NIE</t>
  </si>
  <si>
    <t xml:space="preserve">Przewoźnik</t>
  </si>
  <si>
    <t xml:space="preserve">Nr rejestracyjny</t>
  </si>
  <si>
    <t xml:space="preserve">Kilometry</t>
  </si>
  <si>
    <t xml:space="preserve">2 (zmienionych pól: 7)</t>
  </si>
  <si>
    <t xml:space="preserve">Transport Kowalski</t>
  </si>
  <si>
    <t xml:space="preserve">Scania R450</t>
  </si>
  <si>
    <t xml:space="preserve">Operator / kierowca</t>
  </si>
  <si>
    <t xml:space="preserve">Jan Nowak</t>
  </si>
  <si>
    <t xml:space="preserve">Myszków → Zabrze</t>
  </si>
  <si>
    <t xml:space="preserve">2 (zmienionych pól: 8)</t>
  </si>
  <si>
    <t xml:space="preserve">ZAKUP | Produkt: TEST Drewno opałowe | Ilość: 25 m³ | Dostawca: TEST Dostawca | Wartość: 5,750.00 zł |  | + PRODUKCJA: TEST Zrębka produkcyjna 100 MP | SUROWIEC DO ZUŻYCIA | TEST Drewno opałowe: 25 m³ | Receptura: TEST Drewno opałowe → TEST Zrębka produkcyjna (1 m³ = 4 MP) | TEST Drewno opałowe (stan + zakup − zużycie): 40 m³ |  | Transport: NIE</t>
  </si>
  <si>
    <t xml:space="preserve">Data archiwizacji</t>
  </si>
  <si>
    <t xml:space="preserve">DOKUMENT OPERACJI MAGAZYNOWEJ</t>
  </si>
  <si>
    <t xml:space="preserve">ResInvest — Magazyn Zabrze</t>
  </si>
  <si>
    <t xml:space="preserve">OP-000007  (wersja 1)</t>
  </si>
  <si>
    <t xml:space="preserve">Typ operacji</t>
  </si>
  <si>
    <t xml:space="preserve">08.10.2026</t>
  </si>
  <si>
    <t xml:space="preserve">Data załadunku</t>
  </si>
  <si>
    <t xml:space="preserve">Nr WZ / dokumentu</t>
  </si>
  <si>
    <t xml:space="preserve">Deklaracja / KZR</t>
  </si>
  <si>
    <t xml:space="preserve">POZYCJE</t>
  </si>
  <si>
    <t xml:space="preserve">JM</t>
  </si>
  <si>
    <t xml:space="preserve">Cena</t>
  </si>
  <si>
    <t xml:space="preserve">Magazynowane</t>
  </si>
  <si>
    <t xml:space="preserve">Zużyty surowiec</t>
  </si>
  <si>
    <t xml:space="preserve">TEST Drewno opałowe: 5 m³</t>
  </si>
  <si>
    <t xml:space="preserve">Wygenerowano</t>
  </si>
  <si>
    <t xml:space="preserve">08.10.2026 19:Thu — nieznany</t>
  </si>
  <si>
    <t xml:space="preserve">Nr</t>
  </si>
  <si>
    <t xml:space="preserve">Test</t>
  </si>
  <si>
    <t xml:space="preserve">Wynik</t>
  </si>
  <si>
    <t xml:space="preserve">Szczegóły</t>
  </si>
  <si>
    <t xml:space="preserve">WYNIK: 17 OK, 0 BŁĄD</t>
  </si>
  <si>
    <t xml:space="preserve">T1 Zakup drewna 30 m³ → stan +30 m³</t>
  </si>
  <si>
    <t xml:space="preserve">OK</t>
  </si>
  <si>
    <t xml:space="preserve">T2 Produkcja 120 MP → drewno −30 m³, zrębka +120 MP (jedna operacja)</t>
  </si>
  <si>
    <t xml:space="preserve">T2a Zrębka nie jest zużywana jako surowiec</t>
  </si>
  <si>
    <t xml:space="preserve">T3 Produkcja przy niewystarczającym stanie drewna → blokada</t>
  </si>
  <si>
    <t xml:space="preserve">T4 Edycja produkcji 120 → 80 MP: drewno netto −20 m³, zrębka +80 MP</t>
  </si>
  <si>
    <t xml:space="preserve">T5 Usunięcie produkcji odwraca skutki (+20 m³ drewna, −80 MP zrębki)</t>
  </si>
  <si>
    <t xml:space="preserve">T6 Zakup + transport = jedna operacja ZAKUP z danymi transportu</t>
  </si>
  <si>
    <t xml:space="preserve">T7 Produkcja + transport: transport w wierszu PRODUKCJA, koszt liczony raz</t>
  </si>
  <si>
    <t xml:space="preserve">T8 Zakup bez transportu: dane przewozu nie są zapisywane</t>
  </si>
  <si>
    <t xml:space="preserve">T9 Produkcja bez transportu: zużycie 5 m³, Transport = NIE</t>
  </si>
  <si>
    <t xml:space="preserve">T10 Transport NIE → TAK i TAK → NIE (korekta + historia zmian)</t>
  </si>
  <si>
    <t xml:space="preserve">T11 Zakup + produkcja: zużycie zakupionego drewna 25 m³, zrębka +100 MP, jedno ID</t>
  </si>
  <si>
    <t xml:space="preserve">T12 Receptura ze zrębką jako surowcem → odrzucona</t>
  </si>
  <si>
    <t xml:space="preserve">T13 Zrębka Produkcyjna Leśna ← Drewno opałowe z lasu (1 m³ = 4 MP)</t>
  </si>
  <si>
    <t xml:space="preserve">T14 Dane historyczne: każdy wiersz ma ID i pole Transport, brak typu TRANSPORT</t>
  </si>
  <si>
    <t xml:space="preserve">T15 Rejestr: produkcja z transportem w jednej linii, Transport = Tak</t>
  </si>
  <si>
    <t xml:space="preserve">T16 Dokument: sekcja transportu tylko gdy Transport = TAK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</si>
</sst>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_-* #,##0.00&quot; zł&quot;_-;\-* #,##0.00&quot; zł&quot;_-;_-* \-??&quot; zł&quot;_-;_-@_-"/>
    <numFmt numFmtId="167" formatCode="#,##0.00\ [$zł-415]"/>
    <numFmt numFmtId="168" formatCode="#,##0.00"/>
    <numFmt numFmtId="169" formatCode="dd/mm/yy\ h:mm;@"/>
    <numFmt numFmtId="170" formatCode="dd/mm/yyyy"/>
  </numFmts>
  <fonts count="1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38"/>
    </font>
    <font>
      <b val="true"/>
      <sz val="11"/>
      <name val="Calibri"/>
      <family val="0"/>
      <charset val="1"/>
    </font>
    <font>
      <sz val="10"/>
      <name val="Calibri"/>
      <family val="2"/>
      <charset val="238"/>
    </font>
    <font>
      <b val="true"/>
      <sz val="10"/>
      <color rgb="FFFFFFFF"/>
      <name val="Calibri"/>
      <family val="2"/>
      <charset val="238"/>
    </font>
    <font>
      <sz val="10"/>
      <color theme="1"/>
      <name val="Calibri"/>
      <family val="2"/>
      <charset val="238"/>
    </font>
    <font>
      <sz val="10"/>
      <color theme="1"/>
      <name val="Calibri"/>
      <family val="0"/>
      <charset val="1"/>
    </font>
    <font>
      <sz val="10"/>
      <color rgb="FFFF0000"/>
      <name val="Calibri"/>
      <family val="2"/>
      <charset val="238"/>
    </font>
    <font>
      <b val="true"/>
      <sz val="12"/>
      <name val="Calibri"/>
      <family val="2"/>
      <charset val="238"/>
    </font>
    <font>
      <b val="true"/>
      <sz val="11"/>
      <name val="Calibri"/>
      <family val="2"/>
      <charset val="238"/>
    </font>
    <font>
      <sz val="11"/>
      <name val="Times New Roman"/>
      <family val="1"/>
    </font>
    <font>
      <b val="true"/>
      <sz val="11"/>
      <color theme="0"/>
      <name val="Calibri"/>
      <family val="0"/>
    </font>
    <font>
      <b val="true"/>
      <sz val="11"/>
      <color theme="1"/>
      <name val="Calibri"/>
      <family val="0"/>
    </font>
    <font>
      <b val="true"/>
      <sz val="11"/>
      <name val="Calibri"/>
      <family val="0"/>
      <charset val="238"/>
    </font>
    <font>
      <b val="true"/>
      <sz val="11"/>
      <color rgb="FFFFFFFF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theme="9" tint="0.7999"/>
        <bgColor rgb="FFDCEAF7"/>
      </patternFill>
    </fill>
    <fill>
      <patternFill patternType="solid">
        <fgColor theme="8" tint="0.7999"/>
        <bgColor rgb="FFD9D9D9"/>
      </patternFill>
    </fill>
    <fill>
      <patternFill patternType="solid">
        <fgColor theme="3" tint="0.8999"/>
        <bgColor rgb="FFCAEEFB"/>
      </patternFill>
    </fill>
    <fill>
      <patternFill patternType="solid">
        <fgColor theme="7" tint="0.7999"/>
        <bgColor rgb="FFDCEAF7"/>
      </patternFill>
    </fill>
    <fill>
      <patternFill patternType="solid">
        <fgColor theme="0"/>
        <bgColor rgb="FFF8FAFC"/>
      </patternFill>
    </fill>
    <fill>
      <patternFill patternType="solid">
        <fgColor rgb="FFF4D06F"/>
        <bgColor rgb="FFF2AA84"/>
      </patternFill>
    </fill>
    <fill>
      <patternFill patternType="solid">
        <fgColor theme="0" tint="-0.15"/>
        <bgColor rgb="FFDCEAF7"/>
      </patternFill>
    </fill>
    <fill>
      <patternFill patternType="solid">
        <fgColor theme="9" tint="0.5999"/>
        <bgColor rgb="FFD9F2D0"/>
      </patternFill>
    </fill>
    <fill>
      <patternFill patternType="solid">
        <fgColor rgb="FFFF0000"/>
        <bgColor rgb="FFF43F5E"/>
      </patternFill>
    </fill>
    <fill>
      <patternFill patternType="solid">
        <fgColor theme="5" tint="0.7999"/>
        <bgColor rgb="FFF2CFEE"/>
      </patternFill>
    </fill>
    <fill>
      <patternFill patternType="solid">
        <fgColor rgb="FFFFC000"/>
        <bgColor rgb="FFFF9900"/>
      </patternFill>
    </fill>
    <fill>
      <patternFill patternType="solid">
        <fgColor theme="5" tint="0.3999"/>
        <bgColor rgb="FFF4D06F"/>
      </patternFill>
    </fill>
    <fill>
      <patternFill patternType="solid">
        <fgColor rgb="FFF8FAFC"/>
        <bgColor rgb="FFFFFFFF"/>
      </patternFill>
    </fill>
    <fill>
      <patternFill patternType="solid">
        <fgColor theme="4" tint="-0.25"/>
        <bgColor rgb="FF333333"/>
      </patternFill>
    </fill>
    <fill>
      <patternFill patternType="solid">
        <fgColor rgb="FFF43F5E"/>
        <bgColor rgb="FF993366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7" fontId="8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5" fontId="8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8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8" fontId="8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6" fontId="8" fillId="0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8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8" fontId="8" fillId="0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8" fillId="5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8" fillId="6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8" fillId="7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8" fillId="7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8" fillId="8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9" fillId="7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8" fontId="8" fillId="7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7" fontId="8" fillId="7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6" fontId="8" fillId="7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8" fillId="7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8" fontId="8" fillId="7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7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8" fontId="10" fillId="7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5" fontId="8" fillId="9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8" fillId="9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9" fillId="9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8" fontId="8" fillId="9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7" fontId="8" fillId="9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6" fontId="8" fillId="9" borderId="0" xfId="1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8" fillId="9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8" fontId="8" fillId="9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9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70" fontId="8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8" fillId="11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8" fillId="12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8" fillId="1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8" fontId="8" fillId="11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6" fillId="12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10" fillId="0" borderId="0" xfId="2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6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8" fillId="14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24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5" fillId="0" borderId="3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3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43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31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32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5" fillId="0" borderId="3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2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4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0" fillId="0" borderId="3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24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0" fillId="0" borderId="4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4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0" fillId="0" borderId="4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  <dxfs count="15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B4E5A2"/>
          <bgColor rgb="FF000000"/>
        </patternFill>
      </fill>
    </dxf>
    <dxf>
      <fill>
        <patternFill patternType="solid">
          <fgColor rgb="FFCAEEFB"/>
          <bgColor rgb="FF000000"/>
        </patternFill>
      </fill>
    </dxf>
    <dxf>
      <fill>
        <patternFill patternType="solid">
          <fgColor rgb="FFD9F2D0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F2AA84"/>
          <bgColor rgb="FF000000"/>
        </patternFill>
      </fill>
    </dxf>
    <dxf>
      <fill>
        <patternFill patternType="solid">
          <fgColor rgb="FFF2CFEE"/>
          <bgColor rgb="FF000000"/>
        </patternFill>
      </fill>
    </dxf>
    <dxf>
      <fill>
        <patternFill patternType="solid">
          <fgColor rgb="FFF4D06F"/>
          <bgColor rgb="FF000000"/>
        </patternFill>
      </fill>
    </dxf>
    <dxf>
      <fill>
        <patternFill patternType="solid">
          <fgColor rgb="FFFBE3D6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E6B45"/>
      <rgbColor rgb="FFB4E5A2"/>
      <rgbColor rgb="FF808080"/>
      <rgbColor rgb="FF9999FF"/>
      <rgbColor rgb="FF993366"/>
      <rgbColor rgb="FFF8FAFC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D9F2D0"/>
      <rgbColor rgb="FFFBE3D6"/>
      <rgbColor rgb="FF99CCFF"/>
      <rgbColor rgb="FFF2AA84"/>
      <rgbColor rgb="FFF2CFEE"/>
      <rgbColor rgb="FFF4D06F"/>
      <rgbColor rgb="FF2F75B5"/>
      <rgbColor rgb="FF33CCCC"/>
      <rgbColor rgb="FF99CC00"/>
      <rgbColor rgb="FFFFC000"/>
      <rgbColor rgb="FFFF9900"/>
      <rgbColor rgb="FFF43F5E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KONTRAHENCI!A1"/><Relationship Id="rId2" Type="http://schemas.openxmlformats.org/officeDocument/2006/relationships/hyperlink" Target="#TRANSPORT!A1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#MAGAZYN!A1"/><Relationship Id="rId2" Type="http://schemas.openxmlformats.org/officeDocument/2006/relationships/hyperlink" Target="#TRANSPORT!A1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hyperlink" Target="#MAGAZYN!A1"/><Relationship Id="rId2" Type="http://schemas.openxmlformats.org/officeDocument/2006/relationships/hyperlink" Target="#KONTRAHENCI!A1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219240</xdr:colOff>
      <xdr:row>10</xdr:row>
      <xdr:rowOff>123840</xdr:rowOff>
    </xdr:from>
    <xdr:to>
      <xdr:col>6</xdr:col>
      <xdr:colOff>2334600</xdr:colOff>
      <xdr:row>14</xdr:row>
      <xdr:rowOff>28440</xdr:rowOff>
    </xdr:to>
    <xdr:sp>
      <xdr:nvSpPr>
        <xdr:cNvPr id="0" name=""/>
        <xdr:cNvSpPr/>
      </xdr:nvSpPr>
      <xdr:spPr>
        <a:xfrm>
          <a:off x="1717200" y="1952640"/>
          <a:ext cx="8970120" cy="6285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92520</xdr:colOff>
      <xdr:row>0</xdr:row>
      <xdr:rowOff>96120</xdr:rowOff>
    </xdr:from>
    <xdr:to>
      <xdr:col>5</xdr:col>
      <xdr:colOff>474840</xdr:colOff>
      <xdr:row>2</xdr:row>
      <xdr:rowOff>91800</xdr:rowOff>
    </xdr:to>
    <xdr:grpSp>
      <xdr:nvGrpSpPr>
        <xdr:cNvPr id="1" name="Grupa 5"/>
        <xdr:cNvGrpSpPr/>
      </xdr:nvGrpSpPr>
      <xdr:grpSpPr>
        <a:xfrm>
          <a:off x="1854720" y="96120"/>
          <a:ext cx="4365000" cy="357480"/>
          <a:chOff x="1854720" y="96120"/>
          <a:chExt cx="4365000" cy="357480"/>
        </a:xfrm>
      </xdr:grpSpPr>
      <xdr:sp>
        <xdr:nvSpPr>
          <xdr:cNvPr id="2" name="Prostokąt: zaokrąglone rogi 6"/>
          <xdr:cNvSpPr/>
        </xdr:nvSpPr>
        <xdr:spPr>
          <a:xfrm>
            <a:off x="1854720" y="100800"/>
            <a:ext cx="1398600" cy="348120"/>
          </a:xfrm>
          <a:prstGeom prst="roundRect">
            <a:avLst>
              <a:gd name="adj" fmla="val 50000"/>
            </a:avLst>
          </a:prstGeom>
          <a:gradFill rotWithShape="0">
            <a:gsLst>
              <a:gs pos="0">
                <a:srgbClr val="0a6a8f"/>
              </a:gs>
              <a:gs pos="48000">
                <a:srgbClr val="10a4dd"/>
              </a:gs>
              <a:gs pos="100000">
                <a:srgbClr val="61cbf4"/>
              </a:gs>
            </a:gsLst>
            <a:lin ang="16200000"/>
          </a:gra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lt1"/>
                </a:solidFill>
                <a:latin typeface="Calibri"/>
                <a:ea typeface="Calibri"/>
              </a:rPr>
              <a:t>MAGAZYN</a:t>
            </a:r>
            <a:endParaRPr b="0" lang="en-US" sz="1100" spc="-1" strike="noStrike">
              <a:latin typeface="Times New Roman"/>
            </a:endParaRPr>
          </a:p>
        </xdr:txBody>
      </xdr:sp>
      <xdr:sp>
        <xdr:nvSpPr>
          <xdr:cNvPr id="3" name="Prostokąt: zaokrąglone rogi 7">
            <a:hlinkClick r:id="rId1"/>
          </xdr:cNvPr>
          <xdr:cNvSpPr/>
        </xdr:nvSpPr>
        <xdr:spPr>
          <a:xfrm>
            <a:off x="3337920" y="105480"/>
            <a:ext cx="1398600" cy="338760"/>
          </a:xfrm>
          <a:prstGeom prst="roundRect">
            <a:avLst>
              <a:gd name="adj" fmla="val 50000"/>
            </a:avLst>
          </a:prstGeom>
          <a:solidFill>
            <a:srgbClr val="ffffff"/>
          </a:solidFill>
          <a:ln w="19050">
            <a:solidFill>
              <a:srgbClr val="156082"/>
            </a:solidFill>
            <a:round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dk1"/>
                </a:solidFill>
                <a:latin typeface="Calibri"/>
                <a:ea typeface="Calibri"/>
              </a:rPr>
              <a:t>KONTRAHENCI</a:t>
            </a:r>
            <a:endParaRPr b="0" lang="en-US" sz="1100" spc="-1" strike="noStrike">
              <a:latin typeface="Times New Roman"/>
            </a:endParaRPr>
          </a:p>
        </xdr:txBody>
      </xdr:sp>
      <xdr:sp>
        <xdr:nvSpPr>
          <xdr:cNvPr id="4" name="Prostokąt: zaokrąglone rogi 8">
            <a:hlinkClick r:id="rId2"/>
          </xdr:cNvPr>
          <xdr:cNvSpPr/>
        </xdr:nvSpPr>
        <xdr:spPr>
          <a:xfrm>
            <a:off x="4821120" y="96120"/>
            <a:ext cx="1398600" cy="357480"/>
          </a:xfrm>
          <a:prstGeom prst="roundRect">
            <a:avLst>
              <a:gd name="adj" fmla="val 50000"/>
            </a:avLst>
          </a:prstGeom>
          <a:solidFill>
            <a:srgbClr val="ffffff"/>
          </a:solidFill>
          <a:ln w="19050">
            <a:solidFill>
              <a:srgbClr val="156082"/>
            </a:solidFill>
            <a:round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dk1"/>
                </a:solidFill>
                <a:latin typeface="Calibri"/>
                <a:ea typeface="Calibri"/>
              </a:rPr>
              <a:t>TRANSPORT</a:t>
            </a:r>
            <a:endParaRPr b="0" lang="en-US" sz="1100" spc="-1" strike="noStrike">
              <a:latin typeface="Times New Roman"/>
            </a:endParaRPr>
          </a:p>
        </xdr:txBody>
      </xdr:sp>
    </xdr:grpSp>
    <xdr:clientData/>
  </xdr:twoCellAnchor>
  <xdr:twoCellAnchor editAs="absolute">
    <xdr:from>
      <xdr:col>6</xdr:col>
      <xdr:colOff>1049760</xdr:colOff>
      <xdr:row>0</xdr:row>
      <xdr:rowOff>97200</xdr:rowOff>
    </xdr:from>
    <xdr:to>
      <xdr:col>7</xdr:col>
      <xdr:colOff>37800</xdr:colOff>
      <xdr:row>2</xdr:row>
      <xdr:rowOff>76320</xdr:rowOff>
    </xdr:to>
    <xdr:sp>
      <xdr:nvSpPr>
        <xdr:cNvPr id="5" name="Prostokąt: zaokrąglone rogi 9"/>
        <xdr:cNvSpPr/>
      </xdr:nvSpPr>
      <xdr:spPr>
        <a:xfrm>
          <a:off x="9402480" y="97200"/>
          <a:ext cx="1323000" cy="340920"/>
        </a:xfrm>
        <a:prstGeom prst="roundRect">
          <a:avLst>
            <a:gd name="adj" fmla="val 50000"/>
          </a:avLst>
        </a:prstGeom>
        <a:solidFill>
          <a:srgbClr val="4ea72e"/>
        </a:solidFill>
        <a:ln w="19050">
          <a:solidFill>
            <a:srgbClr val="224914"/>
          </a:solidFill>
          <a:round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l-PL" sz="1100" spc="-1" strike="noStrike">
              <a:solidFill>
                <a:schemeClr val="lt1"/>
              </a:solidFill>
              <a:latin typeface="Calibri"/>
              <a:ea typeface="Calibri"/>
            </a:rPr>
            <a:t>DODAJ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7</xdr:row>
      <xdr:rowOff>66600</xdr:rowOff>
    </xdr:from>
    <xdr:to>
      <xdr:col>1</xdr:col>
      <xdr:colOff>360</xdr:colOff>
      <xdr:row>18</xdr:row>
      <xdr:rowOff>154440</xdr:rowOff>
    </xdr:to>
    <xdr:sp>
      <xdr:nvSpPr>
        <xdr:cNvPr id="6" name=""/>
        <xdr:cNvSpPr/>
      </xdr:nvSpPr>
      <xdr:spPr>
        <a:xfrm>
          <a:off x="0" y="1352520"/>
          <a:ext cx="1498320" cy="23425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0</xdr:colOff>
      <xdr:row>19</xdr:row>
      <xdr:rowOff>174240</xdr:rowOff>
    </xdr:from>
    <xdr:to>
      <xdr:col>7</xdr:col>
      <xdr:colOff>14760</xdr:colOff>
      <xdr:row>23</xdr:row>
      <xdr:rowOff>135360</xdr:rowOff>
    </xdr:to>
    <xdr:sp>
      <xdr:nvSpPr>
        <xdr:cNvPr id="7" name=""/>
        <xdr:cNvSpPr/>
      </xdr:nvSpPr>
      <xdr:spPr>
        <a:xfrm>
          <a:off x="1762200" y="3895920"/>
          <a:ext cx="8940240" cy="685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1497600</xdr:colOff>
      <xdr:row>6</xdr:row>
      <xdr:rowOff>180720</xdr:rowOff>
    </xdr:to>
    <xdr:sp>
      <xdr:nvSpPr>
        <xdr:cNvPr id="8" name=""/>
        <xdr:cNvSpPr/>
      </xdr:nvSpPr>
      <xdr:spPr>
        <a:xfrm>
          <a:off x="0" y="0"/>
          <a:ext cx="1497600" cy="12855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21600</xdr:colOff>
      <xdr:row>4</xdr:row>
      <xdr:rowOff>76320</xdr:rowOff>
    </xdr:from>
    <xdr:to>
      <xdr:col>5</xdr:col>
      <xdr:colOff>952200</xdr:colOff>
      <xdr:row>7</xdr:row>
      <xdr:rowOff>180720</xdr:rowOff>
    </xdr:to>
    <xdr:sp>
      <xdr:nvSpPr>
        <xdr:cNvPr id="9" name=""/>
        <xdr:cNvSpPr/>
      </xdr:nvSpPr>
      <xdr:spPr>
        <a:xfrm>
          <a:off x="1783800" y="809640"/>
          <a:ext cx="6490440" cy="647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85680</xdr:colOff>
      <xdr:row>0</xdr:row>
      <xdr:rowOff>104760</xdr:rowOff>
    </xdr:from>
    <xdr:to>
      <xdr:col>3</xdr:col>
      <xdr:colOff>1094760</xdr:colOff>
      <xdr:row>2</xdr:row>
      <xdr:rowOff>85320</xdr:rowOff>
    </xdr:to>
    <xdr:grpSp>
      <xdr:nvGrpSpPr>
        <xdr:cNvPr id="10" name="Grupa 3"/>
        <xdr:cNvGrpSpPr/>
      </xdr:nvGrpSpPr>
      <xdr:grpSpPr>
        <a:xfrm>
          <a:off x="1847880" y="104760"/>
          <a:ext cx="4419000" cy="342360"/>
          <a:chOff x="1847880" y="104760"/>
          <a:chExt cx="4419000" cy="342360"/>
        </a:xfrm>
      </xdr:grpSpPr>
      <xdr:sp>
        <xdr:nvSpPr>
          <xdr:cNvPr id="11" name="Prostokąt: zaokrąglone rogi 4">
            <a:hlinkClick r:id="rId1"/>
          </xdr:cNvPr>
          <xdr:cNvSpPr/>
        </xdr:nvSpPr>
        <xdr:spPr>
          <a:xfrm>
            <a:off x="1847880" y="109440"/>
            <a:ext cx="1415880" cy="333360"/>
          </a:xfrm>
          <a:prstGeom prst="roundRect">
            <a:avLst>
              <a:gd name="adj" fmla="val 50000"/>
            </a:avLst>
          </a:prstGeom>
          <a:solidFill>
            <a:srgbClr val="ffffff"/>
          </a:solidFill>
          <a:ln w="19050">
            <a:solidFill>
              <a:srgbClr val="156082"/>
            </a:solidFill>
            <a:round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dk1"/>
                </a:solidFill>
                <a:latin typeface="Calibri"/>
                <a:ea typeface="Calibri"/>
              </a:rPr>
              <a:t>MAGAZYN</a:t>
            </a:r>
            <a:endParaRPr b="0" lang="en-US" sz="1100" spc="-1" strike="noStrike">
              <a:latin typeface="Times New Roman"/>
            </a:endParaRPr>
          </a:p>
        </xdr:txBody>
      </xdr:sp>
      <xdr:sp>
        <xdr:nvSpPr>
          <xdr:cNvPr id="12" name="Prostokąt: zaokrąglone rogi 9"/>
          <xdr:cNvSpPr/>
        </xdr:nvSpPr>
        <xdr:spPr>
          <a:xfrm>
            <a:off x="3349440" y="113760"/>
            <a:ext cx="1415880" cy="324360"/>
          </a:xfrm>
          <a:prstGeom prst="roundRect">
            <a:avLst>
              <a:gd name="adj" fmla="val 50000"/>
            </a:avLst>
          </a:prstGeom>
          <a:gradFill rotWithShape="0">
            <a:gsLst>
              <a:gs pos="0">
                <a:srgbClr val="0a6a8f"/>
              </a:gs>
              <a:gs pos="48000">
                <a:srgbClr val="10a4dd"/>
              </a:gs>
              <a:gs pos="100000">
                <a:srgbClr val="61cbf4"/>
              </a:gs>
            </a:gsLst>
            <a:lin ang="16200000"/>
          </a:gra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lt1"/>
                </a:solidFill>
                <a:latin typeface="Calibri"/>
                <a:ea typeface="Calibri"/>
              </a:rPr>
              <a:t>KONTRAHENCI</a:t>
            </a:r>
            <a:endParaRPr b="0" lang="en-US" sz="1100" spc="-1" strike="noStrike">
              <a:latin typeface="Times New Roman"/>
            </a:endParaRPr>
          </a:p>
        </xdr:txBody>
      </xdr:sp>
      <xdr:sp>
        <xdr:nvSpPr>
          <xdr:cNvPr id="13" name="Prostokąt: zaokrąglone rogi 10">
            <a:hlinkClick r:id="rId2"/>
          </xdr:cNvPr>
          <xdr:cNvSpPr/>
        </xdr:nvSpPr>
        <xdr:spPr>
          <a:xfrm>
            <a:off x="4851000" y="104760"/>
            <a:ext cx="1415880" cy="342360"/>
          </a:xfrm>
          <a:prstGeom prst="roundRect">
            <a:avLst>
              <a:gd name="adj" fmla="val 50000"/>
            </a:avLst>
          </a:prstGeom>
          <a:solidFill>
            <a:srgbClr val="ffffff"/>
          </a:solidFill>
          <a:ln w="19050">
            <a:solidFill>
              <a:srgbClr val="156082"/>
            </a:solidFill>
            <a:round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dk1"/>
                </a:solidFill>
                <a:latin typeface="Calibri"/>
                <a:ea typeface="Calibri"/>
              </a:rPr>
              <a:t>TRANSPORT</a:t>
            </a:r>
            <a:endParaRPr b="0" lang="en-US" sz="1100" spc="-1" strike="noStrike">
              <a:latin typeface="Times New Roman"/>
            </a:endParaRPr>
          </a:p>
        </xdr:txBody>
      </xdr:sp>
    </xdr:grpSp>
    <xdr:clientData/>
  </xdr:twoCellAnchor>
  <xdr:twoCellAnchor editAs="absolute">
    <xdr:from>
      <xdr:col>6</xdr:col>
      <xdr:colOff>762120</xdr:colOff>
      <xdr:row>0</xdr:row>
      <xdr:rowOff>104760</xdr:rowOff>
    </xdr:from>
    <xdr:to>
      <xdr:col>7</xdr:col>
      <xdr:colOff>847440</xdr:colOff>
      <xdr:row>2</xdr:row>
      <xdr:rowOff>76320</xdr:rowOff>
    </xdr:to>
    <xdr:sp>
      <xdr:nvSpPr>
        <xdr:cNvPr id="14" name="Prostokąt: zaokrąglone rogi 7"/>
        <xdr:cNvSpPr/>
      </xdr:nvSpPr>
      <xdr:spPr>
        <a:xfrm>
          <a:off x="9396720" y="104760"/>
          <a:ext cx="1397880" cy="333360"/>
        </a:xfrm>
        <a:prstGeom prst="roundRect">
          <a:avLst>
            <a:gd name="adj" fmla="val 50000"/>
          </a:avLst>
        </a:prstGeom>
        <a:solidFill>
          <a:srgbClr val="4ea72e"/>
        </a:solidFill>
        <a:ln w="19050">
          <a:solidFill>
            <a:srgbClr val="224914"/>
          </a:solidFill>
          <a:round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l-PL" sz="1100" spc="-1" strike="noStrike">
              <a:solidFill>
                <a:schemeClr val="lt1"/>
              </a:solidFill>
              <a:latin typeface="Calibri"/>
              <a:ea typeface="Calibri"/>
            </a:rPr>
            <a:t>DODAJ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7</xdr:row>
      <xdr:rowOff>114480</xdr:rowOff>
    </xdr:from>
    <xdr:to>
      <xdr:col>1</xdr:col>
      <xdr:colOff>360</xdr:colOff>
      <xdr:row>20</xdr:row>
      <xdr:rowOff>157680</xdr:rowOff>
    </xdr:to>
    <xdr:sp>
      <xdr:nvSpPr>
        <xdr:cNvPr id="15" name=""/>
        <xdr:cNvSpPr/>
      </xdr:nvSpPr>
      <xdr:spPr>
        <a:xfrm>
          <a:off x="0" y="1390680"/>
          <a:ext cx="1498320" cy="23961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360</xdr:colOff>
      <xdr:row>7</xdr:row>
      <xdr:rowOff>106200</xdr:rowOff>
    </xdr:to>
    <xdr:sp>
      <xdr:nvSpPr>
        <xdr:cNvPr id="16" name=""/>
        <xdr:cNvSpPr/>
      </xdr:nvSpPr>
      <xdr:spPr>
        <a:xfrm>
          <a:off x="0" y="0"/>
          <a:ext cx="1498320" cy="13824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85680</xdr:colOff>
      <xdr:row>0</xdr:row>
      <xdr:rowOff>104760</xdr:rowOff>
    </xdr:from>
    <xdr:to>
      <xdr:col>4</xdr:col>
      <xdr:colOff>37800</xdr:colOff>
      <xdr:row>2</xdr:row>
      <xdr:rowOff>85320</xdr:rowOff>
    </xdr:to>
    <xdr:grpSp>
      <xdr:nvGrpSpPr>
        <xdr:cNvPr id="17" name="Grupa 3"/>
        <xdr:cNvGrpSpPr/>
      </xdr:nvGrpSpPr>
      <xdr:grpSpPr>
        <a:xfrm>
          <a:off x="1847880" y="104760"/>
          <a:ext cx="4339800" cy="342360"/>
          <a:chOff x="1847880" y="104760"/>
          <a:chExt cx="4339800" cy="342360"/>
        </a:xfrm>
      </xdr:grpSpPr>
      <xdr:sp>
        <xdr:nvSpPr>
          <xdr:cNvPr id="18" name="Prostokąt: zaokrąglone rogi 4">
            <a:hlinkClick r:id="rId1"/>
          </xdr:cNvPr>
          <xdr:cNvSpPr/>
        </xdr:nvSpPr>
        <xdr:spPr>
          <a:xfrm>
            <a:off x="1847880" y="109440"/>
            <a:ext cx="1390680" cy="333360"/>
          </a:xfrm>
          <a:prstGeom prst="roundRect">
            <a:avLst>
              <a:gd name="adj" fmla="val 50000"/>
            </a:avLst>
          </a:prstGeom>
          <a:solidFill>
            <a:srgbClr val="ffffff"/>
          </a:solidFill>
          <a:ln w="19050">
            <a:solidFill>
              <a:srgbClr val="156082"/>
            </a:solidFill>
            <a:round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dk1"/>
                </a:solidFill>
                <a:latin typeface="Calibri"/>
                <a:ea typeface="Calibri"/>
              </a:rPr>
              <a:t>MAGAZYN</a:t>
            </a:r>
            <a:endParaRPr b="0" lang="en-US" sz="1100" spc="-1" strike="noStrike">
              <a:latin typeface="Times New Roman"/>
            </a:endParaRPr>
          </a:p>
        </xdr:txBody>
      </xdr:sp>
      <xdr:sp>
        <xdr:nvSpPr>
          <xdr:cNvPr id="19" name="Prostokąt: zaokrąglone rogi 5">
            <a:hlinkClick r:id="rId2"/>
          </xdr:cNvPr>
          <xdr:cNvSpPr/>
        </xdr:nvSpPr>
        <xdr:spPr>
          <a:xfrm>
            <a:off x="3322440" y="113760"/>
            <a:ext cx="1390680" cy="324360"/>
          </a:xfrm>
          <a:prstGeom prst="roundRect">
            <a:avLst>
              <a:gd name="adj" fmla="val 50000"/>
            </a:avLst>
          </a:prstGeom>
          <a:solidFill>
            <a:srgbClr val="ffffff"/>
          </a:solidFill>
          <a:ln w="19050">
            <a:solidFill>
              <a:srgbClr val="156082"/>
            </a:solidFill>
            <a:round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dk1"/>
                </a:solidFill>
                <a:latin typeface="Calibri"/>
                <a:ea typeface="Calibri"/>
              </a:rPr>
              <a:t>KONTRAHENCI</a:t>
            </a:r>
            <a:endParaRPr b="0" lang="en-US" sz="1100" spc="-1" strike="noStrike">
              <a:latin typeface="Times New Roman"/>
            </a:endParaRPr>
          </a:p>
        </xdr:txBody>
      </xdr:sp>
      <xdr:sp>
        <xdr:nvSpPr>
          <xdr:cNvPr id="20" name="Prostokąt: zaokrąglone rogi 9"/>
          <xdr:cNvSpPr/>
        </xdr:nvSpPr>
        <xdr:spPr>
          <a:xfrm>
            <a:off x="4797000" y="104760"/>
            <a:ext cx="1390680" cy="342360"/>
          </a:xfrm>
          <a:prstGeom prst="roundRect">
            <a:avLst>
              <a:gd name="adj" fmla="val 50000"/>
            </a:avLst>
          </a:prstGeom>
          <a:gradFill rotWithShape="0">
            <a:gsLst>
              <a:gs pos="0">
                <a:srgbClr val="0a6a8f"/>
              </a:gs>
              <a:gs pos="48000">
                <a:srgbClr val="10a4dd"/>
              </a:gs>
              <a:gs pos="100000">
                <a:srgbClr val="61cbf4"/>
              </a:gs>
            </a:gsLst>
            <a:lin ang="16200000"/>
          </a:gra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ctr">
            <a:noAutofit/>
          </a:bodyPr>
          <a:p>
            <a:pPr algn="ctr">
              <a:lnSpc>
                <a:spcPct val="100000"/>
              </a:lnSpc>
            </a:pPr>
            <a:r>
              <a:rPr b="1" lang="pl-PL" sz="1100" spc="-1" strike="noStrike">
                <a:solidFill>
                  <a:schemeClr val="lt1"/>
                </a:solidFill>
                <a:latin typeface="Calibri"/>
                <a:ea typeface="Calibri"/>
              </a:rPr>
              <a:t>TRANSPORT</a:t>
            </a:r>
            <a:endParaRPr b="0" lang="en-US" sz="1100" spc="-1" strike="noStrike">
              <a:latin typeface="Times New Roman"/>
            </a:endParaRPr>
          </a:p>
        </xdr:txBody>
      </xdr:sp>
    </xdr:grpSp>
    <xdr:clientData/>
  </xdr:twoCellAnchor>
  <xdr:twoCellAnchor editAs="absolute">
    <xdr:from>
      <xdr:col>5</xdr:col>
      <xdr:colOff>942840</xdr:colOff>
      <xdr:row>0</xdr:row>
      <xdr:rowOff>104760</xdr:rowOff>
    </xdr:from>
    <xdr:to>
      <xdr:col>6</xdr:col>
      <xdr:colOff>130320</xdr:colOff>
      <xdr:row>2</xdr:row>
      <xdr:rowOff>76320</xdr:rowOff>
    </xdr:to>
    <xdr:sp>
      <xdr:nvSpPr>
        <xdr:cNvPr id="21" name="Prostokąt: zaokrąglone rogi 6"/>
        <xdr:cNvSpPr/>
      </xdr:nvSpPr>
      <xdr:spPr>
        <a:xfrm>
          <a:off x="9410040" y="104760"/>
          <a:ext cx="1504440" cy="333360"/>
        </a:xfrm>
        <a:prstGeom prst="roundRect">
          <a:avLst>
            <a:gd name="adj" fmla="val 50000"/>
          </a:avLst>
        </a:prstGeom>
        <a:solidFill>
          <a:srgbClr val="4ea72e"/>
        </a:solidFill>
        <a:ln w="19050">
          <a:solidFill>
            <a:srgbClr val="224914"/>
          </a:solidFill>
          <a:round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l-PL" sz="1100" spc="-1" strike="noStrike">
              <a:solidFill>
                <a:schemeClr val="lt1"/>
              </a:solidFill>
              <a:latin typeface="Calibri"/>
              <a:ea typeface="Calibri"/>
            </a:rPr>
            <a:t>DODAJ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7</xdr:row>
      <xdr:rowOff>104760</xdr:rowOff>
    </xdr:from>
    <xdr:to>
      <xdr:col>1</xdr:col>
      <xdr:colOff>360</xdr:colOff>
      <xdr:row>20</xdr:row>
      <xdr:rowOff>147960</xdr:rowOff>
    </xdr:to>
    <xdr:sp>
      <xdr:nvSpPr>
        <xdr:cNvPr id="22" name=""/>
        <xdr:cNvSpPr/>
      </xdr:nvSpPr>
      <xdr:spPr>
        <a:xfrm>
          <a:off x="0" y="1380960"/>
          <a:ext cx="1498320" cy="23961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1497600</xdr:colOff>
      <xdr:row>7</xdr:row>
      <xdr:rowOff>106200</xdr:rowOff>
    </xdr:to>
    <xdr:sp>
      <xdr:nvSpPr>
        <xdr:cNvPr id="23" name=""/>
        <xdr:cNvSpPr/>
      </xdr:nvSpPr>
      <xdr:spPr>
        <a:xfrm>
          <a:off x="0" y="0"/>
          <a:ext cx="1497600" cy="13824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29880</xdr:rowOff>
    </xdr:from>
    <xdr:to>
      <xdr:col>3</xdr:col>
      <xdr:colOff>599760</xdr:colOff>
      <xdr:row>0</xdr:row>
      <xdr:rowOff>323640</xdr:rowOff>
    </xdr:to>
    <xdr:sp>
      <xdr:nvSpPr>
        <xdr:cNvPr id="24" name="Przycisk NOWA OPERACJA"/>
        <xdr:cNvSpPr/>
      </xdr:nvSpPr>
      <xdr:spPr>
        <a:xfrm>
          <a:off x="2396520" y="29880"/>
          <a:ext cx="2714400" cy="293760"/>
        </a:xfrm>
        <a:prstGeom prst="roundRect">
          <a:avLst>
            <a:gd name="adj" fmla="val 16667"/>
          </a:avLst>
        </a:prstGeom>
        <a:solidFill>
          <a:srgbClr val="1e6b45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l-PL" sz="1100" spc="-1" strike="noStrike">
              <a:solidFill>
                <a:srgbClr val="ffffff"/>
              </a:solidFill>
              <a:latin typeface="Times New Roman"/>
            </a:rPr>
            <a:t>NOWA OPERACJA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0</xdr:colOff>
      <xdr:row>0</xdr:row>
      <xdr:rowOff>29880</xdr:rowOff>
    </xdr:from>
    <xdr:to>
      <xdr:col>5</xdr:col>
      <xdr:colOff>599760</xdr:colOff>
      <xdr:row>0</xdr:row>
      <xdr:rowOff>323640</xdr:rowOff>
    </xdr:to>
    <xdr:sp>
      <xdr:nvSpPr>
        <xdr:cNvPr id="25" name="Przycisk KOREKTA"/>
        <xdr:cNvSpPr/>
      </xdr:nvSpPr>
      <xdr:spPr>
        <a:xfrm>
          <a:off x="5216040" y="29880"/>
          <a:ext cx="1304640" cy="293760"/>
        </a:xfrm>
        <a:prstGeom prst="roundRect">
          <a:avLst>
            <a:gd name="adj" fmla="val 16667"/>
          </a:avLst>
        </a:prstGeom>
        <a:solidFill>
          <a:srgbClr val="2f75b5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l-PL" sz="1100" spc="-1" strike="noStrike">
              <a:solidFill>
                <a:srgbClr val="ffffff"/>
              </a:solidFill>
              <a:latin typeface="Times New Roman"/>
            </a:rPr>
            <a:t>KOREKTA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0</xdr:colOff>
      <xdr:row>0</xdr:row>
      <xdr:rowOff>29880</xdr:rowOff>
    </xdr:from>
    <xdr:to>
      <xdr:col>7</xdr:col>
      <xdr:colOff>599760</xdr:colOff>
      <xdr:row>0</xdr:row>
      <xdr:rowOff>323640</xdr:rowOff>
    </xdr:to>
    <xdr:sp>
      <xdr:nvSpPr>
        <xdr:cNvPr id="26" name="Przycisk USUŃ"/>
        <xdr:cNvSpPr/>
      </xdr:nvSpPr>
      <xdr:spPr>
        <a:xfrm>
          <a:off x="6625440" y="29880"/>
          <a:ext cx="2573640" cy="293760"/>
        </a:xfrm>
        <a:prstGeom prst="roundRect">
          <a:avLst>
            <a:gd name="adj" fmla="val 16667"/>
          </a:avLst>
        </a:prstGeom>
        <a:solidFill>
          <a:srgbClr val="c000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l-PL" sz="1100" spc="-1" strike="noStrike">
              <a:solidFill>
                <a:srgbClr val="ffffff"/>
              </a:solidFill>
              <a:latin typeface="Times New Roman"/>
            </a:rPr>
            <a:t>USUŃ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8</xdr:col>
      <xdr:colOff>0</xdr:colOff>
      <xdr:row>0</xdr:row>
      <xdr:rowOff>29880</xdr:rowOff>
    </xdr:from>
    <xdr:to>
      <xdr:col>9</xdr:col>
      <xdr:colOff>599760</xdr:colOff>
      <xdr:row>0</xdr:row>
      <xdr:rowOff>323640</xdr:rowOff>
    </xdr:to>
    <xdr:sp>
      <xdr:nvSpPr>
        <xdr:cNvPr id="27" name="Przycisk DOKUMENT PDF"/>
        <xdr:cNvSpPr/>
      </xdr:nvSpPr>
      <xdr:spPr>
        <a:xfrm>
          <a:off x="9586080" y="29880"/>
          <a:ext cx="2714040" cy="293760"/>
        </a:xfrm>
        <a:prstGeom prst="roundRect">
          <a:avLst>
            <a:gd name="adj" fmla="val 16667"/>
          </a:avLst>
        </a:prstGeom>
        <a:solidFill>
          <a:srgbClr val="7f60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l-PL" sz="1100" spc="-1" strike="noStrike">
              <a:solidFill>
                <a:srgbClr val="ffffff"/>
              </a:solidFill>
              <a:latin typeface="Times New Roman"/>
            </a:rPr>
            <a:t>DOKUMENT PDF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10</xdr:col>
      <xdr:colOff>0</xdr:colOff>
      <xdr:row>0</xdr:row>
      <xdr:rowOff>29880</xdr:rowOff>
    </xdr:from>
    <xdr:to>
      <xdr:col>11</xdr:col>
      <xdr:colOff>599760</xdr:colOff>
      <xdr:row>0</xdr:row>
      <xdr:rowOff>323640</xdr:rowOff>
    </xdr:to>
    <xdr:sp>
      <xdr:nvSpPr>
        <xdr:cNvPr id="28" name="Przycisk ODŚWIEŻ"/>
        <xdr:cNvSpPr/>
      </xdr:nvSpPr>
      <xdr:spPr>
        <a:xfrm>
          <a:off x="12405240" y="29880"/>
          <a:ext cx="1304640" cy="293760"/>
        </a:xfrm>
        <a:prstGeom prst="roundRect">
          <a:avLst>
            <a:gd name="adj" fmla="val 16667"/>
          </a:avLst>
        </a:prstGeom>
        <a:solidFill>
          <a:srgbClr val="595959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l-PL" sz="1100" spc="-1" strike="noStrike">
              <a:solidFill>
                <a:srgbClr val="ffffff"/>
              </a:solidFill>
              <a:latin typeface="Times New Roman"/>
            </a:rPr>
            <a:t>ODŚWIEŻ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77" createdVersion="3">
  <cacheSource type="worksheet">
    <worksheetSource ref="A1:AT578" sheet="Dane"/>
  </cacheSource>
  <cacheFields count="46">
    <cacheField name="Data załadunku do klienta końcowego" numFmtId="0">
      <sharedItems containsSemiMixedTypes="0" containsNonDate="0" containsDate="1" containsString="0" minDate="2026-07-06T00:00:00" maxDate="2026-08-31T00:00:00" count="41"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</sharedItems>
    </cacheField>
    <cacheField name="Miejsce załadunku" numFmtId="0">
      <sharedItems containsBlank="1" count="20">
        <s v="Brąszewice"/>
        <s v="Chrzanów"/>
        <s v="Gdańsk"/>
        <s v="Głubczyce"/>
        <s v="Jaworzno"/>
        <s v="Koniecpol"/>
        <s v="Kwiatniów"/>
        <s v="Magazyn Brąszewice"/>
        <s v="Magazyn Pyskowice"/>
        <s v="Magazyn Zabrze"/>
        <s v="Mętków"/>
        <s v="Mętków/Szczakowa"/>
        <s v="Mieczysko"/>
        <s v="Mitręga"/>
        <s v="Myszków"/>
        <s v="Pszczyna"/>
        <s v="Rudziniec"/>
        <s v="Ściborzyce"/>
        <s v="Strzelce Opolskie"/>
        <m/>
      </sharedItems>
    </cacheField>
    <cacheField name="Data operacji" numFmtId="0">
      <sharedItems containsSemiMixedTypes="0" containsNonDate="0" containsDate="1" containsString="0" minDate="2026-07-06T00:00:00" maxDate="2026-08-31T00:00:00" count="42"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</sharedItems>
    </cacheField>
    <cacheField name="Dostawca" numFmtId="0">
      <sharedItems count="21">
        <s v="Drew-Lech"/>
        <s v="Drewnex"/>
        <s v="Fioskip Adam Skipioł"/>
        <s v="Grandpol"/>
        <s v="GWood"/>
        <s v="Lander Agro"/>
        <s v="Magazyn Brąszewice"/>
        <s v="Magazyn Pyskowice"/>
        <s v="Magazyn Zabrze"/>
        <s v="Marcin Jamrozik"/>
        <s v="NDL Chrzanów, Leśnictwo Chełmek"/>
        <s v="NDL Chrzanów, Leśnictwo Mętków"/>
        <s v="NDL Chrzanów, Leśnictwo Mętków+Szczakowa"/>
        <s v="NDL Chrzanów, Leśnictwo Płoki"/>
        <s v="NDL Chrzanów, Leśnictwo Szczakowa"/>
        <s v="NDL Rudziniec, Leśnictwo Nogowczyce"/>
        <s v="NDL Siewierz, Leśnictwo Mitręga"/>
        <s v="NDL Strzelce Op, Leśnictwo Spórok"/>
        <s v="NDL Świerklaniec, Leśnictwo Mieczysko"/>
        <s v="Port Północny Gdańsk"/>
        <s v="Walber"/>
      </sharedItems>
    </cacheField>
    <cacheField name="Zakup/Sprzedaż" numFmtId="0">
      <sharedItems count="5">
        <s v="MM"/>
        <s v="PRODUKCJA"/>
        <s v="SPRZEDAŻ"/>
        <s v="ZAKUP"/>
        <s v="ZUŻYCIE"/>
      </sharedItems>
    </cacheField>
    <cacheField name="Nr. WZ" numFmtId="0">
      <sharedItems count="340">
        <s v="MM-1"/>
        <s v="MM-10"/>
        <s v="MM-11"/>
        <s v="MM-12"/>
        <s v="MM-13"/>
        <s v="MM-14"/>
        <s v="MM-15"/>
        <s v="MM-16"/>
        <s v="MM-17"/>
        <s v="MM-18"/>
        <s v="MM-19"/>
        <s v="MM-2"/>
        <s v="MM-20"/>
        <s v="MM-21"/>
        <s v="MM-22"/>
        <s v="MM-23"/>
        <s v="MM-24"/>
        <s v="MM-25"/>
        <s v="MM-26"/>
        <s v="MM-27"/>
        <s v="MM-28"/>
        <s v="MM-29"/>
        <s v="MM-3"/>
        <s v="MM-30"/>
        <s v="MM-31"/>
        <s v="MM-32"/>
        <s v="MM-33"/>
        <s v="MM-34"/>
        <s v="MM-35"/>
        <s v="MM-36"/>
        <s v="MM-37"/>
        <s v="MM-38"/>
        <s v="MM-39"/>
        <s v="MM-4"/>
        <s v="MM-40"/>
        <s v="MM-41"/>
        <s v="MM-42"/>
        <s v="MM-43"/>
        <s v="MM-44"/>
        <s v="MM-45"/>
        <s v="MM-46"/>
        <s v="MM-47"/>
        <s v="MM-48"/>
        <s v="MM-49"/>
        <s v="MM-5"/>
        <s v="MM-50"/>
        <s v="MM-51"/>
        <s v="MM-52"/>
        <s v="MM-53"/>
        <s v="MM-54"/>
        <s v="MM-55"/>
        <s v="MM-56"/>
        <s v="MM-57"/>
        <s v="MM-58"/>
        <s v="MM-59"/>
        <s v="MM-6"/>
        <s v="MM-60"/>
        <s v="MM-61"/>
        <s v="MM-62"/>
        <s v="MM-63"/>
        <s v="MM-64"/>
        <s v="MM-65"/>
        <s v="MM-66"/>
        <s v="MM-67"/>
        <s v="MM-68"/>
        <s v="MM-69"/>
        <s v="MM-7"/>
        <s v="MM-70"/>
        <s v="MM-71"/>
        <s v="MM-72"/>
        <s v="MM-73"/>
        <s v="MM-74"/>
        <s v="MM-75"/>
        <s v="MM-76"/>
        <s v="MM-77"/>
        <s v="MM-78"/>
        <s v="MM-8"/>
        <s v="MM-9"/>
        <s v="PZ/1"/>
        <s v="PZ/1/D"/>
        <s v="PZ/1/ŁN"/>
        <s v="PZ/10"/>
        <s v="PZ/10/D"/>
        <s v="PZ/100"/>
        <s v="PZ/100  3/202624967/1074"/>
        <s v="PZ/101"/>
        <s v="PZ/101 "/>
        <s v="PZ/102"/>
        <s v="PZ/102  2/202624966/6131"/>
        <s v="PZ/103"/>
        <s v="PZ/103  2/202624966/6133"/>
        <s v="PZ/104"/>
        <s v="PZ/104  2/202624966/6135"/>
        <s v="PZ/105"/>
        <s v="PZ/105  2/202624966/6136"/>
        <s v="PZ/106"/>
        <s v="PZ/107"/>
        <s v="PZ/108"/>
        <s v="PZ/109"/>
        <s v="PZ/11"/>
        <s v="PZ/11/D"/>
        <s v="PZ/110"/>
        <s v="PZ/110  3/202638592/1129"/>
        <s v="PZ/111"/>
        <s v="PZ/111  3/202638592/1130"/>
        <s v="PZ/112"/>
        <s v="PZ/112  3/202638592/1134"/>
        <s v="PZ/113"/>
        <s v="PZ/113  3/202638592/1132"/>
        <s v="PZ/114"/>
        <s v="PZ/115"/>
        <s v="PZ/116"/>
        <s v="PZ/116  3/202638592/6107"/>
        <s v="PZ/117"/>
        <s v="PZ/117  3/20268592/6108"/>
        <s v="PZ/118"/>
        <s v="PZ/118  3/202638592/1135"/>
        <s v="PZ/119"/>
        <s v="PZ/12"/>
        <s v="PZ/12/D"/>
        <s v="PZ/120"/>
        <s v="PZ/120  7/202640547/6118"/>
        <s v="PZ/121"/>
        <s v="PZ/121  7/202640547/6119"/>
        <s v="PZ/122"/>
        <s v="PZ/122    3/202638592/1131"/>
        <s v="PZ/123"/>
        <s v="PZ/123  3/202638592/1133"/>
        <s v="PZ/124"/>
        <s v="PZ/124  7/202640547/6120"/>
        <s v="PZ/125"/>
        <s v="PZ/125  7/202640547/6121"/>
        <s v="PZ/126"/>
        <s v="PZ/126  1/202623368/6073"/>
        <s v="PZ/13"/>
        <s v="PZ/13/D"/>
        <s v="PZ/14"/>
        <s v="PZ/14/D"/>
        <s v="PZ/15"/>
        <s v="PZ/15/D"/>
        <s v="PZ/16"/>
        <s v="PZ/16/D"/>
        <s v="PZ/17"/>
        <s v="PZ/17/D"/>
        <s v="PZ/18"/>
        <s v="PZ/18, PZ/19"/>
        <s v="PZ/18/D"/>
        <s v="PZ/19"/>
        <s v="PZ/19/D"/>
        <s v="PZ/2"/>
        <s v="PZ/2/D"/>
        <s v="PZ/2/ŁN"/>
        <s v="PZ/20"/>
        <s v="PZ/20/D"/>
        <s v="PZ/21"/>
        <s v="PZ/21/D"/>
        <s v="PZ/22"/>
        <s v="PZ/22/D"/>
        <s v="PZ/23"/>
        <s v="PZ/23/D"/>
        <s v="PZ/24"/>
        <s v="PZ/24  11/202624975/6098"/>
        <s v="PZ/24/D"/>
        <s v="PZ/25"/>
        <s v="PZ/25  11/202624975/6100"/>
        <s v="PZ/25/D"/>
        <s v="PZ/26"/>
        <s v="PZ/26  11/202624975/6101"/>
        <s v="PZ/26/D"/>
        <s v="PZ/27"/>
        <s v="PZ/27  11/202624975/6103"/>
        <s v="PZ/27/D"/>
        <s v="PZ/28"/>
        <s v="PZ/28  11/202624975/6099"/>
        <s v="PZ/28/D"/>
        <s v="PZ/29"/>
        <s v="PZ/29  11/202624975/6102"/>
        <s v="PZ/29/D"/>
        <s v="PZ/3"/>
        <s v="PZ/3/D"/>
        <s v="PZ/3/ŁN"/>
        <s v="PZ/30"/>
        <s v="PZ/30/D"/>
        <s v="PZ/31"/>
        <s v="PZ/31/D"/>
        <s v="PZ/32"/>
        <s v="PZ/32/D"/>
        <s v="PZ/33"/>
        <s v="PZ/33/D"/>
        <s v="PZ/34"/>
        <s v="PZ/34/D"/>
        <s v="PZ/35"/>
        <s v="PZ/35/D"/>
        <s v="PZ/36"/>
        <s v="PZ/36/D"/>
        <s v="PZ/37"/>
        <s v="PZ/37/D"/>
        <s v="PZ/38"/>
        <s v="PZ/38/D"/>
        <s v="PZ/39"/>
        <s v="PZ/39/D"/>
        <s v="PZ/4"/>
        <s v="PZ/4/D"/>
        <s v="PZ/4/ŁN"/>
        <s v="PZ/40"/>
        <s v="PZ/40/D"/>
        <s v="PZ/41"/>
        <s v="PZ/41/D"/>
        <s v="PZ/42"/>
        <s v="PZ/42/D"/>
        <s v="PZ/43"/>
        <s v="PZ/43/D"/>
        <s v="PZ/44"/>
        <s v="PZ/44/D"/>
        <s v="PZ/45"/>
        <s v="PZ/45/D"/>
        <s v="PZ/46"/>
        <s v="PZ/46  2/202624966/6105"/>
        <s v="PZ/46/D"/>
        <s v="PZ/47"/>
        <s v="PZ/47  2/202624966/6107"/>
        <s v="PZ/47/D"/>
        <s v="PZ/478 2/202624966/6106"/>
        <s v="PZ/48"/>
        <s v="PZ/48/D"/>
        <s v="PZ/49"/>
        <s v="PZ/49  2/202624966/6108"/>
        <s v="PZ/5"/>
        <s v="PZ/5/D"/>
        <s v="PZ/5/ŁN"/>
        <s v="PZ/50"/>
        <s v="PZ/50  5/202624969/6081"/>
        <s v="PZ/51"/>
        <s v="PZ/51  5/202624969/6082"/>
        <s v="PZ/52"/>
        <s v="PZ/52  5/202624969/6083"/>
        <s v="PZ/53"/>
        <s v="PZ/53  5/202624969/6084"/>
        <s v="PZ/54"/>
        <s v="PZ/54  5/20264969/6088"/>
        <s v="PZ/55"/>
        <s v="PZ/55  5/26264969/6089"/>
        <s v="PZ/56"/>
        <s v="PZ/57"/>
        <s v="PZ/57  1/20263368/6070"/>
        <s v="PZ/58"/>
        <s v="PZ/58  1/20263368/6071"/>
        <s v="PZ/59"/>
        <s v="PZ/59  1/20263368/6072"/>
        <s v="PZ/6"/>
        <s v="PZ/6/D"/>
        <s v="PZ/60"/>
        <s v="PZ/61"/>
        <s v="PZ/61  1/202623368/6075"/>
        <s v="PZ/62"/>
        <s v="PZ/62  1/202623368/6076"/>
        <s v="PZ/63"/>
        <s v="PZ/63  3/202624967/6162"/>
        <s v="PZ/64"/>
        <s v="PZ/64   3/202624967/6166"/>
        <s v="PZ/65"/>
        <s v="PZ/65   3/202624967/6163"/>
        <s v="PZ/66"/>
        <s v="PZ/66   3/202624967/6168"/>
        <s v="PZ/67"/>
        <s v="PZ/67   3/202624967/6165"/>
        <s v="PZ/68"/>
        <s v="PZ/68   3/202624967/6168"/>
        <s v="PZ/69   WZ 01/08/26"/>
        <s v="PZ/7"/>
        <s v="PZ/7/D"/>
        <s v="PZ/70"/>
        <s v="PZ/70   202632708/6668"/>
        <s v="PZ/71"/>
        <s v="PZ/71   3/202632708/6667"/>
        <s v="PZ/72"/>
        <s v="PZ/72   3/2026/32708/6666"/>
        <s v="PZ/73"/>
        <s v="PZ/73   3/202632708/6669"/>
        <s v="PZ/74"/>
        <s v="PZ/75"/>
        <s v="PZ/76"/>
        <s v="PZ/76   3/202632708/6671"/>
        <s v="PZ/77"/>
        <s v="PZ/77   3/202632708/6672"/>
        <s v="PZ/78"/>
        <s v="PZ/78   3/202632708/6673"/>
        <s v="PZ/79"/>
        <s v="PZ/79   3/202632708/6674"/>
        <s v="PZ/8"/>
        <s v="PZ/8/D"/>
        <s v="PZ/80"/>
        <s v="PZ/80   3/202632708/6675"/>
        <s v="PZ/81"/>
        <s v="PZ/82"/>
        <s v="PZ/83"/>
        <s v="PZ/84"/>
        <s v="PZ/85"/>
        <s v="PZ/86"/>
        <s v="PZ/87"/>
        <s v="PZ/88"/>
        <s v="PZ/89"/>
        <s v="PZ/9"/>
        <s v="PZ/9/D"/>
        <s v="PZ/90"/>
        <s v="PZ/91"/>
        <s v="PZ/92"/>
        <s v="PZ/93"/>
        <s v="PZ/94"/>
        <s v="PZ/95"/>
        <s v="PZ/96"/>
        <s v="PZ/96   3/202632708/6676"/>
        <s v="PZ/97"/>
        <s v="PZ/97   3/202632708/6677"/>
        <s v="PZ/98"/>
        <s v="PZ/98   3/202632708/6678"/>
        <s v="PZ/99"/>
        <s v="WZ-1"/>
        <s v="WZ-10"/>
        <s v="WZ-11"/>
        <s v="WZ-12"/>
        <s v="WZ-13"/>
        <s v="WZ-14"/>
        <s v="WZ-15"/>
        <s v="WZ-16"/>
        <s v="WZ-17"/>
        <s v="WZ-18"/>
        <s v="WZ-19"/>
        <s v="WZ-2"/>
        <s v="WZ-20"/>
        <s v="WZ-21"/>
        <s v="WZ-3"/>
        <s v="WZ-4"/>
        <s v="WZ-5"/>
        <s v="WZ-6"/>
        <s v="WZ-7"/>
        <s v="WZ-8"/>
        <s v="WZ-9"/>
        <s v="WZ/1/PKS"/>
        <s v="WZ/2/PKS"/>
      </sharedItems>
    </cacheField>
    <cacheField name="Czy magazynowane (TAK / NIE)" numFmtId="0">
      <sharedItems count="2">
        <s v="NIE"/>
        <s v="TAK"/>
      </sharedItems>
    </cacheField>
    <cacheField name="Deklaracja/KZR" numFmtId="0">
      <sharedItems containsBlank="1" count="3">
        <s v="Deklaracja"/>
        <s v="KZR"/>
        <m/>
      </sharedItems>
    </cacheField>
    <cacheField name="Volumen" numFmtId="0">
      <sharedItems containsSemiMixedTypes="0" containsString="0" containsNumber="1" minValue="3" maxValue="1185.4" count="152">
        <n v="3"/>
        <n v="6.03"/>
        <n v="6.44"/>
        <n v="10"/>
        <n v="12"/>
        <n v="14"/>
        <n v="14.5"/>
        <n v="15.08"/>
        <n v="15.09"/>
        <n v="15.3"/>
        <n v="15.56"/>
        <n v="15.65"/>
        <n v="15.96"/>
        <n v="16.22"/>
        <n v="16.96"/>
        <n v="17"/>
        <n v="17.38"/>
        <n v="18"/>
        <n v="18.1"/>
        <n v="18.3"/>
        <n v="18.4"/>
        <n v="18.96"/>
        <n v="20"/>
        <n v="20.03"/>
        <n v="20.1"/>
        <n v="20.28"/>
        <n v="20.5"/>
        <n v="21"/>
        <n v="21.1"/>
        <n v="21.3"/>
        <n v="21.31"/>
        <n v="21.78"/>
        <n v="22.38"/>
        <n v="22.57"/>
        <n v="23"/>
        <n v="23.17"/>
        <n v="23.18"/>
        <n v="23.52"/>
        <n v="23.72"/>
        <n v="23.78"/>
        <n v="23.88"/>
        <n v="23.9"/>
        <n v="24"/>
        <n v="24.04"/>
        <n v="24.08"/>
        <n v="24.36"/>
        <n v="24.64"/>
        <n v="25"/>
        <n v="25.54"/>
        <n v="26.36"/>
        <n v="26.69"/>
        <n v="26.86"/>
        <n v="26.95"/>
        <n v="27.02"/>
        <n v="27.06"/>
        <n v="27.16"/>
        <n v="27.4"/>
        <n v="27.42"/>
        <n v="28.01"/>
        <n v="28.06"/>
        <n v="28.12"/>
        <n v="28.15"/>
        <n v="28.16"/>
        <n v="28.46"/>
        <n v="28.49"/>
        <n v="28.57"/>
        <n v="28.86"/>
        <n v="28.98"/>
        <n v="28.99"/>
        <n v="29.02"/>
        <n v="29.03"/>
        <n v="29.05"/>
        <n v="29.11"/>
        <n v="29.5"/>
        <n v="29.55"/>
        <n v="29.68"/>
        <n v="29.82"/>
        <n v="29.9"/>
        <n v="29.95"/>
        <n v="29.96"/>
        <n v="29.99"/>
        <n v="30"/>
        <n v="30.3"/>
        <n v="30.46"/>
        <n v="30.5"/>
        <n v="30.66"/>
        <n v="31.7"/>
        <n v="32"/>
        <n v="32.06"/>
        <n v="40"/>
        <n v="48"/>
        <n v="55"/>
        <n v="55.44"/>
        <n v="56"/>
        <n v="57"/>
        <n v="58"/>
        <n v="60"/>
        <n v="61"/>
        <n v="61.48"/>
        <n v="62.19"/>
        <n v="62.6"/>
        <n v="63"/>
        <n v="63.84"/>
        <n v="64.88"/>
        <n v="65"/>
        <n v="67"/>
        <n v="67.84"/>
        <n v="68"/>
        <n v="69"/>
        <n v="69.52"/>
        <n v="69.72"/>
        <n v="70"/>
        <n v="71"/>
        <n v="72"/>
        <n v="72.4"/>
        <n v="73.2"/>
        <n v="74"/>
        <n v="75"/>
        <n v="75.6"/>
        <n v="75.84"/>
        <n v="76"/>
        <n v="76.2"/>
        <n v="80"/>
        <n v="80.12"/>
        <n v="80.4"/>
        <n v="81"/>
        <n v="81.12"/>
        <n v="82"/>
        <n v="84"/>
        <n v="84.4"/>
        <n v="85"/>
        <n v="85.2"/>
        <n v="85.24"/>
        <n v="86"/>
        <n v="86.5"/>
        <n v="87"/>
        <n v="87.02"/>
        <n v="87.12"/>
        <n v="88"/>
        <n v="88.67"/>
        <n v="89"/>
        <n v="89.98"/>
        <n v="90"/>
        <n v="92"/>
        <n v="178"/>
        <n v="271.35"/>
        <n v="315.7"/>
        <n v="652.2"/>
        <n v="1055"/>
        <n v="1095.5"/>
        <n v="1158.85"/>
        <n v="1185.4"/>
      </sharedItems>
    </cacheField>
    <cacheField name="Jednostka miary" numFmtId="0">
      <sharedItems count="3">
        <s v="M3"/>
        <s v="MP"/>
        <s v="TON"/>
      </sharedItems>
    </cacheField>
    <cacheField name="Cena zakupu/produkcji (zł/mp;zł/tona)" numFmtId="0">
      <sharedItems containsSemiMixedTypes="0" containsString="0" containsNumber="1" containsInteger="1" minValue="0" maxValue="275" count="14">
        <n v="0"/>
        <n v="20"/>
        <n v="40"/>
        <n v="45"/>
        <n v="50"/>
        <n v="70"/>
        <n v="78"/>
        <n v="105"/>
        <n v="112"/>
        <n v="117"/>
        <n v="141"/>
        <n v="230"/>
        <n v="265"/>
        <n v="275"/>
      </sharedItems>
    </cacheField>
    <cacheField name="Wartość" numFmtId="0">
      <sharedItems containsSemiMixedTypes="0" containsString="0" containsNumber="1" minValue="0" maxValue="10764" count="100">
        <n v="0"/>
        <n v="850.23"/>
        <n v="1120"/>
        <n v="1140"/>
        <n v="1344"/>
        <n v="1440"/>
        <n v="1481.2"/>
        <n v="1904"/>
        <n v="1974"/>
        <n v="2240"/>
        <n v="2250.36"/>
        <n v="2280"/>
        <n v="2391.36"/>
        <n v="2397"/>
        <n v="2450.58"/>
        <n v="2475"/>
        <n v="2538"/>
        <n v="2824.23"/>
        <n v="2834.1"/>
        <n v="2859.48"/>
        <n v="2925"/>
        <n v="3004.71"/>
        <n v="3070.98"/>
        <n v="3200"/>
        <n v="3330"/>
        <n v="3375"/>
        <n v="3420"/>
        <n v="3468.4"/>
        <n v="3470.7"/>
        <n v="3519"/>
        <n v="3578.8"/>
        <n v="3600"/>
        <n v="3645"/>
        <n v="3690"/>
        <n v="3780"/>
        <n v="3825"/>
        <n v="3870"/>
        <n v="3915"/>
        <n v="3960"/>
        <n v="4914"/>
        <n v="5147.4"/>
        <n v="5191.1"/>
        <n v="5329.1"/>
        <n v="5750"/>
        <n v="6138.7"/>
        <n v="6198.5"/>
        <n v="6214.6"/>
        <n v="6223.8"/>
        <n v="6246.8"/>
        <n v="6374.5"/>
        <n v="6396"/>
        <n v="6442.3"/>
        <n v="6453.8"/>
        <n v="6467.6"/>
        <n v="6468"/>
        <n v="6474.5"/>
        <n v="6476.8"/>
        <n v="6523"/>
        <n v="6539.5"/>
        <n v="6545.8"/>
        <n v="6552.7"/>
        <n v="6567"/>
        <n v="6571.1"/>
        <n v="6594.5"/>
        <n v="6611"/>
        <n v="6622"/>
        <n v="6637.8"/>
        <n v="6665.4"/>
        <n v="6667.7"/>
        <n v="6674.6"/>
        <n v="6676.9"/>
        <n v="6681.5"/>
        <n v="6695.3"/>
        <n v="6699"/>
        <n v="6747"/>
        <n v="6776"/>
        <n v="6785"/>
        <n v="6796.5"/>
        <n v="6826.4"/>
        <n v="6858.6"/>
        <n v="6864"/>
        <n v="6877"/>
        <n v="6888.5"/>
        <n v="6890.8"/>
        <n v="6897.7"/>
        <n v="6900"/>
        <n v="6969"/>
        <n v="6985.4"/>
        <n v="7005.8"/>
        <n v="7023.5"/>
        <n v="7051.8"/>
        <n v="7266.3"/>
        <n v="7291"/>
        <n v="7373.8"/>
        <n v="7386.5"/>
        <n v="7435.9"/>
        <n v="8082.5"/>
        <n v="9000"/>
        <n v="9660"/>
        <n v="10764"/>
      </sharedItems>
    </cacheField>
    <cacheField name="Cena sprzedaży (zł/mp;zł/tona)" numFmtId="0">
      <sharedItems containsSemiMixedTypes="0" containsString="0" containsNumber="1" containsInteger="1" minValue="0" maxValue="0" count="1">
        <n v="0"/>
      </sharedItems>
    </cacheField>
    <cacheField name="Produkt" numFmtId="0">
      <sharedItems count="11">
        <s v="CNCS"/>
        <s v="CNSC"/>
        <s v="Drewno opałowe z lasu"/>
        <s v="Drewno przemysłowe z wycinek inwest."/>
        <s v="Łupiny nerkowca"/>
        <s v="PKS"/>
        <s v="Zrębka Produkcyjna Drzewna"/>
        <s v="Zrębka Produkcyjna Inwestycyjna"/>
        <s v="Zrębka Produkcyjna Leśna"/>
        <s v="Zrębka towar"/>
        <s v="Zrzyna"/>
      </sharedItems>
    </cacheField>
    <cacheField name="Rodzaj zrębki a/b" numFmtId="0">
      <sharedItems containsBlank="1" count="2">
        <s v="B"/>
        <m/>
      </sharedItems>
    </cacheField>
    <cacheField name="Rąbanie własne/wynajęte (kto)" numFmtId="0">
      <sharedItems containsBlank="1" count="2">
        <s v="własne"/>
        <m/>
      </sharedItems>
    </cacheField>
    <cacheField name="Koszt rąbania usługa" numFmtId="0">
      <sharedItems containsString="0" containsBlank="1" containsNumber="1" containsInteger="1" minValue="0" maxValue="10" count="3">
        <n v="0"/>
        <n v="10"/>
        <m/>
      </sharedItems>
    </cacheField>
    <cacheField name="Transport Firma" numFmtId="0">
      <sharedItems containsBlank="1" count="10">
        <s v="DB Cargo"/>
        <s v="Lander Agro"/>
        <s v="Nowatrans"/>
        <s v="własny (Adrian Wojciechowski)"/>
        <s v="własny (Chrzan)"/>
        <s v="własny (Kretek)"/>
        <s v="własny (Łukasz Wojciechowski)"/>
        <s v="własny (Wilczak)"/>
        <s v="własny (Wiór)"/>
        <m/>
      </sharedItems>
    </cacheField>
    <cacheField name="Nr. Rejestracyjny" numFmtId="0">
      <sharedItems containsBlank="1" count="13">
        <s v="PY 30536"/>
        <s v="SK 4K625"/>
        <s v="SK 4K626"/>
        <s v="SK 5J756"/>
        <s v="SK 5K809"/>
        <s v="SK 5L809"/>
        <s v="SK 7H433"/>
        <s v="SK 7J884"/>
        <s v="SK 7J885"/>
        <s v="ST 9995P"/>
        <s v="SZ 2503U"/>
        <s v="WND 3546F"/>
        <m/>
      </sharedItems>
    </cacheField>
    <cacheField name="Odległość km" numFmtId="0">
      <sharedItems containsString="0" containsBlank="1" containsNumber="1" containsInteger="1" minValue="0" maxValue="800" count="20">
        <n v="0"/>
        <n v="40"/>
        <n v="62"/>
        <n v="100"/>
        <n v="105"/>
        <n v="107"/>
        <n v="110"/>
        <n v="120"/>
        <n v="122"/>
        <n v="134"/>
        <n v="140"/>
        <n v="150"/>
        <n v="160"/>
        <n v="182"/>
        <n v="200"/>
        <n v="210"/>
        <n v="340"/>
        <n v="610"/>
        <n v="800"/>
        <m/>
      </sharedItems>
    </cacheField>
    <cacheField name="Koszt transportu" numFmtId="0">
      <sharedItems containsMixedTypes="1" containsNumber="1" containsInteger="1" minValue="0" maxValue="1700" count="24">
        <n v="0"/>
        <n v="122"/>
        <n v="160"/>
        <n v="200"/>
        <n v="240"/>
        <n v="310"/>
        <n v="500"/>
        <n v="525"/>
        <n v="535"/>
        <n v="550"/>
        <n v="600"/>
        <n v="610"/>
        <n v="630"/>
        <n v="660"/>
        <n v="670"/>
        <n v="700"/>
        <n v="750"/>
        <n v="800"/>
        <n v="910"/>
        <n v="1000"/>
        <n v="1050"/>
        <n v="1200"/>
        <n v="1700"/>
        <s v=""/>
      </sharedItems>
    </cacheField>
    <cacheField name="Odbiorca" numFmtId="0">
      <sharedItems count="4">
        <s v="Magazyn Pyskowice"/>
        <s v="Magazyn Zabrze"/>
        <s v="Re Alloys, Łaziska"/>
        <s v="Re Chorzów"/>
      </sharedItems>
    </cacheField>
    <cacheField name="Uwagi" numFmtId="0">
      <sharedItems count="94">
        <s v="12 m3 (Mętków 3/202624967/1073)&#10;+ 4,22 m3 (Szczakowa 11/202624975/11181)&#10;Utworzył: Roesner Mateusz&#10;"/>
        <s v="12 m3 (Mętków) + 4,22 m3 (Szczakowa)&#10;Utworzył: Roesner Mateusz&#10;"/>
        <s v="22,54T&#10;&#10;Utworzył: Marcin Kwiatkowski"/>
        <s v="23 Wagony Łupiny Nerkowca / Utworzył: Roesner Mateusz"/>
        <s v="42 Wagony / Utworzył: Roesner Mateusz&#10;"/>
        <s v="43 wagony&#10;&#10;Utworzył: Marcin Kwiatkowski"/>
        <s v="43 Wagony / Utworzył: Roesner Mateusz&#10;"/>
        <s v="75 mp&#10;Utworzył: Marcin Kwiatkowski"/>
        <s v="75 mp / Utworzył: Roesner Mateusz"/>
        <s v="78 mp / Utworzył: Roesner Mateusz"/>
        <s v="82 mp / Utworzył: Roesner Mateusz"/>
        <s v="85 mp&#10;Utworzył: Marcin Kwiatkowski"/>
        <s v="9 Wagonów + 1 dziurawy (pusty) / Utworzył: Roesner Mateusz"/>
        <s v="9 Wagonów + 1 dziurawy (pusty) / Utworzył: Roesner Mateusz&#10;"/>
        <s v="90 MP / Tartaczna / Utworzył: Roesner Mateusz"/>
        <s v="92 MP/ Utworzył: Roesner Mateusz&#10;"/>
        <s v="Automatyczna produkcja z zakupionego surowca"/>
        <s v="Automatyczne zużycie surowca"/>
        <s v="Automatyczne zużycie surowca do produkcji"/>
        <s v="Brak informacji nt. kosztu transportu, kierowca z Lander Agro&#10;&#10;Utworzył: Marcin Kwiatkowski"/>
        <s v="Kierowca z Brąszewic&#10;&#10;Utworzył: Marcin Kwiatkowski"/>
        <s v="Kierowca z Brąszewic&#10;&#10;Waga: 28 800 kg&#10;&#10;Utwotzył: Marcin Kwiatkowski"/>
        <s v="Kierowca z Brąszewic, jechał pojazdem Tomasza Kretka&#10;&#10;Utworzył: Marcin Kwiatkowski"/>
        <s v="Kierowca z Brąszewic, jechał pojazdem Tomasza Kretka&#10;&#10;Utworzył: Marcin Kwiatkowski&#10;"/>
        <s v="Kurs z 1 kontenerem.&#10;Utworzył: Roesner Mateusz"/>
        <s v="nr. zamówienia: Z2/26/001120&#10;Utworzył: Roesner Mateusz"/>
        <s v="nr. zamówienia: Z2/26/001120&#10;Utworzył: Roesner Mateusz&#10;"/>
        <s v="Rębak z Brąszewic, rębakowy Łukasz Kempski&#10;&#10;Utworzył: Marcin Kwiatkowski"/>
        <s v="Rębak z Brąszewic, rębakowy Łukasz Kempski&#10;&#10;Utworzył: Marcin Kwiatkowski&#10;"/>
        <s v="Tartaczna / Utworzył: Roesner Mateusz"/>
        <s v="Tartaczna / Utworzył: Roesner Mateusz&#10;"/>
        <s v="Urworzył: Marcin Kwiatkowski"/>
        <s v="Utworzył: Marcin Kwiatkowski"/>
        <s v="Utworzył: Roesner Mateusz"/>
        <s v="Utworzył: Roesner Mateusz&#10;"/>
        <s v="Utworzył: Roesner Mateusz&#10;&#10;"/>
        <s v="Utworzył: Roesner Mateusz&#10;Produkcja z 04.05.2026r."/>
        <s v="Utworzył: Roesner Mateusz&#10;Produkcja z 04.05.2026r.&#10;"/>
        <s v="Utworzył: Roesner Mateusz/23,78T&#10;"/>
        <s v="Utworzył: Roesner Mateusz/24,36T&#10;"/>
        <s v="Utworzył: Roesner Mateusz/24,40T&#10;"/>
        <s v="Utworzył: Roesner Mateusz/25,42T"/>
        <s v="Utworzył: Roesner Mateusz/26,28T&#10;"/>
        <s v="Utworzył: Roesner Mateusz/27,94T&#10;"/>
        <s v="Waga 22,360t /Utworzył: Roesner Mateusz&#10;"/>
        <s v="Waga 22,380t /Utworzył: Roesner Mateusz"/>
        <s v="Waga 23,560t /Utworzył: Roesner Mateusz"/>
        <s v="Waga b/d / Utworzył: Roesner Mateusz"/>
        <s v="Waga b/d / Utworzył: Roesner Mateusz&#10;"/>
        <s v="Waga: 13 300 kg&#10;&#10;Utworzył: Marcin Kwiatkowski"/>
        <s v="Waga: 13 820 kg&#10;&#10;Utworzył: Marcin Kwiatkowski"/>
        <s v="Waga: 16 360 kg&#10;&#10;Utworzył: Marcin Kwiatkowski"/>
        <s v="Waga: 17 740 kg&#10;&#10;Utworzył: Marcin Kwiatkowski"/>
        <s v="Waga: 19 480 kg&#10;&#10;Utworzył: Marcin Kwiatkowski"/>
        <s v="Waga: 20 400 kg&#10;&#10;Utworzył: Marcin Kwiatkowski"/>
        <s v="Waga: 20 760 kg&#10;&#10;Utworzył: Marcin Kwiatkowski"/>
        <s v="Waga: 20 940 kg&#10;&#10;Utworzył: Marcin Kwiatkowski"/>
        <s v="Waga: 21 080 kg&#10;&#10;Utworzył: Marcin Kwiatkowski"/>
        <s v="Waga: 21 260 kg&#10;&#10;Utworzył: Marcin Kwiatkowski"/>
        <s v="Waga: 21 320 kg&#10;&#10;Utworzył: Marcin Kwiatkowski"/>
        <s v="Waga: 21 340 kg&#10;&#10;Utworzył: Marcin Kwiatkowski"/>
        <s v="Waga: 21 600 kg&#10;&#10;Utworzył: Marcin Kwiatkowski"/>
        <s v="Waga: 21 900 kg&#10;&#10;Utworzył: Marcin Kwiatkowski"/>
        <s v="Waga: 21 940 kg&#10;&#10;Utworzył: Marcin Kwiatkowski"/>
        <s v="Waga: 22 000 kg&#10;&#10;Utworzył: Marcin Kwiatkowski"/>
        <s v="Waga: 22 020 kg&#10;&#10;Utworzył: Marcin Kwiatkowski"/>
        <s v="Waga: 22 260 kg&#10;&#10;Utworzył: Marcin Kwiatkowski"/>
        <s v="Waga: 22 300 kg&#10;&#10;Utworzył: Marcin Kwiatkowski"/>
        <s v="Waga: 22 400 kg&#10;&#10;Utworzył: Marcin Kwiatkowski"/>
        <s v="Waga: 22 420 kg&#10;&#10;Utworzył: Marcin Kwiatkowski"/>
        <s v="Waga: 22 480 kg&#10;&#10;Utworzył: Marcin Kwiatkowski"/>
        <s v="Waga: 22 700 kg&#10;&#10;Utworzył: Marcin Kwiatkowski"/>
        <s v="Waga: 22 760 kg&#10;&#10;Utworzył: Marcin Kwiatkowski"/>
        <s v="Waga: 22 780 kg&#10;&#10;Utworzył Marcin Kwiatkowski"/>
        <s v="Waga: 22 880 kg&#10;&#10;Utworzył: Marcin Kwiatkowski"/>
        <s v="Waga: 22,880t / Utworzył: Roesner Mateusz&#10;"/>
        <s v="Waga: 23 140 kg&#10;&#10;Utworzył: Marcin Kwiatkowski"/>
        <s v="Waga: 23 180 kg&#10;&#10;Utworzył: Marcin Kwiatkowski"/>
        <s v="Waga: 23 880 kg&#10;&#10;Utworzył: Marcin Kwiatkowski"/>
        <s v="Waga: 23,300t / Utworzył: Roesner Mateusz"/>
        <s v="Waga: 24 080 kg&#10;&#10;Utworzył: Marcin Kwiatkowski"/>
        <s v="Waga: 24 240 kg&#10;&#10;Utworzył: Marcin Kwiatkowski"/>
        <s v="Waga: 24 360 kg&#10;&#10;Utworzył: Marcin Kwiatkowski"/>
        <s v="Waga: 24 420 kg&#10;&#10;Utworzył: Marcin Kwiatkowski"/>
        <s v="Waga: 24 500 kg&#10;&#10;Utworzył: Marcin Kwiatkowski"/>
        <s v="Waga: 24 700 kg&#10;&#10;Utworzył: Marcin Kwiatkowski"/>
        <s v="Waga: 24,120t / Utworzył: Roesner Mateusz"/>
        <s v="Waga: 24,740t / Utworzył: Roesner Mateusz&#10;"/>
        <s v="Waga: 25 080 kg&#10;&#10;Utworzył: Marcin Kwiatkowski"/>
        <s v="Waga: 25 140 kg&#10;&#10;Utworzył: Marcin Kwiatkowski"/>
        <s v="Waga: 25 900 kg&#10;&#10;Utworzył: Marcin Kwiatkowski"/>
        <s v="Waga: 25,46 t&#10;&#10;Utworzył: Marcin Kwiatkowski"/>
        <s v="Waga: 25,660 T&#10;Utworzył: Roesner Mateusz"/>
        <s v="Waga: 26280&#10;&#10;Utworzył: Marcin Kwiatkowski"/>
      </sharedItems>
    </cacheField>
    <cacheField name="Miejsce pochodzenia" numFmtId="0">
      <sharedItems containsBlank="1" count="5">
        <s v="Magazyn Brąszewice"/>
        <s v="Magazyn Pyskowice"/>
        <s v="Magazyn Zabrze"/>
        <s v="Myszków"/>
        <m/>
      </sharedItems>
    </cacheField>
    <cacheField name="Data dodania wpisu" numFmtId="0">
      <sharedItems containsSemiMixedTypes="0" containsNonDate="0" containsDate="1" containsString="0" minDate="2026-07-09T00:44:36" maxDate="2026-09-02T10:56:21" count="491">
        <d v="2026-07-09T00:44:36"/>
        <d v="2026-07-09T00:47:34"/>
        <d v="2026-07-09T00:55:17"/>
        <d v="2026-07-09T00:57:54"/>
        <d v="2026-07-09T07:18:05"/>
        <d v="2026-07-09T07:22:13"/>
        <d v="2026-07-09T07:26:26"/>
        <d v="2026-07-09T07:28:38"/>
        <d v="2026-07-09T07:32:50"/>
        <d v="2026-07-09T07:34:20"/>
        <d v="2026-07-09T07:39:19"/>
        <d v="2026-07-09T07:39:20"/>
        <d v="2026-07-09T07:44:23"/>
        <d v="2026-07-09T07:52:29"/>
        <d v="2026-07-09T07:53:58"/>
        <d v="2026-07-09T07:59:01"/>
        <d v="2026-07-09T08:01:01"/>
        <d v="2026-07-09T08:04:14"/>
        <d v="2026-07-09T08:05:51"/>
        <d v="2026-07-09T11:30:10"/>
        <d v="2026-07-09T11:33:34"/>
        <d v="2026-07-09T13:45:03"/>
        <d v="2026-07-10T09:57:28"/>
        <d v="2026-07-10T09:58:59"/>
        <d v="2026-07-10T10:02:22"/>
        <d v="2026-07-10T10:04:15"/>
        <d v="2026-07-10T10:05:21"/>
        <d v="2026-07-10T10:19:03"/>
        <d v="2026-07-10T10:42:29"/>
        <d v="2026-07-10T11:02:35"/>
        <d v="2026-07-10T11:06:01"/>
        <d v="2026-07-10T11:09:51"/>
        <d v="2026-07-10T11:11:24"/>
        <d v="2026-07-10T11:12:30"/>
        <d v="2026-07-13T08:36:20"/>
        <d v="2026-07-13T08:37:38"/>
        <d v="2026-07-13T08:38:39"/>
        <d v="2026-07-13T08:43:56"/>
        <d v="2026-07-13T08:45:55"/>
        <d v="2026-07-13T12:24:36"/>
        <d v="2026-07-13T12:26:54"/>
        <d v="2026-07-13T12:41:00"/>
        <d v="2026-07-13T12:43:50"/>
        <d v="2026-07-14T07:52:46"/>
        <d v="2026-07-14T10:14:28"/>
        <d v="2026-07-14T10:22:23"/>
        <d v="2026-07-14T10:23:59"/>
        <d v="2026-07-14T10:27:29"/>
        <d v="2026-07-14T10:28:40"/>
        <d v="2026-07-14T10:30:19"/>
        <d v="2026-07-14T10:31:04"/>
        <d v="2026-07-15T07:54:07"/>
        <d v="2026-07-15T07:56:26"/>
        <d v="2026-07-15T07:57:31"/>
        <d v="2026-07-15T11:18:17"/>
        <d v="2026-07-15T11:19:07"/>
        <d v="2026-07-15T13:10:27"/>
        <d v="2026-07-15T13:11:31"/>
        <d v="2026-07-16T10:49:17"/>
        <d v="2026-07-16T10:50:09"/>
        <d v="2026-07-16T10:51:11"/>
        <d v="2026-07-16T11:14:22"/>
        <d v="2026-07-16T11:15:27"/>
        <d v="2026-07-16T13:14:29"/>
        <d v="2026-07-17T08:54:22"/>
        <d v="2026-07-17T08:59:09"/>
        <d v="2026-07-17T09:03:55"/>
        <d v="2026-07-17T09:05:31"/>
        <d v="2026-07-17T09:06:49"/>
        <d v="2026-07-17T09:14:00"/>
        <d v="2026-07-17T10:51:56"/>
        <d v="2026-07-21T09:27:49"/>
        <d v="2026-07-21T09:28:42"/>
        <d v="2026-07-21T09:33:22"/>
        <d v="2026-07-21T09:39:22"/>
        <d v="2026-07-21T09:43:16"/>
        <d v="2026-07-21T09:51:32"/>
        <d v="2026-07-21T10:03:51"/>
        <d v="2026-07-21T10:08:09"/>
        <d v="2026-07-21T10:11:26"/>
        <d v="2026-07-21T10:20:40"/>
        <d v="2026-07-21T10:55:42"/>
        <d v="2026-07-21T11:00:12"/>
        <d v="2026-07-21T11:00:13"/>
        <d v="2026-07-21T11:43:07"/>
        <d v="2026-07-21T12:32:11"/>
        <d v="2026-07-21T12:38:55"/>
        <d v="2026-07-21T17:31:32"/>
        <d v="2026-07-21T22:26:48"/>
        <d v="2026-07-21T22:29:03"/>
        <d v="2026-07-21T22:38:28"/>
        <d v="2026-07-21T22:40:15"/>
        <d v="2026-07-21T22:43:41"/>
        <d v="2026-07-22T10:55:03"/>
        <d v="2026-07-22T10:56:19"/>
        <d v="2026-07-22T11:00:25"/>
        <d v="2026-07-22T11:07:44"/>
        <d v="2026-07-22T11:34:19"/>
        <d v="2026-07-22T11:43:36"/>
        <d v="2026-07-22T11:48:00"/>
        <d v="2026-07-22T11:50:48"/>
        <d v="2026-07-22T11:52:35"/>
        <d v="2026-07-22T12:56:10"/>
        <d v="2026-07-22T13:30:09"/>
        <d v="2026-07-22T13:35:29"/>
        <d v="2026-07-22T13:36:48"/>
        <d v="2026-07-22T13:38:18"/>
        <d v="2026-07-23T08:24:01"/>
        <d v="2026-07-23T08:25:21"/>
        <d v="2026-07-23T08:25:22"/>
        <d v="2026-07-23T08:27:03"/>
        <d v="2026-07-23T08:28:44"/>
        <d v="2026-07-23T08:30:17"/>
        <d v="2026-07-23T08:31:36"/>
        <d v="2026-07-23T08:39:05"/>
        <d v="2026-07-23T08:40:07"/>
        <d v="2026-07-23T08:42:11"/>
        <d v="2026-07-23T08:43:20"/>
        <d v="2026-07-23T08:44:25"/>
        <d v="2026-07-23T08:45:36"/>
        <d v="2026-07-23T08:54:58"/>
        <d v="2026-07-26T20:09:30"/>
        <d v="2026-07-26T20:10:35"/>
        <d v="2026-07-26T20:11:42"/>
        <d v="2026-07-26T20:12:43"/>
        <d v="2026-07-26T20:17:19"/>
        <d v="2026-07-26T20:18:58"/>
        <d v="2026-07-26T20:20:38"/>
        <d v="2026-07-26T20:21:44"/>
        <d v="2026-07-26T20:23:42"/>
        <d v="2026-07-27T17:45:09"/>
        <d v="2026-07-27T17:46:01"/>
        <d v="2026-07-28T07:15:12"/>
        <d v="2026-07-28T07:17:58"/>
        <d v="2026-07-28T07:20:06"/>
        <d v="2026-07-29T12:39:52"/>
        <d v="2026-07-29T12:40:44"/>
        <d v="2026-07-29T12:41:43"/>
        <d v="2026-07-29T12:47:10"/>
        <d v="2026-07-30T14:44:25"/>
        <d v="2026-07-30T14:49:27"/>
        <d v="2026-07-30T14:54:48"/>
        <d v="2026-07-30T14:56:29"/>
        <d v="2026-07-30T14:57:06"/>
        <d v="2026-07-30T14:58:53"/>
        <d v="2026-07-30T15:01:28"/>
        <d v="2026-07-30T15:02:54"/>
        <d v="2026-07-30T15:03:48"/>
        <d v="2026-07-30T20:37:09"/>
        <d v="2026-07-30T20:38:09"/>
        <d v="2026-07-30T20:41:16"/>
        <d v="2026-07-31T00:26:33"/>
        <d v="2026-07-31T00:28:13"/>
        <d v="2026-07-31T06:43:16"/>
        <d v="2026-07-31T06:44:12"/>
        <d v="2026-07-31T06:45:36"/>
        <d v="2026-07-31T06:47:42"/>
        <d v="2026-07-31T06:48:14"/>
        <d v="2026-07-31T06:49:27"/>
        <d v="2026-07-31T06:52:50"/>
        <d v="2026-07-31T06:53:26"/>
        <d v="2026-07-31T06:53:27"/>
        <d v="2026-07-31T06:55:31"/>
        <d v="2026-07-31T06:57:05"/>
        <d v="2026-07-31T06:57:51"/>
        <d v="2026-07-31T06:58:38"/>
        <d v="2026-07-31T07:01:41"/>
        <d v="2026-07-31T07:02:26"/>
        <d v="2026-07-31T07:03:55"/>
        <d v="2026-07-31T07:06:25"/>
        <d v="2026-07-31T07:07:02"/>
        <d v="2026-07-31T07:07:50"/>
        <d v="2026-07-31T07:08:49"/>
        <d v="2026-07-31T07:09:44"/>
        <d v="2026-07-31T07:09:45"/>
        <d v="2026-07-31T07:10:35"/>
        <d v="2026-07-31T07:19:19"/>
        <d v="2026-07-31T07:19:51"/>
        <d v="2026-07-31T07:20:50"/>
        <d v="2026-07-31T07:23:48"/>
        <d v="2026-07-31T07:24:23"/>
        <d v="2026-07-31T07:25:15"/>
        <d v="2026-07-31T07:32:30"/>
        <d v="2026-07-31T07:33:59"/>
        <d v="2026-07-31T10:23:06"/>
        <d v="2026-07-31T10:44:45"/>
        <d v="2026-08-03T10:56:02"/>
        <d v="2026-08-03T10:57:57"/>
        <d v="2026-08-03T10:59:30"/>
        <d v="2026-08-03T11:02:35"/>
        <d v="2026-08-03T11:03:48"/>
        <d v="2026-08-03T11:05:19"/>
        <d v="2026-08-03T11:07:27"/>
        <d v="2026-08-03T11:08:25"/>
        <d v="2026-08-03T11:10:11"/>
        <d v="2026-08-03T11:24:13"/>
        <d v="2026-08-03T11:25:06"/>
        <d v="2026-08-03T11:26:17"/>
        <d v="2026-08-03T11:31:50"/>
        <d v="2026-08-03T11:35:13"/>
        <d v="2026-08-03T11:41:34"/>
        <d v="2026-08-03T11:42:35"/>
        <d v="2026-08-03T11:44:04"/>
        <d v="2026-08-03T11:50:21"/>
        <d v="2026-08-03T11:51:14"/>
        <d v="2026-08-03T11:53:21"/>
        <d v="2026-08-03T12:06:11"/>
        <d v="2026-08-04T06:53:39"/>
        <d v="2026-08-04T06:57:41"/>
        <d v="2026-08-04T07:00:41"/>
        <d v="2026-08-06T09:47:41"/>
        <d v="2026-08-06T09:48:42"/>
        <d v="2026-08-06T10:00:57"/>
        <d v="2026-08-10T09:10:15"/>
        <d v="2026-08-10T09:11:54"/>
        <d v="2026-08-10T09:16:01"/>
        <d v="2026-08-10T09:16:59"/>
        <d v="2026-08-10T09:18:13"/>
        <d v="2026-08-10T09:21:26"/>
        <d v="2026-08-10T09:22:20"/>
        <d v="2026-08-10T09:23:05"/>
        <d v="2026-08-10T09:25:54"/>
        <d v="2026-08-10T09:26:39"/>
        <d v="2026-08-10T09:26:40"/>
        <d v="2026-08-10T09:27:34"/>
        <d v="2026-08-10T09:30:05"/>
        <d v="2026-08-10T09:30:57"/>
        <d v="2026-08-10T09:34:22"/>
        <d v="2026-08-10T09:36:24"/>
        <d v="2026-08-10T09:37:12"/>
        <d v="2026-08-10T09:38:20"/>
        <d v="2026-08-10T09:40:11"/>
        <d v="2026-08-10T09:41:19"/>
        <d v="2026-08-10T09:42:37"/>
        <d v="2026-08-10T09:44:33"/>
        <d v="2026-08-10T09:45:33"/>
        <d v="2026-08-10T09:47:14"/>
        <d v="2026-08-10T09:48:51"/>
        <d v="2026-08-10T09:49:33"/>
        <d v="2026-08-10T09:49:34"/>
        <d v="2026-08-10T09:50:48"/>
        <d v="2026-08-10T09:52:45"/>
        <d v="2026-08-10T09:53:31"/>
        <d v="2026-08-10T09:54:32"/>
        <d v="2026-08-10T09:59:21"/>
        <d v="2026-08-10T10:03:19"/>
        <d v="2026-08-10T10:05:37"/>
        <d v="2026-08-10T10:06:30"/>
        <d v="2026-08-10T10:08:57"/>
        <d v="2026-08-10T10:10:39"/>
        <d v="2026-08-10T10:12:38"/>
        <d v="2026-08-10T10:14:09"/>
        <d v="2026-08-10T10:16:00"/>
        <d v="2026-08-10T10:17:09"/>
        <d v="2026-08-10T10:19:30"/>
        <d v="2026-08-10T10:20:34"/>
        <d v="2026-08-10T10:22:26"/>
        <d v="2026-08-10T10:23:11"/>
        <d v="2026-08-10T10:25:07"/>
        <d v="2026-08-10T10:26:08"/>
        <d v="2026-08-10T10:30:32"/>
        <d v="2026-08-10T10:31:31"/>
        <d v="2026-08-10T10:33:44"/>
        <d v="2026-08-10T10:34:29"/>
        <d v="2026-08-10T10:35:34"/>
        <d v="2026-08-10T10:36:17"/>
        <d v="2026-08-10T10:38:13"/>
        <d v="2026-08-10T10:38:55"/>
        <d v="2026-08-10T10:40:05"/>
        <d v="2026-08-10T10:40:44"/>
        <d v="2026-08-12T23:18:02"/>
        <d v="2026-08-12T23:23:38"/>
        <d v="2026-08-12T23:26:26"/>
        <d v="2026-08-12T23:29:37"/>
        <d v="2026-08-12T23:32:23"/>
        <d v="2026-08-12T23:34:41"/>
        <d v="2026-08-12T23:46:16"/>
        <d v="2026-08-15T13:36:32"/>
        <d v="2026-08-15T13:37:36"/>
        <d v="2026-08-15T20:25:31"/>
        <d v="2026-08-15T20:26:39"/>
        <d v="2026-08-15T20:32:08"/>
        <d v="2026-08-15T20:33:11"/>
        <d v="2026-08-15T20:48:05"/>
        <d v="2026-08-15T21:01:11"/>
        <d v="2026-08-15T21:04:39"/>
        <d v="2026-08-15T21:11:16"/>
        <d v="2026-08-15T21:13:30"/>
        <d v="2026-08-19T18:57:43"/>
        <d v="2026-08-19T19:01:46"/>
        <d v="2026-08-19T19:01:47"/>
        <d v="2026-08-19T19:07:43"/>
        <d v="2026-08-20T08:33:05"/>
        <d v="2026-08-20T08:47:06"/>
        <d v="2026-08-20T08:50:46"/>
        <d v="2026-08-20T08:56:12"/>
        <d v="2026-08-20T09:00:08"/>
        <d v="2026-08-20T09:08:17"/>
        <d v="2026-08-20T10:10:52"/>
        <d v="2026-08-20T10:13:04"/>
        <d v="2026-08-20T10:15:09"/>
        <d v="2026-08-20T14:28:53"/>
        <d v="2026-08-20T14:30:47"/>
        <d v="2026-08-20T14:32:24"/>
        <d v="2026-08-20T14:35:05"/>
        <d v="2026-08-20T14:37:02"/>
        <d v="2026-08-20T14:38:36"/>
        <d v="2026-08-20T14:46:11"/>
        <d v="2026-08-20T14:53:25"/>
        <d v="2026-08-20T14:55:21"/>
        <d v="2026-08-20T14:59:09"/>
        <d v="2026-08-20T15:05:41"/>
        <d v="2026-08-20T15:07:04"/>
        <d v="2026-08-20T15:08:46"/>
        <d v="2026-08-20T15:11:28"/>
        <d v="2026-08-20T15:12:47"/>
        <d v="2026-08-20T15:15:45"/>
        <d v="2026-08-20T15:18:45"/>
        <d v="2026-08-20T15:20:07"/>
        <d v="2026-08-20T15:22:03"/>
        <d v="2026-08-21T12:40:30"/>
        <d v="2026-08-21T13:06:05"/>
        <d v="2026-08-21T13:13:31"/>
        <d v="2026-08-21T13:17:22"/>
        <d v="2026-08-21T13:20:46"/>
        <d v="2026-08-21T13:22:19"/>
        <d v="2026-08-21T13:30:26"/>
        <d v="2026-08-21T13:42:22"/>
        <d v="2026-08-21T13:43:43"/>
        <d v="2026-08-21T13:45:05"/>
        <d v="2026-08-21T13:47:20"/>
        <d v="2026-08-21T13:50:35"/>
        <d v="2026-08-21T13:56:10"/>
        <d v="2026-08-21T13:59:53"/>
        <d v="2026-08-21T14:47:11"/>
        <d v="2026-08-21T14:52:44"/>
        <d v="2026-08-21T14:56:40"/>
        <d v="2026-08-21T15:05:54"/>
        <d v="2026-08-23T19:03:54"/>
        <d v="2026-08-23T19:06:00"/>
        <d v="2026-08-23T19:32:26"/>
        <d v="2026-08-23T19:39:46"/>
        <d v="2026-08-23T19:42:17"/>
        <d v="2026-08-23T19:47:49"/>
        <d v="2026-08-23T19:49:35"/>
        <d v="2026-08-23T19:53:48"/>
        <d v="2026-08-23T19:57:50"/>
        <d v="2026-08-23T20:02:46"/>
        <d v="2026-08-23T20:04:16"/>
        <d v="2026-08-23T20:05:41"/>
        <d v="2026-08-23T20:10:33"/>
        <d v="2026-08-23T20:12:00"/>
        <d v="2026-08-23T20:12:01"/>
        <d v="2026-08-23T20:14:14"/>
        <d v="2026-08-23T20:21:48"/>
        <d v="2026-08-23T20:22:57"/>
        <d v="2026-08-23T20:25:03"/>
        <d v="2026-08-23T20:28:57"/>
        <d v="2026-08-23T20:30:57"/>
        <d v="2026-08-23T20:32:18"/>
        <d v="2026-08-23T20:34:46"/>
        <d v="2026-08-23T20:36:05"/>
        <d v="2026-08-23T20:36:06"/>
        <d v="2026-08-23T20:37:26"/>
        <d v="2026-08-23T20:40:04"/>
        <d v="2026-08-23T20:44:08"/>
        <d v="2026-08-23T20:48:20"/>
        <d v="2026-08-23T20:49:55"/>
        <d v="2026-08-23T20:51:34"/>
        <d v="2026-08-23T20:54:05"/>
        <d v="2026-08-23T20:55:53"/>
        <d v="2026-08-23T20:58:11"/>
        <d v="2026-08-23T21:02:38"/>
        <d v="2026-08-23T21:05:51"/>
        <d v="2026-08-23T21:08:22"/>
        <d v="2026-08-23T21:10:30"/>
        <d v="2026-08-23T21:13:00"/>
        <d v="2026-08-23T21:14:35"/>
        <d v="2026-08-23T21:17:25"/>
        <d v="2026-08-23T21:26:08"/>
        <d v="2026-08-23T21:29:59"/>
        <d v="2026-08-23T21:31:17"/>
        <d v="2026-08-23T21:33:29"/>
        <d v="2026-08-23T21:37:56"/>
        <d v="2026-08-23T21:38:55"/>
        <d v="2026-08-23T21:40:21"/>
        <d v="2026-08-23T21:42:36"/>
        <d v="2026-08-23T21:44:40"/>
        <d v="2026-08-23T21:46:08"/>
        <d v="2026-08-23T21:47:49"/>
        <d v="2026-08-23T21:49:02"/>
        <d v="2026-08-23T21:51:24"/>
        <d v="2026-08-24T11:31:03"/>
        <d v="2026-08-24T11:35:30"/>
        <d v="2026-08-24T11:36:37"/>
        <d v="2026-08-24T11:36:38"/>
        <d v="2026-08-24T11:38:46"/>
        <d v="2026-08-24T11:40:36"/>
        <d v="2026-08-24T11:41:40"/>
        <d v="2026-08-24T11:41:41"/>
        <d v="2026-08-24T11:45:01"/>
        <d v="2026-08-24T11:47:42"/>
        <d v="2026-08-24T11:49:45"/>
        <d v="2026-08-24T11:49:46"/>
        <d v="2026-08-24T11:51:18"/>
        <d v="2026-08-24T11:57:50"/>
        <d v="2026-08-28T09:45:13"/>
        <d v="2026-08-28T09:46:20"/>
        <d v="2026-08-28T09:50:44"/>
        <d v="2026-08-28T09:51:56"/>
        <d v="2026-08-28T09:58:11"/>
        <d v="2026-08-28T09:59:18"/>
        <d v="2026-08-28T10:02:54"/>
        <d v="2026-08-28T10:29:06"/>
        <d v="2026-08-28T10:29:56"/>
        <d v="2026-08-30T22:54:45"/>
        <d v="2026-08-30T22:56:26"/>
        <d v="2026-08-30T22:58:05"/>
        <d v="2026-08-30T23:04:00"/>
        <d v="2026-08-30T23:08:03"/>
        <d v="2026-08-30T23:08:04"/>
        <d v="2026-08-30T23:10:50"/>
        <d v="2026-08-30T23:13:10"/>
        <d v="2026-08-30T23:14:19"/>
        <d v="2026-08-30T23:17:46"/>
        <d v="2026-08-31T08:30:27"/>
        <d v="2026-08-31T08:36:22"/>
        <d v="2026-08-31T08:37:25"/>
        <d v="2026-08-31T08:39:09"/>
        <d v="2026-08-31T08:48:42"/>
        <d v="2026-08-31T08:49:40"/>
        <d v="2026-08-31T08:50:39"/>
        <d v="2026-08-31T09:00:32"/>
        <d v="2026-08-31T09:01:35"/>
        <d v="2026-08-31T09:02:52"/>
        <d v="2026-08-31T09:07:26"/>
        <d v="2026-08-31T09:09:06"/>
        <d v="2026-08-31T09:11:29"/>
        <d v="2026-08-31T09:13:45"/>
        <d v="2026-08-31T09:14:33"/>
        <d v="2026-08-31T09:15:37"/>
        <d v="2026-08-31T09:24:11"/>
        <d v="2026-08-31T09:25:07"/>
        <d v="2026-08-31T09:26:13"/>
        <d v="2026-08-31T09:34:16"/>
        <d v="2026-08-31T09:35:01"/>
        <d v="2026-08-31T09:35:02"/>
        <d v="2026-08-31T09:36:02"/>
        <d v="2026-08-31T09:39:42"/>
        <d v="2026-08-31T09:40:51"/>
        <d v="2026-08-31T09:41:54"/>
        <d v="2026-08-31T09:43:46"/>
        <d v="2026-08-31T09:44:26"/>
        <d v="2026-08-31T09:45:18"/>
        <d v="2026-08-31T09:46:56"/>
        <d v="2026-08-31T09:47:37"/>
        <d v="2026-08-31T09:48:31"/>
        <d v="2026-08-31T09:51:32"/>
        <d v="2026-08-31T10:02:18"/>
        <d v="2026-08-31T10:04:15"/>
        <d v="2026-08-31T10:44:02"/>
        <d v="2026-08-31T12:19:17"/>
        <d v="2026-08-31T12:41:44"/>
        <d v="2026-08-31T12:42:34"/>
        <d v="2026-08-31T12:42:35"/>
        <d v="2026-08-31T12:43:35"/>
        <d v="2026-08-31T12:54:27"/>
        <d v="2026-08-31T13:10:00"/>
        <d v="2026-08-31T13:10:41"/>
        <d v="2026-08-31T13:12:00"/>
        <d v="2026-09-01T06:22:49"/>
        <d v="2026-09-01T06:24:57"/>
        <d v="2026-09-01T06:24:58"/>
        <d v="2026-09-01T06:26:29"/>
        <d v="2026-09-01T06:28:59"/>
        <d v="2026-09-01T06:29:43"/>
        <d v="2026-09-01T06:30:54"/>
        <d v="2026-09-01T06:40:59"/>
        <d v="2026-09-01T06:41:40"/>
        <d v="2026-09-01T06:41:41"/>
        <d v="2026-09-01T06:42:53"/>
        <d v="2026-09-01T06:45:16"/>
        <d v="2026-09-01T06:45:49"/>
        <d v="2026-09-01T06:46:41"/>
        <d v="2026-09-01T09:20:48"/>
        <d v="2026-09-02T08:48:36"/>
        <d v="2026-09-02T08:51:01"/>
        <d v="2026-09-02T08:51:02"/>
        <d v="2026-09-02T08:52:47"/>
        <d v="2026-09-02T10:53:25"/>
        <d v="2026-09-02T10:56:21"/>
      </sharedItems>
    </cacheField>
    <cacheField name="Wolumen_MP" numFmtId="0">
      <sharedItems containsSemiMixedTypes="0" containsString="0" containsNumber="1" minValue="12" maxValue="3592.12121212121" count="131">
        <n v="12"/>
        <n v="17"/>
        <n v="23"/>
        <n v="24"/>
        <n v="24.08"/>
        <n v="24.12"/>
        <n v="25.76"/>
        <n v="29.68"/>
        <n v="32"/>
        <n v="40"/>
        <n v="48"/>
        <n v="55"/>
        <n v="55.44"/>
        <n v="55.7575757575758"/>
        <n v="56"/>
        <n v="57"/>
        <n v="58"/>
        <n v="60"/>
        <n v="60.32"/>
        <n v="60.36"/>
        <n v="60.6060606060606"/>
        <n v="61"/>
        <n v="61.2"/>
        <n v="61.48"/>
        <n v="62.19"/>
        <n v="62.24"/>
        <n v="62.6"/>
        <n v="63"/>
        <n v="63.84"/>
        <n v="64.88"/>
        <n v="65"/>
        <n v="67"/>
        <n v="67.84"/>
        <n v="68"/>
        <n v="69"/>
        <n v="69.52"/>
        <n v="69.72"/>
        <n v="70"/>
        <n v="70.2424242424242"/>
        <n v="71"/>
        <n v="71.2727272727273"/>
        <n v="71.8787878787879"/>
        <n v="72"/>
        <n v="72.0606060606061"/>
        <n v="72.3636363636364"/>
        <n v="72.4"/>
        <n v="72.4242424242424"/>
        <n v="72.8484848484848"/>
        <n v="73.2"/>
        <n v="73.8181818181818"/>
        <n v="74"/>
        <n v="74.6666666666667"/>
        <n v="75"/>
        <n v="75.6"/>
        <n v="75.84"/>
        <n v="76"/>
        <n v="76.2"/>
        <n v="77.3939393939394"/>
        <n v="79.8787878787879"/>
        <n v="80"/>
        <n v="80.12"/>
        <n v="80.4"/>
        <n v="81"/>
        <n v="81.12"/>
        <n v="81.3939393939394"/>
        <n v="82"/>
        <n v="83.030303030303"/>
        <n v="83.0909090909091"/>
        <n v="84"/>
        <n v="84.4"/>
        <n v="85"/>
        <n v="85.030303030303"/>
        <n v="85.2"/>
        <n v="85.24"/>
        <n v="86"/>
        <n v="86.5"/>
        <n v="87"/>
        <n v="87.02"/>
        <n v="87.12"/>
        <n v="88"/>
        <n v="88.67"/>
        <n v="89"/>
        <n v="89.52"/>
        <n v="89.98"/>
        <n v="90"/>
        <n v="90.28"/>
        <n v="92"/>
        <n v="92.4242424242424"/>
        <n v="92.68"/>
        <n v="100"/>
        <n v="106.76"/>
        <n v="107.8"/>
        <n v="108.08"/>
        <n v="108.24"/>
        <n v="108.64"/>
        <n v="112.04"/>
        <n v="112.24"/>
        <n v="112.48"/>
        <n v="112.6"/>
        <n v="112.64"/>
        <n v="113.84"/>
        <n v="113.96"/>
        <n v="114.28"/>
        <n v="115.44"/>
        <n v="115.92"/>
        <n v="115.96"/>
        <n v="116.08"/>
        <n v="116.12"/>
        <n v="116.2"/>
        <n v="116.44"/>
        <n v="118"/>
        <n v="118.2"/>
        <n v="119.28"/>
        <n v="119.6"/>
        <n v="119.8"/>
        <n v="119.84"/>
        <n v="119.96"/>
        <n v="120"/>
        <n v="121.2"/>
        <n v="121.84"/>
        <n v="122.64"/>
        <n v="126.8"/>
        <n v="128.24"/>
        <n v="178"/>
        <n v="822.272727272727"/>
        <n v="956.666666666667"/>
        <n v="1976.36363636364"/>
        <n v="3196.9696969697"/>
        <n v="3319.69696969697"/>
        <n v="3511.66666666667"/>
        <n v="3592.12121212121"/>
      </sharedItems>
    </cacheField>
    <cacheField name="Wolumen_t" numFmtId="0">
      <sharedItems containsSemiMixedTypes="0" containsString="0" containsNumber="1" minValue="0.99" maxValue="1185.4" count="154">
        <n v="0.99"/>
        <n v="1.9899"/>
        <n v="2.1252"/>
        <n v="3.3"/>
        <n v="3.96"/>
        <n v="4.62"/>
        <n v="4.785"/>
        <n v="4.9764"/>
        <n v="4.9797"/>
        <n v="5.049"/>
        <n v="5.1348"/>
        <n v="5.1645"/>
        <n v="5.2668"/>
        <n v="5.3526"/>
        <n v="5.5968"/>
        <n v="5.61"/>
        <n v="5.7354"/>
        <n v="5.94"/>
        <n v="5.973"/>
        <n v="6.039"/>
        <n v="6.2568"/>
        <n v="6.6"/>
        <n v="6.6099"/>
        <n v="6.633"/>
        <n v="6.6924"/>
        <n v="6.765"/>
        <n v="6.93"/>
        <n v="6.963"/>
        <n v="7.029"/>
        <n v="7.0323"/>
        <n v="7.1874"/>
        <n v="7.3854"/>
        <n v="7.4481"/>
        <n v="7.59"/>
        <n v="7.6461"/>
        <n v="7.92"/>
        <n v="7.9464"/>
        <n v="8.25"/>
        <n v="8.8077"/>
        <n v="8.8935"/>
        <n v="8.9166"/>
        <n v="8.9298"/>
        <n v="8.9628"/>
        <n v="9.2433"/>
        <n v="9.2598"/>
        <n v="9.2796"/>
        <n v="9.2895"/>
        <n v="9.2928"/>
        <n v="9.3918"/>
        <n v="9.4017"/>
        <n v="9.4281"/>
        <n v="9.5238"/>
        <n v="9.5634"/>
        <n v="9.5667"/>
        <n v="9.5766"/>
        <n v="9.5799"/>
        <n v="9.5865"/>
        <n v="9.6063"/>
        <n v="9.735"/>
        <n v="9.7515"/>
        <n v="9.7944"/>
        <n v="9.8406"/>
        <n v="9.867"/>
        <n v="9.8835"/>
        <n v="9.8868"/>
        <n v="9.8967"/>
        <n v="9.9"/>
        <n v="9.999"/>
        <n v="10.0518"/>
        <n v="10.1178"/>
        <n v="10.461"/>
        <n v="10.56"/>
        <n v="10.5798"/>
        <n v="13.2"/>
        <n v="15.84"/>
        <n v="18.15"/>
        <n v="18.2952"/>
        <n v="18.4"/>
        <n v="18.48"/>
        <n v="18.81"/>
        <n v="19.14"/>
        <n v="19.8"/>
        <n v="20"/>
        <n v="20.13"/>
        <n v="20.2884"/>
        <n v="20.5227"/>
        <n v="20.658"/>
        <n v="20.79"/>
        <n v="21.0672"/>
        <n v="21.4104"/>
        <n v="21.45"/>
        <n v="22.11"/>
        <n v="22.3872"/>
        <n v="22.44"/>
        <n v="22.77"/>
        <n v="22.9416"/>
        <n v="23.0076"/>
        <n v="23.1"/>
        <n v="23.18"/>
        <n v="23.43"/>
        <n v="23.52"/>
        <n v="23.72"/>
        <n v="23.76"/>
        <n v="23.78"/>
        <n v="23.88"/>
        <n v="23.892"/>
        <n v="23.9"/>
        <n v="24.04"/>
        <n v="24.156"/>
        <n v="24.36"/>
        <n v="24.42"/>
        <n v="24.64"/>
        <n v="24.75"/>
        <n v="24.948"/>
        <n v="25.0272"/>
        <n v="25.08"/>
        <n v="25.146"/>
        <n v="25.54"/>
        <n v="26.36"/>
        <n v="26.4"/>
        <n v="26.4396"/>
        <n v="26.532"/>
        <n v="26.73"/>
        <n v="26.7696"/>
        <n v="26.86"/>
        <n v="27.06"/>
        <n v="27.4"/>
        <n v="27.42"/>
        <n v="27.72"/>
        <n v="27.852"/>
        <n v="28.05"/>
        <n v="28.06"/>
        <n v="28.116"/>
        <n v="28.1292"/>
        <n v="28.38"/>
        <n v="28.545"/>
        <n v="28.71"/>
        <n v="28.7166"/>
        <n v="28.7496"/>
        <n v="29.04"/>
        <n v="29.2611"/>
        <n v="29.37"/>
        <n v="29.6934"/>
        <n v="29.7"/>
        <n v="30.36"/>
        <n v="30.5"/>
        <n v="58.74"/>
        <n v="271.35"/>
        <n v="315.7"/>
        <n v="652.2"/>
        <n v="1055"/>
        <n v="1095.5"/>
        <n v="1158.85"/>
        <n v="1185.4"/>
      </sharedItems>
    </cacheField>
    <cacheField name="Wolumen_GJ" numFmtId="0">
      <sharedItems containsSemiMixedTypes="0" containsString="0" containsNumber="1" minValue="8.415" maxValue="10075.9" count="154">
        <n v="8.415"/>
        <n v="16.91415"/>
        <n v="18.0642"/>
        <n v="28.05"/>
        <n v="33.66"/>
        <n v="39.27"/>
        <n v="40.6725"/>
        <n v="42.2994"/>
        <n v="42.32745"/>
        <n v="42.9165"/>
        <n v="43.6458"/>
        <n v="43.89825"/>
        <n v="44.7678"/>
        <n v="45.4971"/>
        <n v="47.5728"/>
        <n v="47.685"/>
        <n v="48.7509"/>
        <n v="50.49"/>
        <n v="50.7705"/>
        <n v="51.3315"/>
        <n v="53.1828"/>
        <n v="56.1"/>
        <n v="56.18415"/>
        <n v="56.3805"/>
        <n v="56.8854"/>
        <n v="57.5025"/>
        <n v="58.905"/>
        <n v="59.1855"/>
        <n v="59.7465"/>
        <n v="59.77455"/>
        <n v="61.0929"/>
        <n v="62.7759"/>
        <n v="63.30885"/>
        <n v="64.515"/>
        <n v="64.99185"/>
        <n v="67.32"/>
        <n v="67.5444"/>
        <n v="70.125"/>
        <n v="74.86545"/>
        <n v="75.59475"/>
        <n v="75.7911"/>
        <n v="75.9033"/>
        <n v="76.1838"/>
        <n v="78.56805"/>
        <n v="78.7083"/>
        <n v="78.8766"/>
        <n v="78.96075"/>
        <n v="78.9888"/>
        <n v="79.8303"/>
        <n v="79.91445"/>
        <n v="80.13885"/>
        <n v="80.9523"/>
        <n v="81.2889"/>
        <n v="81.31695"/>
        <n v="81.4011"/>
        <n v="81.42915"/>
        <n v="81.48525"/>
        <n v="81.65355"/>
        <n v="82.7475"/>
        <n v="82.88775"/>
        <n v="83.2524"/>
        <n v="83.6451"/>
        <n v="83.8695"/>
        <n v="84.00975"/>
        <n v="84.0378"/>
        <n v="84.12195"/>
        <n v="84.15"/>
        <n v="84.9915"/>
        <n v="85.4403"/>
        <n v="86.0013"/>
        <n v="88.9185"/>
        <n v="89.76"/>
        <n v="89.9283"/>
        <n v="112.2"/>
        <n v="134.64"/>
        <n v="154.275"/>
        <n v="155.5092"/>
        <n v="156.4"/>
        <n v="157.08"/>
        <n v="159.885"/>
        <n v="162.69"/>
        <n v="168.3"/>
        <n v="170"/>
        <n v="171.105"/>
        <n v="172.4514"/>
        <n v="174.44295"/>
        <n v="175.593"/>
        <n v="176.715"/>
        <n v="179.0712"/>
        <n v="181.9884"/>
        <n v="182.325"/>
        <n v="187.935"/>
        <n v="190.2912"/>
        <n v="190.74"/>
        <n v="193.545"/>
        <n v="195.0036"/>
        <n v="195.5646"/>
        <n v="196.35"/>
        <n v="197.03"/>
        <n v="199.155"/>
        <n v="199.92"/>
        <n v="201.62"/>
        <n v="201.96"/>
        <n v="202.13"/>
        <n v="202.98"/>
        <n v="203.082"/>
        <n v="203.15"/>
        <n v="204.34"/>
        <n v="205.326"/>
        <n v="207.06"/>
        <n v="207.57"/>
        <n v="209.44"/>
        <n v="210.375"/>
        <n v="212.058"/>
        <n v="212.7312"/>
        <n v="213.18"/>
        <n v="213.741"/>
        <n v="217.09"/>
        <n v="224.06"/>
        <n v="224.4"/>
        <n v="224.7366"/>
        <n v="225.522"/>
        <n v="227.205"/>
        <n v="227.5416"/>
        <n v="228.31"/>
        <n v="230.01"/>
        <n v="232.9"/>
        <n v="233.07"/>
        <n v="235.62"/>
        <n v="236.742"/>
        <n v="238.425"/>
        <n v="238.51"/>
        <n v="238.986"/>
        <n v="239.0982"/>
        <n v="241.23"/>
        <n v="242.6325"/>
        <n v="244.035"/>
        <n v="244.0911"/>
        <n v="244.3716"/>
        <n v="246.84"/>
        <n v="248.71935"/>
        <n v="249.645"/>
        <n v="252.3939"/>
        <n v="252.45"/>
        <n v="258.06"/>
        <n v="259.25"/>
        <n v="499.29"/>
        <n v="2306.475"/>
        <n v="2683.45"/>
        <n v="5543.7"/>
        <n v="8967.5"/>
        <n v="9311.75"/>
        <n v="9850.225"/>
        <n v="10075.9"/>
      </sharedItems>
    </cacheField>
    <cacheField name="Ruch_magazyn_MP" numFmtId="0">
      <sharedItems containsSemiMixedTypes="0" containsString="0" containsNumber="1" minValue="-90" maxValue="3592.12121212121" count="154">
        <n v="-90"/>
        <n v="-89"/>
        <n v="-88"/>
        <n v="-87.12"/>
        <n v="-87"/>
        <n v="-86"/>
        <n v="-85.24"/>
        <n v="-85.2"/>
        <n v="-85"/>
        <n v="-84.4"/>
        <n v="-84"/>
        <n v="-82"/>
        <n v="-81.12"/>
        <n v="-81"/>
        <n v="-80.4"/>
        <n v="-80"/>
        <n v="-76"/>
        <n v="-75.84"/>
        <n v="-75"/>
        <n v="-74"/>
        <n v="-73.2"/>
        <n v="-72.4"/>
        <n v="-72"/>
        <n v="-69.52"/>
        <n v="-68"/>
        <n v="-67.84"/>
        <n v="-65"/>
        <n v="-64.88"/>
        <n v="-63.84"/>
        <n v="-62.6"/>
        <n v="-60.6060606060606"/>
        <n v="-58"/>
        <n v="-57"/>
        <n v="-56"/>
        <n v="-55.7575757575758"/>
        <n v="-55"/>
        <n v="-48"/>
        <n v="-40"/>
        <n v="-32"/>
        <n v="-24"/>
        <n v="-12"/>
        <n v="0"/>
        <n v="12"/>
        <n v="17"/>
        <n v="24"/>
        <n v="24.08"/>
        <n v="24.12"/>
        <n v="25.76"/>
        <n v="29.68"/>
        <n v="32"/>
        <n v="40"/>
        <n v="48"/>
        <n v="55"/>
        <n v="56"/>
        <n v="57"/>
        <n v="58"/>
        <n v="60.32"/>
        <n v="60.36"/>
        <n v="61.2"/>
        <n v="62.24"/>
        <n v="62.6"/>
        <n v="63"/>
        <n v="63.84"/>
        <n v="64.88"/>
        <n v="65"/>
        <n v="67.84"/>
        <n v="68"/>
        <n v="69.52"/>
        <n v="70.2424242424242"/>
        <n v="71.2727272727273"/>
        <n v="71.8787878787879"/>
        <n v="72"/>
        <n v="72.0606060606061"/>
        <n v="72.3636363636364"/>
        <n v="72.4"/>
        <n v="72.4242424242424"/>
        <n v="72.8484848484848"/>
        <n v="73.2"/>
        <n v="73.8181818181818"/>
        <n v="74"/>
        <n v="74.6666666666667"/>
        <n v="75"/>
        <n v="75.84"/>
        <n v="76"/>
        <n v="77.3939393939394"/>
        <n v="79.8787878787879"/>
        <n v="80"/>
        <n v="80.12"/>
        <n v="80.4"/>
        <n v="81"/>
        <n v="81.12"/>
        <n v="81.3939393939394"/>
        <n v="82"/>
        <n v="83.030303030303"/>
        <n v="83.0909090909091"/>
        <n v="84"/>
        <n v="84.4"/>
        <n v="85"/>
        <n v="85.030303030303"/>
        <n v="85.2"/>
        <n v="85.24"/>
        <n v="86"/>
        <n v="86.5"/>
        <n v="87"/>
        <n v="87.12"/>
        <n v="88"/>
        <n v="89"/>
        <n v="89.52"/>
        <n v="90"/>
        <n v="90.28"/>
        <n v="92"/>
        <n v="92.4242424242424"/>
        <n v="92.68"/>
        <n v="100"/>
        <n v="106.76"/>
        <n v="107.8"/>
        <n v="108.08"/>
        <n v="108.24"/>
        <n v="108.64"/>
        <n v="112.04"/>
        <n v="112.24"/>
        <n v="112.48"/>
        <n v="112.6"/>
        <n v="112.64"/>
        <n v="113.84"/>
        <n v="113.96"/>
        <n v="114.28"/>
        <n v="115.44"/>
        <n v="115.92"/>
        <n v="115.96"/>
        <n v="116.08"/>
        <n v="116.12"/>
        <n v="116.2"/>
        <n v="116.44"/>
        <n v="118"/>
        <n v="118.2"/>
        <n v="119.28"/>
        <n v="119.6"/>
        <n v="119.8"/>
        <n v="119.84"/>
        <n v="119.96"/>
        <n v="120"/>
        <n v="121.2"/>
        <n v="121.84"/>
        <n v="122.64"/>
        <n v="126.8"/>
        <n v="128.24"/>
        <n v="822.272727272727"/>
        <n v="956.666666666667"/>
        <n v="1976.36363636364"/>
        <n v="3196.9696969697"/>
        <n v="3319.69696969697"/>
        <n v="3511.66666666667"/>
        <n v="3592.12121212121"/>
      </sharedItems>
    </cacheField>
    <cacheField name="Ruch_magazyn_t" numFmtId="0">
      <sharedItems containsSemiMixedTypes="0" containsString="0" containsNumber="1" minValue="-29.7" maxValue="1185.4" count="175">
        <n v="-29.7"/>
        <n v="-29.37"/>
        <n v="-29.04"/>
        <n v="-28.7496"/>
        <n v="-28.71"/>
        <n v="-28.38"/>
        <n v="-28.1292"/>
        <n v="-28.116"/>
        <n v="-28.05"/>
        <n v="-27.852"/>
        <n v="-27.72"/>
        <n v="-27.06"/>
        <n v="-26.7696"/>
        <n v="-26.73"/>
        <n v="-26.532"/>
        <n v="-26.4"/>
        <n v="-25.08"/>
        <n v="-25.0272"/>
        <n v="-24.75"/>
        <n v="-24.42"/>
        <n v="-24.156"/>
        <n v="-23.892"/>
        <n v="-23.76"/>
        <n v="-22.9416"/>
        <n v="-22.44"/>
        <n v="-22.3872"/>
        <n v="-21.45"/>
        <n v="-21.4104"/>
        <n v="-21.0672"/>
        <n v="-20.658"/>
        <n v="-20"/>
        <n v="-19.14"/>
        <n v="-18.81"/>
        <n v="-18.48"/>
        <n v="-18.4"/>
        <n v="-18.15"/>
        <n v="-15.84"/>
        <n v="-13.2"/>
        <n v="-10.56"/>
        <n v="-7.92"/>
        <n v="-3.96"/>
        <n v="0"/>
        <n v="0.99"/>
        <n v="1.9899"/>
        <n v="2.1252"/>
        <n v="3.3"/>
        <n v="3.96"/>
        <n v="4.62"/>
        <n v="4.785"/>
        <n v="4.9764"/>
        <n v="4.9797"/>
        <n v="5.049"/>
        <n v="5.1348"/>
        <n v="5.1645"/>
        <n v="5.2668"/>
        <n v="5.3526"/>
        <n v="5.5968"/>
        <n v="5.61"/>
        <n v="5.7354"/>
        <n v="5.94"/>
        <n v="5.973"/>
        <n v="6.039"/>
        <n v="6.2568"/>
        <n v="6.6"/>
        <n v="6.633"/>
        <n v="6.6924"/>
        <n v="6.765"/>
        <n v="6.963"/>
        <n v="7.029"/>
        <n v="7.0323"/>
        <n v="7.1874"/>
        <n v="7.3854"/>
        <n v="7.4481"/>
        <n v="7.6461"/>
        <n v="7.92"/>
        <n v="7.9464"/>
        <n v="8.25"/>
        <n v="8.8077"/>
        <n v="8.8935"/>
        <n v="8.9166"/>
        <n v="8.9298"/>
        <n v="8.9628"/>
        <n v="9.2433"/>
        <n v="9.2598"/>
        <n v="9.2796"/>
        <n v="9.2895"/>
        <n v="9.2928"/>
        <n v="9.3918"/>
        <n v="9.4017"/>
        <n v="9.4281"/>
        <n v="9.5238"/>
        <n v="9.5634"/>
        <n v="9.5667"/>
        <n v="9.5766"/>
        <n v="9.5799"/>
        <n v="9.5865"/>
        <n v="9.6063"/>
        <n v="9.735"/>
        <n v="9.7515"/>
        <n v="9.7944"/>
        <n v="9.8406"/>
        <n v="9.867"/>
        <n v="9.8835"/>
        <n v="9.8868"/>
        <n v="9.8967"/>
        <n v="9.9"/>
        <n v="9.999"/>
        <n v="10.0518"/>
        <n v="10.1178"/>
        <n v="10.461"/>
        <n v="10.56"/>
        <n v="10.5798"/>
        <n v="13.2"/>
        <n v="15.84"/>
        <n v="18.15"/>
        <n v="18.48"/>
        <n v="18.81"/>
        <n v="19.14"/>
        <n v="20.658"/>
        <n v="20.79"/>
        <n v="21.0672"/>
        <n v="21.4104"/>
        <n v="21.45"/>
        <n v="22.3872"/>
        <n v="22.44"/>
        <n v="22.9416"/>
        <n v="23.18"/>
        <n v="23.52"/>
        <n v="23.72"/>
        <n v="23.76"/>
        <n v="23.78"/>
        <n v="23.88"/>
        <n v="23.892"/>
        <n v="23.9"/>
        <n v="24.04"/>
        <n v="24.156"/>
        <n v="24.36"/>
        <n v="24.42"/>
        <n v="24.64"/>
        <n v="24.75"/>
        <n v="25.0272"/>
        <n v="25.08"/>
        <n v="25.54"/>
        <n v="26.36"/>
        <n v="26.4"/>
        <n v="26.4396"/>
        <n v="26.532"/>
        <n v="26.73"/>
        <n v="26.7696"/>
        <n v="26.86"/>
        <n v="27.06"/>
        <n v="27.4"/>
        <n v="27.42"/>
        <n v="27.72"/>
        <n v="27.852"/>
        <n v="28.05"/>
        <n v="28.06"/>
        <n v="28.116"/>
        <n v="28.1292"/>
        <n v="28.38"/>
        <n v="28.545"/>
        <n v="28.71"/>
        <n v="28.7496"/>
        <n v="29.04"/>
        <n v="29.37"/>
        <n v="29.7"/>
        <n v="30.36"/>
        <n v="30.5"/>
        <n v="271.35"/>
        <n v="315.7"/>
        <n v="652.2"/>
        <n v="1055"/>
        <n v="1095.5"/>
        <n v="1158.85"/>
        <n v="1185.4"/>
      </sharedItems>
    </cacheField>
    <cacheField name="Wartość_zakupu_zł_calc" numFmtId="0">
      <sharedItems containsSemiMixedTypes="0" containsString="0" containsNumber="1" minValue="0" maxValue="10764" count="100">
        <n v="0"/>
        <n v="850.23"/>
        <n v="1120"/>
        <n v="1140"/>
        <n v="1344"/>
        <n v="1440"/>
        <n v="1481.2"/>
        <n v="1904"/>
        <n v="1974"/>
        <n v="2240"/>
        <n v="2250.36"/>
        <n v="2280"/>
        <n v="2391.36"/>
        <n v="2397"/>
        <n v="2450.58"/>
        <n v="2475"/>
        <n v="2538"/>
        <n v="2824.23"/>
        <n v="2834.1"/>
        <n v="2859.48"/>
        <n v="2925"/>
        <n v="3004.71"/>
        <n v="3070.98"/>
        <n v="3200"/>
        <n v="3330"/>
        <n v="3375"/>
        <n v="3420"/>
        <n v="3468.4"/>
        <n v="3470.7"/>
        <n v="3519"/>
        <n v="3578.8"/>
        <n v="3600"/>
        <n v="3645"/>
        <n v="3690"/>
        <n v="3780"/>
        <n v="3825"/>
        <n v="3870"/>
        <n v="3915"/>
        <n v="3960"/>
        <n v="4914"/>
        <n v="5147.4"/>
        <n v="5191.1"/>
        <n v="5329.1"/>
        <n v="5750"/>
        <n v="6138.7"/>
        <n v="6198.5"/>
        <n v="6214.6"/>
        <n v="6223.8"/>
        <n v="6246.8"/>
        <n v="6374.5"/>
        <n v="6396"/>
        <n v="6442.3"/>
        <n v="6453.8"/>
        <n v="6467.6"/>
        <n v="6468"/>
        <n v="6474.5"/>
        <n v="6476.8"/>
        <n v="6523"/>
        <n v="6539.5"/>
        <n v="6545.8"/>
        <n v="6552.7"/>
        <n v="6567"/>
        <n v="6571.1"/>
        <n v="6594.5"/>
        <n v="6611"/>
        <n v="6622"/>
        <n v="6637.8"/>
        <n v="6665.4"/>
        <n v="6667.7"/>
        <n v="6674.6"/>
        <n v="6676.9"/>
        <n v="6681.5"/>
        <n v="6695.3"/>
        <n v="6699"/>
        <n v="6747"/>
        <n v="6776"/>
        <n v="6785"/>
        <n v="6796.5"/>
        <n v="6826.4"/>
        <n v="6858.6"/>
        <n v="6864"/>
        <n v="6877"/>
        <n v="6888.5"/>
        <n v="6890.8"/>
        <n v="6897.7"/>
        <n v="6900"/>
        <n v="6969"/>
        <n v="6985.4"/>
        <n v="7005.8"/>
        <n v="7023.5"/>
        <n v="7051.8"/>
        <n v="7266.3"/>
        <n v="7291"/>
        <n v="7373.8"/>
        <n v="7386.5"/>
        <n v="7435.9"/>
        <n v="8082.5"/>
        <n v="9000"/>
        <n v="9660"/>
        <n v="10764"/>
      </sharedItems>
    </cacheField>
    <cacheField name="Wartość_sprzedaży_zł_calc" numFmtId="0">
      <sharedItems containsSemiMixedTypes="0" containsString="0" containsNumber="1" containsInteger="1" minValue="0" maxValue="0" count="1">
        <n v="0"/>
      </sharedItems>
    </cacheField>
    <cacheField name="Typ_transportu_heurystyka" numFmtId="0">
      <sharedItems count="3">
        <s v=""/>
        <s v="Własny"/>
        <s v="Zewnętrzny"/>
      </sharedItems>
    </cacheField>
    <cacheField name="Koszt_rąbania_total" numFmtId="0">
      <sharedItems containsSemiMixedTypes="0" containsString="0" containsNumber="1" minValue="0" maxValue="890" count="41">
        <n v="0"/>
        <n v="120"/>
        <n v="240"/>
        <n v="320"/>
        <n v="400"/>
        <n v="480"/>
        <n v="550"/>
        <n v="560"/>
        <n v="570"/>
        <n v="580"/>
        <n v="626"/>
        <n v="638.4"/>
        <n v="648.8"/>
        <n v="650"/>
        <n v="678.4"/>
        <n v="680"/>
        <n v="695.2"/>
        <n v="720"/>
        <n v="724"/>
        <n v="732"/>
        <n v="740"/>
        <n v="750"/>
        <n v="758.4"/>
        <n v="760"/>
        <n v="800"/>
        <n v="801.2"/>
        <n v="804"/>
        <n v="810"/>
        <n v="811.2"/>
        <n v="820"/>
        <n v="840"/>
        <n v="844"/>
        <n v="850"/>
        <n v="852"/>
        <n v="852.4"/>
        <n v="860"/>
        <n v="865"/>
        <n v="870"/>
        <n v="871.2"/>
        <n v="880"/>
        <n v="890"/>
      </sharedItems>
    </cacheField>
    <cacheField name="Miesiąc_tekst" numFmtId="0">
      <sharedItems count="2">
        <s v="LIPIEC"/>
        <s v="SIERPIEŃ"/>
      </sharedItems>
    </cacheField>
    <cacheField name="Rok" numFmtId="0">
      <sharedItems count="1">
        <s v="2026"/>
      </sharedItems>
    </cacheField>
    <cacheField name="Utworzył" numFmtId="0">
      <sharedItems containsBlank="1" count="2">
        <s v="Mateusz Roesner"/>
        <m/>
      </sharedItems>
    </cacheField>
    <cacheField name="Koszt transportu bazowy" numFmtId="0">
      <sharedItems containsString="0" containsBlank="1" containsNumber="1" containsInteger="1" minValue="0" maxValue="1700" count="24">
        <n v="0"/>
        <n v="122"/>
        <n v="160"/>
        <n v="200"/>
        <n v="240"/>
        <n v="310"/>
        <n v="500"/>
        <n v="525"/>
        <n v="535"/>
        <n v="550"/>
        <n v="600"/>
        <n v="610"/>
        <n v="630"/>
        <n v="660"/>
        <n v="670"/>
        <n v="700"/>
        <n v="750"/>
        <n v="800"/>
        <n v="910"/>
        <n v="1000"/>
        <n v="1050"/>
        <n v="1200"/>
        <n v="1700"/>
        <m/>
      </sharedItems>
    </cacheField>
    <cacheField name="ID_operacji" numFmtId="0">
      <sharedItems count="475">
        <s v="H-0001"/>
        <s v="H-0002"/>
        <s v="H-0003"/>
        <s v="H-0004"/>
        <s v="H-0005"/>
        <s v="H-0006"/>
        <s v="H-0007"/>
        <s v="H-0008"/>
        <s v="H-0009"/>
        <s v="H-0010"/>
        <s v="H-0011"/>
        <s v="H-0012"/>
        <s v="H-0013"/>
        <s v="H-0014"/>
        <s v="H-0015"/>
        <s v="H-0016"/>
        <s v="H-0017"/>
        <s v="H-0018"/>
        <s v="H-0019"/>
        <s v="H-0020"/>
        <s v="H-0021"/>
        <s v="H-0022"/>
        <s v="H-0023"/>
        <s v="H-0024"/>
        <s v="H-0025"/>
        <s v="H-0026"/>
        <s v="H-0027"/>
        <s v="H-0028"/>
        <s v="H-0029"/>
        <s v="H-0030"/>
        <s v="H-0031"/>
        <s v="H-0032"/>
        <s v="H-0033"/>
        <s v="H-0034"/>
        <s v="H-0035"/>
        <s v="H-0036"/>
        <s v="H-0037"/>
        <s v="H-0038"/>
        <s v="H-0039"/>
        <s v="H-0040"/>
        <s v="H-0041"/>
        <s v="H-0042"/>
        <s v="H-0043"/>
        <s v="H-0044"/>
        <s v="H-0045"/>
        <s v="H-0046"/>
        <s v="H-0047"/>
        <s v="H-0048"/>
        <s v="H-0049"/>
        <s v="H-0050"/>
        <s v="H-0051"/>
        <s v="H-0052"/>
        <s v="H-0053"/>
        <s v="H-0054"/>
        <s v="H-0055"/>
        <s v="H-0056"/>
        <s v="H-0057"/>
        <s v="H-0058"/>
        <s v="H-0059"/>
        <s v="H-0060"/>
        <s v="H-0061"/>
        <s v="H-0062"/>
        <s v="H-0063"/>
        <s v="H-0064"/>
        <s v="H-0065"/>
        <s v="H-0066"/>
        <s v="H-0067"/>
        <s v="H-0068"/>
        <s v="H-0069"/>
        <s v="H-0070"/>
        <s v="H-0071"/>
        <s v="H-0072"/>
        <s v="H-0073"/>
        <s v="H-0074"/>
        <s v="H-0075"/>
        <s v="H-0076"/>
        <s v="H-0077"/>
        <s v="H-0078"/>
        <s v="H-0079"/>
        <s v="H-0080"/>
        <s v="H-0081"/>
        <s v="H-0082"/>
        <s v="H-0083"/>
        <s v="H-0084"/>
        <s v="H-0085"/>
        <s v="H-0086"/>
        <s v="H-0087"/>
        <s v="H-0088"/>
        <s v="H-0089"/>
        <s v="H-0090"/>
        <s v="H-0091"/>
        <s v="H-0092"/>
        <s v="H-0093"/>
        <s v="H-0094"/>
        <s v="H-0095"/>
        <s v="H-0096"/>
        <s v="H-0097"/>
        <s v="H-0098"/>
        <s v="H-0099"/>
        <s v="H-0100"/>
        <s v="H-0101"/>
        <s v="H-0102"/>
        <s v="H-0103"/>
        <s v="H-0104"/>
        <s v="H-0105"/>
        <s v="H-0106"/>
        <s v="H-0107"/>
        <s v="H-0108"/>
        <s v="H-0109"/>
        <s v="H-0110"/>
        <s v="H-0111"/>
        <s v="H-0112"/>
        <s v="H-0113"/>
        <s v="H-0114"/>
        <s v="H-0115"/>
        <s v="H-0116"/>
        <s v="H-0117"/>
        <s v="H-0118"/>
        <s v="H-0119"/>
        <s v="H-0120"/>
        <s v="H-0121"/>
        <s v="H-0122"/>
        <s v="H-0123"/>
        <s v="H-0124"/>
        <s v="H-0125"/>
        <s v="H-0126"/>
        <s v="H-0127"/>
        <s v="H-0128"/>
        <s v="H-0129"/>
        <s v="H-0130"/>
        <s v="H-0131"/>
        <s v="H-0132"/>
        <s v="H-0133"/>
        <s v="H-0134"/>
        <s v="H-0135"/>
        <s v="H-0136"/>
        <s v="H-0137"/>
        <s v="H-0138"/>
        <s v="H-0139"/>
        <s v="H-0140"/>
        <s v="H-0141"/>
        <s v="H-0142"/>
        <s v="H-0143"/>
        <s v="H-0144"/>
        <s v="H-0145"/>
        <s v="H-0146"/>
        <s v="H-0147"/>
        <s v="H-0148"/>
        <s v="H-0149"/>
        <s v="H-0150"/>
        <s v="H-0151"/>
        <s v="H-0152"/>
        <s v="H-0153"/>
        <s v="H-0154"/>
        <s v="H-0155"/>
        <s v="H-0156"/>
        <s v="H-0157"/>
        <s v="H-0158"/>
        <s v="H-0159"/>
        <s v="H-0160"/>
        <s v="H-0161"/>
        <s v="H-0162"/>
        <s v="H-0163"/>
        <s v="H-0164"/>
        <s v="H-0165"/>
        <s v="H-0166"/>
        <s v="H-0167"/>
        <s v="H-0168"/>
        <s v="H-0169"/>
        <s v="H-0170"/>
        <s v="H-0171"/>
        <s v="H-0172"/>
        <s v="H-0173"/>
        <s v="H-0174"/>
        <s v="H-0175"/>
        <s v="H-0176"/>
        <s v="H-0177"/>
        <s v="H-0178"/>
        <s v="H-0179"/>
        <s v="H-0180"/>
        <s v="H-0181"/>
        <s v="H-0182"/>
        <s v="H-0183"/>
        <s v="H-0184"/>
        <s v="H-0185"/>
        <s v="H-0186"/>
        <s v="H-0187"/>
        <s v="H-0188"/>
        <s v="H-0189"/>
        <s v="H-0190"/>
        <s v="H-0191"/>
        <s v="H-0192"/>
        <s v="H-0193"/>
        <s v="H-0194"/>
        <s v="H-0195"/>
        <s v="H-0196"/>
        <s v="H-0197"/>
        <s v="H-0198"/>
        <s v="H-0199"/>
        <s v="H-0200"/>
        <s v="H-0201"/>
        <s v="H-0202"/>
        <s v="H-0203"/>
        <s v="H-0204"/>
        <s v="H-0205"/>
        <s v="H-0206"/>
        <s v="H-0207"/>
        <s v="H-0208"/>
        <s v="H-0209"/>
        <s v="H-0210"/>
        <s v="H-0211"/>
        <s v="H-0212"/>
        <s v="H-0213"/>
        <s v="H-0214"/>
        <s v="H-0215"/>
        <s v="H-0216"/>
        <s v="H-0217"/>
        <s v="H-0218"/>
        <s v="H-0219"/>
        <s v="H-0220"/>
        <s v="H-0221"/>
        <s v="H-0222"/>
        <s v="H-0223"/>
        <s v="H-0224"/>
        <s v="H-0225"/>
        <s v="H-0226"/>
        <s v="H-0227"/>
        <s v="H-0228"/>
        <s v="H-0229"/>
        <s v="H-0230"/>
        <s v="H-0231"/>
        <s v="H-0232"/>
        <s v="H-0233"/>
        <s v="H-0234"/>
        <s v="H-0235"/>
        <s v="H-0236"/>
        <s v="H-0237"/>
        <s v="H-0238"/>
        <s v="H-0239"/>
        <s v="H-0240"/>
        <s v="H-0241"/>
        <s v="H-0242"/>
        <s v="H-0243"/>
        <s v="H-0244"/>
        <s v="H-0245"/>
        <s v="H-0246"/>
        <s v="H-0247"/>
        <s v="H-0248"/>
        <s v="H-0249"/>
        <s v="H-0250"/>
        <s v="H-0251"/>
        <s v="H-0252"/>
        <s v="H-0253"/>
        <s v="H-0254"/>
        <s v="H-0255"/>
        <s v="H-0256"/>
        <s v="H-0257"/>
        <s v="H-0258"/>
        <s v="H-0259"/>
        <s v="H-0260"/>
        <s v="H-0261"/>
        <s v="H-0262"/>
        <s v="H-0263"/>
        <s v="H-0264"/>
        <s v="H-0265"/>
        <s v="H-0266"/>
        <s v="H-0267"/>
        <s v="H-0268"/>
        <s v="H-0269"/>
        <s v="H-0270"/>
        <s v="H-0271"/>
        <s v="H-0272"/>
        <s v="H-0273"/>
        <s v="H-0274"/>
        <s v="H-0275"/>
        <s v="H-0276"/>
        <s v="H-0277"/>
        <s v="H-0278"/>
        <s v="H-0279"/>
        <s v="H-0280"/>
        <s v="H-0281"/>
        <s v="H-0282"/>
        <s v="H-0283"/>
        <s v="H-0284"/>
        <s v="H-0285"/>
        <s v="H-0286"/>
        <s v="H-0287"/>
        <s v="H-0288"/>
        <s v="H-0289"/>
        <s v="H-0290"/>
        <s v="H-0291"/>
        <s v="H-0292"/>
        <s v="H-0293"/>
        <s v="H-0294"/>
        <s v="H-0295"/>
        <s v="H-0296"/>
        <s v="H-0297"/>
        <s v="H-0298"/>
        <s v="H-0299"/>
        <s v="H-0300"/>
        <s v="H-0301"/>
        <s v="H-0302"/>
        <s v="H-0303"/>
        <s v="H-0304"/>
        <s v="H-0305"/>
        <s v="H-0306"/>
        <s v="H-0307"/>
        <s v="H-0308"/>
        <s v="H-0309"/>
        <s v="H-0310"/>
        <s v="H-0311"/>
        <s v="H-0312"/>
        <s v="H-0313"/>
        <s v="H-0314"/>
        <s v="H-0315"/>
        <s v="H-0316"/>
        <s v="H-0317"/>
        <s v="H-0318"/>
        <s v="H-0319"/>
        <s v="H-0320"/>
        <s v="H-0321"/>
        <s v="H-0322"/>
        <s v="H-0323"/>
        <s v="H-0324"/>
        <s v="H-0325"/>
        <s v="H-0326"/>
        <s v="H-0327"/>
        <s v="H-0328"/>
        <s v="H-0329"/>
        <s v="H-0330"/>
        <s v="H-0331"/>
        <s v="H-0332"/>
        <s v="H-0333"/>
        <s v="H-0334"/>
        <s v="H-0335"/>
        <s v="H-0336"/>
        <s v="H-0337"/>
        <s v="H-0338"/>
        <s v="H-0339"/>
        <s v="H-0340"/>
        <s v="H-0341"/>
        <s v="H-0342"/>
        <s v="H-0343"/>
        <s v="H-0344"/>
        <s v="H-0345"/>
        <s v="H-0346"/>
        <s v="H-0347"/>
        <s v="H-0348"/>
        <s v="H-0349"/>
        <s v="H-0350"/>
        <s v="H-0351"/>
        <s v="H-0352"/>
        <s v="H-0353"/>
        <s v="H-0354"/>
        <s v="H-0355"/>
        <s v="H-0356"/>
        <s v="H-0357"/>
        <s v="H-0358"/>
        <s v="H-0359"/>
        <s v="H-0360"/>
        <s v="H-0361"/>
        <s v="H-0362"/>
        <s v="H-0363"/>
        <s v="H-0364"/>
        <s v="H-0365"/>
        <s v="H-0366"/>
        <s v="H-0367"/>
        <s v="H-0368"/>
        <s v="H-0369"/>
        <s v="H-0370"/>
        <s v="H-0371"/>
        <s v="H-0372"/>
        <s v="H-0373"/>
        <s v="H-0374"/>
        <s v="H-0375"/>
        <s v="H-0376"/>
        <s v="H-0377"/>
        <s v="H-0378"/>
        <s v="H-0379"/>
        <s v="H-0380"/>
        <s v="H-0381"/>
        <s v="H-0382"/>
        <s v="H-0383"/>
        <s v="H-0384"/>
        <s v="H-0385"/>
        <s v="H-0386"/>
        <s v="H-0387"/>
        <s v="H-0388"/>
        <s v="H-0389"/>
        <s v="H-0390"/>
        <s v="H-0391"/>
        <s v="H-0392"/>
        <s v="H-0393"/>
        <s v="H-0394"/>
        <s v="H-0395"/>
        <s v="H-0396"/>
        <s v="H-0397"/>
        <s v="H-0398"/>
        <s v="H-0399"/>
        <s v="H-0400"/>
        <s v="H-0401"/>
        <s v="H-0402"/>
        <s v="H-0403"/>
        <s v="H-0404"/>
        <s v="H-0405"/>
        <s v="H-0406"/>
        <s v="H-0407"/>
        <s v="H-0408"/>
        <s v="H-0409"/>
        <s v="H-0410"/>
        <s v="H-0411"/>
        <s v="H-0412"/>
        <s v="H-0413"/>
        <s v="H-0414"/>
        <s v="H-0415"/>
        <s v="H-0416"/>
        <s v="H-0417"/>
        <s v="H-0418"/>
        <s v="H-0419"/>
        <s v="H-0420"/>
        <s v="H-0421"/>
        <s v="H-0422"/>
        <s v="H-0423"/>
        <s v="H-0424"/>
        <s v="H-0425"/>
        <s v="H-0426"/>
        <s v="H-0427"/>
        <s v="H-0428"/>
        <s v="H-0429"/>
        <s v="H-0430"/>
        <s v="H-0431"/>
        <s v="H-0432"/>
        <s v="H-0433"/>
        <s v="H-0434"/>
        <s v="H-0435"/>
        <s v="H-0436"/>
        <s v="H-0437"/>
        <s v="H-0438"/>
        <s v="H-0439"/>
        <s v="H-0440"/>
        <s v="H-0441"/>
        <s v="H-0442"/>
        <s v="H-0443"/>
        <s v="H-0444"/>
        <s v="H-0445"/>
        <s v="H-0446"/>
        <s v="H-0447"/>
        <s v="H-0448"/>
        <s v="H-0449"/>
        <s v="H-0450"/>
        <s v="H-0451"/>
        <s v="H-0452"/>
        <s v="H-0453"/>
        <s v="H-0454"/>
        <s v="H-0455"/>
        <s v="H-0456"/>
        <s v="H-0457"/>
        <s v="H-0458"/>
        <s v="H-0459"/>
        <s v="H-0460"/>
        <s v="H-0461"/>
        <s v="H-0462"/>
        <s v="H-0463"/>
        <s v="H-0464"/>
        <s v="H-0465"/>
        <s v="H-0466"/>
        <s v="H-0467"/>
        <s v="H-0468"/>
        <s v="H-0469"/>
        <s v="H-0470"/>
        <s v="H-0471"/>
        <s v="H-0472"/>
        <s v="H-0473"/>
        <s v="H-0474"/>
        <s v="H-0475"/>
      </sharedItems>
    </cacheField>
    <cacheField name="Transport" numFmtId="0">
      <sharedItems count="2">
        <s v="NIE"/>
        <s v="TAK"/>
      </sharedItems>
    </cacheField>
    <cacheField name="Trasa" numFmtId="0">
      <sharedItems containsString="0" containsBlank="1" count="1">
        <m/>
      </sharedItems>
    </cacheField>
    <cacheField name="Pojazd" numFmtId="0">
      <sharedItems containsString="0" containsBlank="1" count="1">
        <m/>
      </sharedItems>
    </cacheField>
    <cacheField name="Operator_kierowca" numFmtId="0">
      <sharedItems containsString="0" containsBlank="1" count="1">
        <m/>
      </sharedItems>
    </cacheField>
    <cacheField name="Rola_wiersza" numFmtId="0">
      <sharedItems count="3">
        <s v="GŁÓWNY"/>
        <s v="PRODUKCJA AUTO"/>
        <s v="ZUŻYCIE AUTO"/>
      </sharedItems>
    </cacheField>
    <cacheField name="Receptura" numFmtId="0">
      <sharedItems containsString="0" containsBlank="1" count="1">
        <m/>
      </sharedItems>
    </cacheField>
    <cacheField name="Wersja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7">
  <r>
    <x v="0"/>
    <x v="19"/>
    <x v="0"/>
    <x v="5"/>
    <x v="1"/>
    <x v="78"/>
    <x v="1"/>
    <x v="0"/>
    <x v="134"/>
    <x v="1"/>
    <x v="0"/>
    <x v="0"/>
    <x v="0"/>
    <x v="8"/>
    <x v="1"/>
    <x v="0"/>
    <x v="1"/>
    <x v="9"/>
    <x v="12"/>
    <x v="19"/>
    <x v="23"/>
    <x v="1"/>
    <x v="16"/>
    <x v="3"/>
    <x v="4"/>
    <x v="75"/>
    <x v="135"/>
    <x v="135"/>
    <x v="102"/>
    <x v="160"/>
    <x v="0"/>
    <x v="0"/>
    <x v="0"/>
    <x v="36"/>
    <x v="0"/>
    <x v="0"/>
    <x v="0"/>
    <x v="23"/>
    <x v="0"/>
    <x v="0"/>
    <x v="0"/>
    <x v="0"/>
    <x v="0"/>
    <x v="1"/>
    <x v="0"/>
    <x v="0"/>
  </r>
  <r>
    <x v="0"/>
    <x v="19"/>
    <x v="0"/>
    <x v="5"/>
    <x v="1"/>
    <x v="149"/>
    <x v="1"/>
    <x v="0"/>
    <x v="127"/>
    <x v="1"/>
    <x v="0"/>
    <x v="0"/>
    <x v="0"/>
    <x v="8"/>
    <x v="1"/>
    <x v="0"/>
    <x v="1"/>
    <x v="9"/>
    <x v="12"/>
    <x v="0"/>
    <x v="0"/>
    <x v="1"/>
    <x v="16"/>
    <x v="3"/>
    <x v="6"/>
    <x v="65"/>
    <x v="125"/>
    <x v="125"/>
    <x v="92"/>
    <x v="150"/>
    <x v="0"/>
    <x v="0"/>
    <x v="0"/>
    <x v="29"/>
    <x v="0"/>
    <x v="0"/>
    <x v="1"/>
    <x v="0"/>
    <x v="1"/>
    <x v="0"/>
    <x v="0"/>
    <x v="0"/>
    <x v="0"/>
    <x v="1"/>
    <x v="0"/>
    <x v="0"/>
  </r>
  <r>
    <x v="0"/>
    <x v="19"/>
    <x v="0"/>
    <x v="5"/>
    <x v="3"/>
    <x v="78"/>
    <x v="0"/>
    <x v="0"/>
    <x v="134"/>
    <x v="1"/>
    <x v="6"/>
    <x v="0"/>
    <x v="0"/>
    <x v="2"/>
    <x v="1"/>
    <x v="0"/>
    <x v="1"/>
    <x v="9"/>
    <x v="12"/>
    <x v="19"/>
    <x v="23"/>
    <x v="1"/>
    <x v="33"/>
    <x v="3"/>
    <x v="4"/>
    <x v="75"/>
    <x v="135"/>
    <x v="135"/>
    <x v="41"/>
    <x v="41"/>
    <x v="0"/>
    <x v="0"/>
    <x v="0"/>
    <x v="36"/>
    <x v="0"/>
    <x v="0"/>
    <x v="1"/>
    <x v="23"/>
    <x v="0"/>
    <x v="0"/>
    <x v="0"/>
    <x v="0"/>
    <x v="0"/>
    <x v="0"/>
    <x v="0"/>
    <x v="0"/>
  </r>
  <r>
    <x v="0"/>
    <x v="14"/>
    <x v="0"/>
    <x v="8"/>
    <x v="3"/>
    <x v="78"/>
    <x v="1"/>
    <x v="0"/>
    <x v="134"/>
    <x v="1"/>
    <x v="5"/>
    <x v="74"/>
    <x v="0"/>
    <x v="8"/>
    <x v="0"/>
    <x v="1"/>
    <x v="0"/>
    <x v="7"/>
    <x v="7"/>
    <x v="6"/>
    <x v="9"/>
    <x v="1"/>
    <x v="34"/>
    <x v="3"/>
    <x v="5"/>
    <x v="75"/>
    <x v="135"/>
    <x v="135"/>
    <x v="102"/>
    <x v="160"/>
    <x v="74"/>
    <x v="0"/>
    <x v="2"/>
    <x v="0"/>
    <x v="0"/>
    <x v="0"/>
    <x v="1"/>
    <x v="9"/>
    <x v="2"/>
    <x v="1"/>
    <x v="0"/>
    <x v="0"/>
    <x v="0"/>
    <x v="0"/>
    <x v="0"/>
    <x v="0"/>
  </r>
  <r>
    <x v="0"/>
    <x v="19"/>
    <x v="0"/>
    <x v="5"/>
    <x v="3"/>
    <x v="149"/>
    <x v="0"/>
    <x v="0"/>
    <x v="127"/>
    <x v="1"/>
    <x v="6"/>
    <x v="0"/>
    <x v="0"/>
    <x v="2"/>
    <x v="1"/>
    <x v="0"/>
    <x v="1"/>
    <x v="9"/>
    <x v="12"/>
    <x v="0"/>
    <x v="0"/>
    <x v="1"/>
    <x v="34"/>
    <x v="3"/>
    <x v="6"/>
    <x v="65"/>
    <x v="125"/>
    <x v="125"/>
    <x v="41"/>
    <x v="41"/>
    <x v="0"/>
    <x v="0"/>
    <x v="0"/>
    <x v="29"/>
    <x v="0"/>
    <x v="0"/>
    <x v="1"/>
    <x v="0"/>
    <x v="1"/>
    <x v="0"/>
    <x v="0"/>
    <x v="0"/>
    <x v="0"/>
    <x v="0"/>
    <x v="0"/>
    <x v="0"/>
  </r>
  <r>
    <x v="0"/>
    <x v="14"/>
    <x v="0"/>
    <x v="8"/>
    <x v="3"/>
    <x v="149"/>
    <x v="1"/>
    <x v="0"/>
    <x v="127"/>
    <x v="1"/>
    <x v="5"/>
    <x v="50"/>
    <x v="0"/>
    <x v="8"/>
    <x v="0"/>
    <x v="1"/>
    <x v="0"/>
    <x v="8"/>
    <x v="6"/>
    <x v="6"/>
    <x v="13"/>
    <x v="1"/>
    <x v="34"/>
    <x v="3"/>
    <x v="7"/>
    <x v="65"/>
    <x v="125"/>
    <x v="125"/>
    <x v="92"/>
    <x v="150"/>
    <x v="50"/>
    <x v="0"/>
    <x v="2"/>
    <x v="0"/>
    <x v="0"/>
    <x v="0"/>
    <x v="1"/>
    <x v="13"/>
    <x v="3"/>
    <x v="1"/>
    <x v="0"/>
    <x v="0"/>
    <x v="0"/>
    <x v="0"/>
    <x v="0"/>
    <x v="0"/>
  </r>
  <r>
    <x v="0"/>
    <x v="19"/>
    <x v="0"/>
    <x v="5"/>
    <x v="3"/>
    <x v="79"/>
    <x v="1"/>
    <x v="1"/>
    <x v="73"/>
    <x v="0"/>
    <x v="11"/>
    <x v="76"/>
    <x v="0"/>
    <x v="2"/>
    <x v="1"/>
    <x v="1"/>
    <x v="0"/>
    <x v="9"/>
    <x v="12"/>
    <x v="0"/>
    <x v="0"/>
    <x v="1"/>
    <x v="34"/>
    <x v="4"/>
    <x v="22"/>
    <x v="110"/>
    <x v="58"/>
    <x v="58"/>
    <x v="134"/>
    <x v="97"/>
    <x v="76"/>
    <x v="0"/>
    <x v="0"/>
    <x v="0"/>
    <x v="0"/>
    <x v="0"/>
    <x v="1"/>
    <x v="0"/>
    <x v="4"/>
    <x v="0"/>
    <x v="0"/>
    <x v="0"/>
    <x v="0"/>
    <x v="0"/>
    <x v="0"/>
    <x v="0"/>
  </r>
  <r>
    <x v="0"/>
    <x v="19"/>
    <x v="0"/>
    <x v="5"/>
    <x v="4"/>
    <x v="78"/>
    <x v="0"/>
    <x v="0"/>
    <x v="134"/>
    <x v="1"/>
    <x v="0"/>
    <x v="0"/>
    <x v="0"/>
    <x v="2"/>
    <x v="1"/>
    <x v="0"/>
    <x v="1"/>
    <x v="9"/>
    <x v="12"/>
    <x v="19"/>
    <x v="23"/>
    <x v="1"/>
    <x v="17"/>
    <x v="3"/>
    <x v="4"/>
    <x v="75"/>
    <x v="135"/>
    <x v="135"/>
    <x v="41"/>
    <x v="41"/>
    <x v="0"/>
    <x v="0"/>
    <x v="0"/>
    <x v="36"/>
    <x v="0"/>
    <x v="0"/>
    <x v="1"/>
    <x v="23"/>
    <x v="0"/>
    <x v="0"/>
    <x v="0"/>
    <x v="0"/>
    <x v="0"/>
    <x v="2"/>
    <x v="0"/>
    <x v="0"/>
  </r>
  <r>
    <x v="0"/>
    <x v="19"/>
    <x v="0"/>
    <x v="5"/>
    <x v="4"/>
    <x v="149"/>
    <x v="0"/>
    <x v="0"/>
    <x v="127"/>
    <x v="1"/>
    <x v="0"/>
    <x v="0"/>
    <x v="0"/>
    <x v="2"/>
    <x v="1"/>
    <x v="0"/>
    <x v="1"/>
    <x v="9"/>
    <x v="12"/>
    <x v="0"/>
    <x v="0"/>
    <x v="1"/>
    <x v="17"/>
    <x v="3"/>
    <x v="6"/>
    <x v="65"/>
    <x v="125"/>
    <x v="125"/>
    <x v="41"/>
    <x v="41"/>
    <x v="0"/>
    <x v="0"/>
    <x v="0"/>
    <x v="29"/>
    <x v="0"/>
    <x v="0"/>
    <x v="1"/>
    <x v="0"/>
    <x v="1"/>
    <x v="0"/>
    <x v="0"/>
    <x v="0"/>
    <x v="0"/>
    <x v="2"/>
    <x v="0"/>
    <x v="0"/>
  </r>
  <r>
    <x v="1"/>
    <x v="19"/>
    <x v="1"/>
    <x v="5"/>
    <x v="1"/>
    <x v="178"/>
    <x v="1"/>
    <x v="0"/>
    <x v="138"/>
    <x v="1"/>
    <x v="0"/>
    <x v="0"/>
    <x v="0"/>
    <x v="8"/>
    <x v="1"/>
    <x v="0"/>
    <x v="1"/>
    <x v="9"/>
    <x v="12"/>
    <x v="0"/>
    <x v="0"/>
    <x v="1"/>
    <x v="16"/>
    <x v="3"/>
    <x v="8"/>
    <x v="79"/>
    <x v="139"/>
    <x v="139"/>
    <x v="105"/>
    <x v="163"/>
    <x v="0"/>
    <x v="0"/>
    <x v="0"/>
    <x v="39"/>
    <x v="0"/>
    <x v="0"/>
    <x v="1"/>
    <x v="0"/>
    <x v="5"/>
    <x v="0"/>
    <x v="0"/>
    <x v="0"/>
    <x v="0"/>
    <x v="1"/>
    <x v="0"/>
    <x v="0"/>
  </r>
  <r>
    <x v="1"/>
    <x v="19"/>
    <x v="1"/>
    <x v="5"/>
    <x v="1"/>
    <x v="201"/>
    <x v="1"/>
    <x v="0"/>
    <x v="128"/>
    <x v="1"/>
    <x v="0"/>
    <x v="0"/>
    <x v="0"/>
    <x v="8"/>
    <x v="1"/>
    <x v="0"/>
    <x v="1"/>
    <x v="9"/>
    <x v="12"/>
    <x v="0"/>
    <x v="0"/>
    <x v="1"/>
    <x v="16"/>
    <x v="3"/>
    <x v="11"/>
    <x v="68"/>
    <x v="128"/>
    <x v="128"/>
    <x v="95"/>
    <x v="153"/>
    <x v="0"/>
    <x v="0"/>
    <x v="0"/>
    <x v="30"/>
    <x v="0"/>
    <x v="0"/>
    <x v="1"/>
    <x v="0"/>
    <x v="6"/>
    <x v="0"/>
    <x v="0"/>
    <x v="0"/>
    <x v="0"/>
    <x v="1"/>
    <x v="0"/>
    <x v="0"/>
  </r>
  <r>
    <x v="1"/>
    <x v="19"/>
    <x v="1"/>
    <x v="5"/>
    <x v="1"/>
    <x v="227"/>
    <x v="1"/>
    <x v="0"/>
    <x v="138"/>
    <x v="1"/>
    <x v="0"/>
    <x v="0"/>
    <x v="0"/>
    <x v="8"/>
    <x v="1"/>
    <x v="0"/>
    <x v="1"/>
    <x v="9"/>
    <x v="12"/>
    <x v="0"/>
    <x v="0"/>
    <x v="1"/>
    <x v="16"/>
    <x v="3"/>
    <x v="13"/>
    <x v="79"/>
    <x v="139"/>
    <x v="139"/>
    <x v="105"/>
    <x v="163"/>
    <x v="0"/>
    <x v="0"/>
    <x v="0"/>
    <x v="39"/>
    <x v="0"/>
    <x v="0"/>
    <x v="1"/>
    <x v="0"/>
    <x v="7"/>
    <x v="0"/>
    <x v="0"/>
    <x v="0"/>
    <x v="0"/>
    <x v="1"/>
    <x v="0"/>
    <x v="0"/>
  </r>
  <r>
    <x v="1"/>
    <x v="19"/>
    <x v="1"/>
    <x v="5"/>
    <x v="1"/>
    <x v="249"/>
    <x v="1"/>
    <x v="0"/>
    <x v="138"/>
    <x v="1"/>
    <x v="0"/>
    <x v="0"/>
    <x v="0"/>
    <x v="8"/>
    <x v="1"/>
    <x v="0"/>
    <x v="1"/>
    <x v="9"/>
    <x v="12"/>
    <x v="0"/>
    <x v="0"/>
    <x v="1"/>
    <x v="16"/>
    <x v="3"/>
    <x v="15"/>
    <x v="79"/>
    <x v="139"/>
    <x v="139"/>
    <x v="105"/>
    <x v="163"/>
    <x v="0"/>
    <x v="0"/>
    <x v="0"/>
    <x v="39"/>
    <x v="0"/>
    <x v="0"/>
    <x v="1"/>
    <x v="0"/>
    <x v="8"/>
    <x v="0"/>
    <x v="0"/>
    <x v="0"/>
    <x v="0"/>
    <x v="1"/>
    <x v="0"/>
    <x v="0"/>
  </r>
  <r>
    <x v="1"/>
    <x v="19"/>
    <x v="1"/>
    <x v="5"/>
    <x v="1"/>
    <x v="269"/>
    <x v="1"/>
    <x v="0"/>
    <x v="138"/>
    <x v="1"/>
    <x v="0"/>
    <x v="0"/>
    <x v="0"/>
    <x v="8"/>
    <x v="1"/>
    <x v="0"/>
    <x v="1"/>
    <x v="9"/>
    <x v="12"/>
    <x v="0"/>
    <x v="0"/>
    <x v="1"/>
    <x v="16"/>
    <x v="3"/>
    <x v="17"/>
    <x v="79"/>
    <x v="139"/>
    <x v="139"/>
    <x v="105"/>
    <x v="163"/>
    <x v="0"/>
    <x v="0"/>
    <x v="0"/>
    <x v="39"/>
    <x v="0"/>
    <x v="0"/>
    <x v="1"/>
    <x v="0"/>
    <x v="9"/>
    <x v="0"/>
    <x v="0"/>
    <x v="0"/>
    <x v="0"/>
    <x v="1"/>
    <x v="0"/>
    <x v="0"/>
  </r>
  <r>
    <x v="1"/>
    <x v="19"/>
    <x v="1"/>
    <x v="5"/>
    <x v="3"/>
    <x v="178"/>
    <x v="0"/>
    <x v="0"/>
    <x v="138"/>
    <x v="1"/>
    <x v="6"/>
    <x v="0"/>
    <x v="0"/>
    <x v="2"/>
    <x v="1"/>
    <x v="0"/>
    <x v="1"/>
    <x v="9"/>
    <x v="12"/>
    <x v="0"/>
    <x v="0"/>
    <x v="1"/>
    <x v="33"/>
    <x v="3"/>
    <x v="8"/>
    <x v="79"/>
    <x v="139"/>
    <x v="139"/>
    <x v="41"/>
    <x v="41"/>
    <x v="0"/>
    <x v="0"/>
    <x v="0"/>
    <x v="39"/>
    <x v="0"/>
    <x v="0"/>
    <x v="1"/>
    <x v="0"/>
    <x v="5"/>
    <x v="0"/>
    <x v="0"/>
    <x v="0"/>
    <x v="0"/>
    <x v="0"/>
    <x v="0"/>
    <x v="0"/>
  </r>
  <r>
    <x v="1"/>
    <x v="14"/>
    <x v="1"/>
    <x v="8"/>
    <x v="3"/>
    <x v="178"/>
    <x v="1"/>
    <x v="0"/>
    <x v="138"/>
    <x v="1"/>
    <x v="5"/>
    <x v="80"/>
    <x v="0"/>
    <x v="8"/>
    <x v="0"/>
    <x v="1"/>
    <x v="0"/>
    <x v="7"/>
    <x v="7"/>
    <x v="6"/>
    <x v="9"/>
    <x v="1"/>
    <x v="34"/>
    <x v="3"/>
    <x v="9"/>
    <x v="79"/>
    <x v="139"/>
    <x v="139"/>
    <x v="105"/>
    <x v="163"/>
    <x v="80"/>
    <x v="0"/>
    <x v="2"/>
    <x v="0"/>
    <x v="0"/>
    <x v="0"/>
    <x v="1"/>
    <x v="9"/>
    <x v="10"/>
    <x v="1"/>
    <x v="0"/>
    <x v="0"/>
    <x v="0"/>
    <x v="0"/>
    <x v="0"/>
    <x v="0"/>
  </r>
  <r>
    <x v="1"/>
    <x v="19"/>
    <x v="1"/>
    <x v="5"/>
    <x v="3"/>
    <x v="201"/>
    <x v="0"/>
    <x v="0"/>
    <x v="128"/>
    <x v="1"/>
    <x v="6"/>
    <x v="0"/>
    <x v="0"/>
    <x v="2"/>
    <x v="1"/>
    <x v="0"/>
    <x v="1"/>
    <x v="9"/>
    <x v="12"/>
    <x v="0"/>
    <x v="0"/>
    <x v="1"/>
    <x v="34"/>
    <x v="3"/>
    <x v="10"/>
    <x v="68"/>
    <x v="128"/>
    <x v="128"/>
    <x v="41"/>
    <x v="41"/>
    <x v="0"/>
    <x v="0"/>
    <x v="0"/>
    <x v="30"/>
    <x v="0"/>
    <x v="0"/>
    <x v="1"/>
    <x v="0"/>
    <x v="6"/>
    <x v="0"/>
    <x v="0"/>
    <x v="0"/>
    <x v="0"/>
    <x v="0"/>
    <x v="0"/>
    <x v="0"/>
  </r>
  <r>
    <x v="1"/>
    <x v="14"/>
    <x v="1"/>
    <x v="8"/>
    <x v="3"/>
    <x v="201"/>
    <x v="1"/>
    <x v="0"/>
    <x v="101"/>
    <x v="1"/>
    <x v="5"/>
    <x v="39"/>
    <x v="0"/>
    <x v="8"/>
    <x v="0"/>
    <x v="1"/>
    <x v="0"/>
    <x v="8"/>
    <x v="6"/>
    <x v="6"/>
    <x v="13"/>
    <x v="1"/>
    <x v="34"/>
    <x v="3"/>
    <x v="12"/>
    <x v="27"/>
    <x v="87"/>
    <x v="87"/>
    <x v="61"/>
    <x v="119"/>
    <x v="39"/>
    <x v="0"/>
    <x v="2"/>
    <x v="0"/>
    <x v="0"/>
    <x v="0"/>
    <x v="1"/>
    <x v="13"/>
    <x v="11"/>
    <x v="1"/>
    <x v="0"/>
    <x v="0"/>
    <x v="0"/>
    <x v="0"/>
    <x v="0"/>
    <x v="0"/>
  </r>
  <r>
    <x v="1"/>
    <x v="19"/>
    <x v="1"/>
    <x v="5"/>
    <x v="3"/>
    <x v="227"/>
    <x v="0"/>
    <x v="0"/>
    <x v="138"/>
    <x v="1"/>
    <x v="6"/>
    <x v="0"/>
    <x v="0"/>
    <x v="2"/>
    <x v="1"/>
    <x v="0"/>
    <x v="1"/>
    <x v="9"/>
    <x v="12"/>
    <x v="0"/>
    <x v="0"/>
    <x v="1"/>
    <x v="34"/>
    <x v="3"/>
    <x v="13"/>
    <x v="79"/>
    <x v="139"/>
    <x v="139"/>
    <x v="41"/>
    <x v="41"/>
    <x v="0"/>
    <x v="0"/>
    <x v="0"/>
    <x v="39"/>
    <x v="0"/>
    <x v="0"/>
    <x v="1"/>
    <x v="0"/>
    <x v="7"/>
    <x v="0"/>
    <x v="0"/>
    <x v="0"/>
    <x v="0"/>
    <x v="0"/>
    <x v="0"/>
    <x v="0"/>
  </r>
  <r>
    <x v="1"/>
    <x v="14"/>
    <x v="1"/>
    <x v="8"/>
    <x v="3"/>
    <x v="227"/>
    <x v="1"/>
    <x v="0"/>
    <x v="138"/>
    <x v="1"/>
    <x v="5"/>
    <x v="80"/>
    <x v="0"/>
    <x v="8"/>
    <x v="0"/>
    <x v="1"/>
    <x v="0"/>
    <x v="5"/>
    <x v="8"/>
    <x v="6"/>
    <x v="9"/>
    <x v="1"/>
    <x v="34"/>
    <x v="3"/>
    <x v="14"/>
    <x v="79"/>
    <x v="139"/>
    <x v="139"/>
    <x v="105"/>
    <x v="163"/>
    <x v="80"/>
    <x v="0"/>
    <x v="2"/>
    <x v="0"/>
    <x v="0"/>
    <x v="0"/>
    <x v="1"/>
    <x v="9"/>
    <x v="12"/>
    <x v="1"/>
    <x v="0"/>
    <x v="0"/>
    <x v="0"/>
    <x v="0"/>
    <x v="0"/>
    <x v="0"/>
  </r>
  <r>
    <x v="1"/>
    <x v="19"/>
    <x v="1"/>
    <x v="5"/>
    <x v="3"/>
    <x v="249"/>
    <x v="0"/>
    <x v="0"/>
    <x v="138"/>
    <x v="1"/>
    <x v="6"/>
    <x v="0"/>
    <x v="0"/>
    <x v="2"/>
    <x v="1"/>
    <x v="0"/>
    <x v="1"/>
    <x v="9"/>
    <x v="12"/>
    <x v="0"/>
    <x v="0"/>
    <x v="1"/>
    <x v="34"/>
    <x v="3"/>
    <x v="15"/>
    <x v="79"/>
    <x v="139"/>
    <x v="139"/>
    <x v="41"/>
    <x v="41"/>
    <x v="0"/>
    <x v="0"/>
    <x v="0"/>
    <x v="39"/>
    <x v="0"/>
    <x v="0"/>
    <x v="1"/>
    <x v="0"/>
    <x v="8"/>
    <x v="0"/>
    <x v="0"/>
    <x v="0"/>
    <x v="0"/>
    <x v="0"/>
    <x v="0"/>
    <x v="0"/>
  </r>
  <r>
    <x v="1"/>
    <x v="14"/>
    <x v="1"/>
    <x v="8"/>
    <x v="3"/>
    <x v="249"/>
    <x v="1"/>
    <x v="0"/>
    <x v="138"/>
    <x v="1"/>
    <x v="5"/>
    <x v="80"/>
    <x v="0"/>
    <x v="8"/>
    <x v="0"/>
    <x v="1"/>
    <x v="0"/>
    <x v="2"/>
    <x v="11"/>
    <x v="6"/>
    <x v="9"/>
    <x v="1"/>
    <x v="34"/>
    <x v="3"/>
    <x v="16"/>
    <x v="79"/>
    <x v="139"/>
    <x v="139"/>
    <x v="105"/>
    <x v="163"/>
    <x v="80"/>
    <x v="0"/>
    <x v="2"/>
    <x v="0"/>
    <x v="0"/>
    <x v="0"/>
    <x v="1"/>
    <x v="9"/>
    <x v="13"/>
    <x v="1"/>
    <x v="0"/>
    <x v="0"/>
    <x v="0"/>
    <x v="0"/>
    <x v="0"/>
    <x v="0"/>
  </r>
  <r>
    <x v="1"/>
    <x v="19"/>
    <x v="1"/>
    <x v="5"/>
    <x v="3"/>
    <x v="269"/>
    <x v="0"/>
    <x v="0"/>
    <x v="138"/>
    <x v="1"/>
    <x v="6"/>
    <x v="0"/>
    <x v="0"/>
    <x v="2"/>
    <x v="1"/>
    <x v="0"/>
    <x v="1"/>
    <x v="9"/>
    <x v="12"/>
    <x v="0"/>
    <x v="0"/>
    <x v="1"/>
    <x v="33"/>
    <x v="3"/>
    <x v="17"/>
    <x v="79"/>
    <x v="139"/>
    <x v="139"/>
    <x v="41"/>
    <x v="41"/>
    <x v="0"/>
    <x v="0"/>
    <x v="0"/>
    <x v="39"/>
    <x v="0"/>
    <x v="0"/>
    <x v="1"/>
    <x v="0"/>
    <x v="9"/>
    <x v="0"/>
    <x v="0"/>
    <x v="0"/>
    <x v="0"/>
    <x v="0"/>
    <x v="0"/>
    <x v="0"/>
  </r>
  <r>
    <x v="1"/>
    <x v="14"/>
    <x v="1"/>
    <x v="8"/>
    <x v="3"/>
    <x v="269"/>
    <x v="1"/>
    <x v="0"/>
    <x v="138"/>
    <x v="1"/>
    <x v="5"/>
    <x v="80"/>
    <x v="0"/>
    <x v="8"/>
    <x v="0"/>
    <x v="1"/>
    <x v="0"/>
    <x v="5"/>
    <x v="8"/>
    <x v="6"/>
    <x v="9"/>
    <x v="1"/>
    <x v="34"/>
    <x v="3"/>
    <x v="18"/>
    <x v="79"/>
    <x v="139"/>
    <x v="139"/>
    <x v="105"/>
    <x v="163"/>
    <x v="80"/>
    <x v="0"/>
    <x v="2"/>
    <x v="0"/>
    <x v="0"/>
    <x v="0"/>
    <x v="1"/>
    <x v="9"/>
    <x v="14"/>
    <x v="1"/>
    <x v="0"/>
    <x v="0"/>
    <x v="0"/>
    <x v="0"/>
    <x v="0"/>
    <x v="0"/>
  </r>
  <r>
    <x v="1"/>
    <x v="19"/>
    <x v="1"/>
    <x v="1"/>
    <x v="3"/>
    <x v="289"/>
    <x v="1"/>
    <x v="1"/>
    <x v="49"/>
    <x v="2"/>
    <x v="12"/>
    <x v="87"/>
    <x v="0"/>
    <x v="9"/>
    <x v="1"/>
    <x v="1"/>
    <x v="0"/>
    <x v="9"/>
    <x v="12"/>
    <x v="0"/>
    <x v="0"/>
    <x v="1"/>
    <x v="34"/>
    <x v="4"/>
    <x v="42"/>
    <x v="58"/>
    <x v="118"/>
    <x v="118"/>
    <x v="85"/>
    <x v="143"/>
    <x v="87"/>
    <x v="0"/>
    <x v="0"/>
    <x v="0"/>
    <x v="0"/>
    <x v="0"/>
    <x v="1"/>
    <x v="0"/>
    <x v="15"/>
    <x v="0"/>
    <x v="0"/>
    <x v="0"/>
    <x v="0"/>
    <x v="0"/>
    <x v="0"/>
    <x v="0"/>
  </r>
  <r>
    <x v="1"/>
    <x v="19"/>
    <x v="1"/>
    <x v="5"/>
    <x v="4"/>
    <x v="178"/>
    <x v="0"/>
    <x v="0"/>
    <x v="138"/>
    <x v="1"/>
    <x v="0"/>
    <x v="0"/>
    <x v="0"/>
    <x v="2"/>
    <x v="1"/>
    <x v="0"/>
    <x v="1"/>
    <x v="9"/>
    <x v="12"/>
    <x v="0"/>
    <x v="0"/>
    <x v="1"/>
    <x v="17"/>
    <x v="3"/>
    <x v="8"/>
    <x v="79"/>
    <x v="139"/>
    <x v="139"/>
    <x v="41"/>
    <x v="41"/>
    <x v="0"/>
    <x v="0"/>
    <x v="0"/>
    <x v="39"/>
    <x v="0"/>
    <x v="0"/>
    <x v="1"/>
    <x v="0"/>
    <x v="5"/>
    <x v="0"/>
    <x v="0"/>
    <x v="0"/>
    <x v="0"/>
    <x v="2"/>
    <x v="0"/>
    <x v="0"/>
  </r>
  <r>
    <x v="1"/>
    <x v="19"/>
    <x v="1"/>
    <x v="5"/>
    <x v="4"/>
    <x v="201"/>
    <x v="0"/>
    <x v="0"/>
    <x v="27"/>
    <x v="0"/>
    <x v="0"/>
    <x v="0"/>
    <x v="0"/>
    <x v="2"/>
    <x v="1"/>
    <x v="0"/>
    <x v="1"/>
    <x v="9"/>
    <x v="12"/>
    <x v="0"/>
    <x v="0"/>
    <x v="1"/>
    <x v="17"/>
    <x v="3"/>
    <x v="11"/>
    <x v="68"/>
    <x v="26"/>
    <x v="26"/>
    <x v="41"/>
    <x v="41"/>
    <x v="0"/>
    <x v="0"/>
    <x v="0"/>
    <x v="30"/>
    <x v="0"/>
    <x v="0"/>
    <x v="1"/>
    <x v="0"/>
    <x v="6"/>
    <x v="0"/>
    <x v="0"/>
    <x v="0"/>
    <x v="0"/>
    <x v="2"/>
    <x v="0"/>
    <x v="0"/>
  </r>
  <r>
    <x v="1"/>
    <x v="19"/>
    <x v="1"/>
    <x v="5"/>
    <x v="4"/>
    <x v="227"/>
    <x v="0"/>
    <x v="0"/>
    <x v="138"/>
    <x v="1"/>
    <x v="0"/>
    <x v="0"/>
    <x v="0"/>
    <x v="2"/>
    <x v="1"/>
    <x v="0"/>
    <x v="1"/>
    <x v="9"/>
    <x v="12"/>
    <x v="0"/>
    <x v="0"/>
    <x v="1"/>
    <x v="17"/>
    <x v="3"/>
    <x v="13"/>
    <x v="79"/>
    <x v="139"/>
    <x v="139"/>
    <x v="41"/>
    <x v="41"/>
    <x v="0"/>
    <x v="0"/>
    <x v="0"/>
    <x v="39"/>
    <x v="0"/>
    <x v="0"/>
    <x v="1"/>
    <x v="0"/>
    <x v="7"/>
    <x v="0"/>
    <x v="0"/>
    <x v="0"/>
    <x v="0"/>
    <x v="2"/>
    <x v="0"/>
    <x v="0"/>
  </r>
  <r>
    <x v="1"/>
    <x v="19"/>
    <x v="1"/>
    <x v="5"/>
    <x v="4"/>
    <x v="249"/>
    <x v="0"/>
    <x v="0"/>
    <x v="138"/>
    <x v="1"/>
    <x v="0"/>
    <x v="0"/>
    <x v="0"/>
    <x v="2"/>
    <x v="1"/>
    <x v="0"/>
    <x v="1"/>
    <x v="9"/>
    <x v="12"/>
    <x v="0"/>
    <x v="0"/>
    <x v="1"/>
    <x v="17"/>
    <x v="3"/>
    <x v="15"/>
    <x v="79"/>
    <x v="139"/>
    <x v="139"/>
    <x v="41"/>
    <x v="41"/>
    <x v="0"/>
    <x v="0"/>
    <x v="0"/>
    <x v="39"/>
    <x v="0"/>
    <x v="0"/>
    <x v="1"/>
    <x v="0"/>
    <x v="8"/>
    <x v="0"/>
    <x v="0"/>
    <x v="0"/>
    <x v="0"/>
    <x v="2"/>
    <x v="0"/>
    <x v="0"/>
  </r>
  <r>
    <x v="1"/>
    <x v="19"/>
    <x v="1"/>
    <x v="5"/>
    <x v="4"/>
    <x v="269"/>
    <x v="0"/>
    <x v="0"/>
    <x v="138"/>
    <x v="1"/>
    <x v="0"/>
    <x v="0"/>
    <x v="0"/>
    <x v="2"/>
    <x v="1"/>
    <x v="0"/>
    <x v="1"/>
    <x v="9"/>
    <x v="12"/>
    <x v="0"/>
    <x v="0"/>
    <x v="1"/>
    <x v="17"/>
    <x v="3"/>
    <x v="17"/>
    <x v="79"/>
    <x v="139"/>
    <x v="139"/>
    <x v="41"/>
    <x v="41"/>
    <x v="0"/>
    <x v="0"/>
    <x v="0"/>
    <x v="39"/>
    <x v="0"/>
    <x v="0"/>
    <x v="1"/>
    <x v="0"/>
    <x v="9"/>
    <x v="0"/>
    <x v="0"/>
    <x v="0"/>
    <x v="0"/>
    <x v="2"/>
    <x v="0"/>
    <x v="0"/>
  </r>
  <r>
    <x v="2"/>
    <x v="8"/>
    <x v="2"/>
    <x v="7"/>
    <x v="0"/>
    <x v="0"/>
    <x v="1"/>
    <x v="2"/>
    <x v="133"/>
    <x v="1"/>
    <x v="0"/>
    <x v="0"/>
    <x v="0"/>
    <x v="8"/>
    <x v="0"/>
    <x v="1"/>
    <x v="0"/>
    <x v="7"/>
    <x v="7"/>
    <x v="1"/>
    <x v="3"/>
    <x v="1"/>
    <x v="34"/>
    <x v="1"/>
    <x v="0"/>
    <x v="74"/>
    <x v="134"/>
    <x v="134"/>
    <x v="41"/>
    <x v="41"/>
    <x v="0"/>
    <x v="0"/>
    <x v="2"/>
    <x v="0"/>
    <x v="0"/>
    <x v="0"/>
    <x v="1"/>
    <x v="3"/>
    <x v="16"/>
    <x v="1"/>
    <x v="0"/>
    <x v="0"/>
    <x v="0"/>
    <x v="0"/>
    <x v="0"/>
    <x v="0"/>
  </r>
  <r>
    <x v="2"/>
    <x v="8"/>
    <x v="2"/>
    <x v="7"/>
    <x v="0"/>
    <x v="11"/>
    <x v="1"/>
    <x v="2"/>
    <x v="138"/>
    <x v="1"/>
    <x v="0"/>
    <x v="0"/>
    <x v="0"/>
    <x v="8"/>
    <x v="0"/>
    <x v="1"/>
    <x v="0"/>
    <x v="5"/>
    <x v="8"/>
    <x v="1"/>
    <x v="3"/>
    <x v="1"/>
    <x v="34"/>
    <x v="1"/>
    <x v="1"/>
    <x v="79"/>
    <x v="139"/>
    <x v="139"/>
    <x v="41"/>
    <x v="41"/>
    <x v="0"/>
    <x v="0"/>
    <x v="2"/>
    <x v="0"/>
    <x v="0"/>
    <x v="0"/>
    <x v="1"/>
    <x v="3"/>
    <x v="17"/>
    <x v="1"/>
    <x v="0"/>
    <x v="0"/>
    <x v="0"/>
    <x v="0"/>
    <x v="0"/>
    <x v="0"/>
  </r>
  <r>
    <x v="2"/>
    <x v="8"/>
    <x v="2"/>
    <x v="7"/>
    <x v="0"/>
    <x v="22"/>
    <x v="1"/>
    <x v="2"/>
    <x v="133"/>
    <x v="1"/>
    <x v="0"/>
    <x v="0"/>
    <x v="0"/>
    <x v="8"/>
    <x v="0"/>
    <x v="1"/>
    <x v="0"/>
    <x v="7"/>
    <x v="7"/>
    <x v="1"/>
    <x v="3"/>
    <x v="1"/>
    <x v="34"/>
    <x v="1"/>
    <x v="2"/>
    <x v="74"/>
    <x v="134"/>
    <x v="134"/>
    <x v="41"/>
    <x v="41"/>
    <x v="0"/>
    <x v="0"/>
    <x v="2"/>
    <x v="0"/>
    <x v="0"/>
    <x v="0"/>
    <x v="1"/>
    <x v="3"/>
    <x v="18"/>
    <x v="1"/>
    <x v="0"/>
    <x v="0"/>
    <x v="0"/>
    <x v="0"/>
    <x v="0"/>
    <x v="0"/>
  </r>
  <r>
    <x v="2"/>
    <x v="8"/>
    <x v="2"/>
    <x v="7"/>
    <x v="0"/>
    <x v="33"/>
    <x v="1"/>
    <x v="2"/>
    <x v="138"/>
    <x v="1"/>
    <x v="0"/>
    <x v="0"/>
    <x v="0"/>
    <x v="8"/>
    <x v="0"/>
    <x v="1"/>
    <x v="0"/>
    <x v="5"/>
    <x v="8"/>
    <x v="1"/>
    <x v="3"/>
    <x v="1"/>
    <x v="33"/>
    <x v="1"/>
    <x v="3"/>
    <x v="79"/>
    <x v="139"/>
    <x v="139"/>
    <x v="41"/>
    <x v="41"/>
    <x v="0"/>
    <x v="0"/>
    <x v="2"/>
    <x v="0"/>
    <x v="0"/>
    <x v="0"/>
    <x v="1"/>
    <x v="3"/>
    <x v="19"/>
    <x v="1"/>
    <x v="0"/>
    <x v="0"/>
    <x v="0"/>
    <x v="0"/>
    <x v="0"/>
    <x v="0"/>
  </r>
  <r>
    <x v="2"/>
    <x v="8"/>
    <x v="2"/>
    <x v="7"/>
    <x v="0"/>
    <x v="44"/>
    <x v="1"/>
    <x v="2"/>
    <x v="97"/>
    <x v="1"/>
    <x v="0"/>
    <x v="0"/>
    <x v="0"/>
    <x v="8"/>
    <x v="1"/>
    <x v="1"/>
    <x v="0"/>
    <x v="8"/>
    <x v="6"/>
    <x v="1"/>
    <x v="4"/>
    <x v="1"/>
    <x v="34"/>
    <x v="1"/>
    <x v="29"/>
    <x v="21"/>
    <x v="83"/>
    <x v="83"/>
    <x v="41"/>
    <x v="41"/>
    <x v="0"/>
    <x v="0"/>
    <x v="2"/>
    <x v="0"/>
    <x v="0"/>
    <x v="0"/>
    <x v="1"/>
    <x v="4"/>
    <x v="20"/>
    <x v="1"/>
    <x v="0"/>
    <x v="0"/>
    <x v="0"/>
    <x v="0"/>
    <x v="0"/>
    <x v="0"/>
  </r>
  <r>
    <x v="2"/>
    <x v="8"/>
    <x v="2"/>
    <x v="7"/>
    <x v="0"/>
    <x v="55"/>
    <x v="1"/>
    <x v="2"/>
    <x v="47"/>
    <x v="0"/>
    <x v="0"/>
    <x v="0"/>
    <x v="0"/>
    <x v="2"/>
    <x v="1"/>
    <x v="1"/>
    <x v="0"/>
    <x v="8"/>
    <x v="6"/>
    <x v="1"/>
    <x v="4"/>
    <x v="1"/>
    <x v="34"/>
    <x v="1"/>
    <x v="30"/>
    <x v="89"/>
    <x v="37"/>
    <x v="37"/>
    <x v="41"/>
    <x v="41"/>
    <x v="0"/>
    <x v="0"/>
    <x v="2"/>
    <x v="0"/>
    <x v="0"/>
    <x v="0"/>
    <x v="1"/>
    <x v="4"/>
    <x v="21"/>
    <x v="1"/>
    <x v="0"/>
    <x v="0"/>
    <x v="0"/>
    <x v="0"/>
    <x v="0"/>
    <x v="0"/>
  </r>
  <r>
    <x v="2"/>
    <x v="19"/>
    <x v="2"/>
    <x v="5"/>
    <x v="3"/>
    <x v="150"/>
    <x v="1"/>
    <x v="1"/>
    <x v="60"/>
    <x v="0"/>
    <x v="11"/>
    <x v="53"/>
    <x v="0"/>
    <x v="2"/>
    <x v="1"/>
    <x v="1"/>
    <x v="0"/>
    <x v="9"/>
    <x v="12"/>
    <x v="0"/>
    <x v="0"/>
    <x v="1"/>
    <x v="33"/>
    <x v="4"/>
    <x v="23"/>
    <x v="97"/>
    <x v="45"/>
    <x v="45"/>
    <x v="121"/>
    <x v="84"/>
    <x v="53"/>
    <x v="0"/>
    <x v="0"/>
    <x v="0"/>
    <x v="0"/>
    <x v="0"/>
    <x v="1"/>
    <x v="0"/>
    <x v="22"/>
    <x v="0"/>
    <x v="0"/>
    <x v="0"/>
    <x v="0"/>
    <x v="0"/>
    <x v="0"/>
    <x v="0"/>
  </r>
  <r>
    <x v="2"/>
    <x v="19"/>
    <x v="2"/>
    <x v="5"/>
    <x v="3"/>
    <x v="179"/>
    <x v="1"/>
    <x v="1"/>
    <x v="85"/>
    <x v="0"/>
    <x v="11"/>
    <x v="90"/>
    <x v="0"/>
    <x v="2"/>
    <x v="1"/>
    <x v="1"/>
    <x v="0"/>
    <x v="9"/>
    <x v="12"/>
    <x v="0"/>
    <x v="0"/>
    <x v="1"/>
    <x v="34"/>
    <x v="4"/>
    <x v="24"/>
    <x v="120"/>
    <x v="69"/>
    <x v="69"/>
    <x v="144"/>
    <x v="108"/>
    <x v="90"/>
    <x v="0"/>
    <x v="0"/>
    <x v="0"/>
    <x v="0"/>
    <x v="0"/>
    <x v="1"/>
    <x v="0"/>
    <x v="23"/>
    <x v="0"/>
    <x v="0"/>
    <x v="0"/>
    <x v="0"/>
    <x v="0"/>
    <x v="0"/>
    <x v="0"/>
  </r>
  <r>
    <x v="2"/>
    <x v="19"/>
    <x v="2"/>
    <x v="20"/>
    <x v="3"/>
    <x v="302"/>
    <x v="1"/>
    <x v="1"/>
    <x v="46"/>
    <x v="2"/>
    <x v="13"/>
    <x v="75"/>
    <x v="0"/>
    <x v="9"/>
    <x v="0"/>
    <x v="1"/>
    <x v="0"/>
    <x v="9"/>
    <x v="12"/>
    <x v="0"/>
    <x v="0"/>
    <x v="1"/>
    <x v="33"/>
    <x v="4"/>
    <x v="45"/>
    <x v="51"/>
    <x v="111"/>
    <x v="111"/>
    <x v="80"/>
    <x v="138"/>
    <x v="75"/>
    <x v="0"/>
    <x v="0"/>
    <x v="0"/>
    <x v="0"/>
    <x v="0"/>
    <x v="1"/>
    <x v="0"/>
    <x v="24"/>
    <x v="0"/>
    <x v="0"/>
    <x v="0"/>
    <x v="0"/>
    <x v="0"/>
    <x v="0"/>
    <x v="0"/>
  </r>
  <r>
    <x v="2"/>
    <x v="19"/>
    <x v="2"/>
    <x v="20"/>
    <x v="3"/>
    <x v="81"/>
    <x v="1"/>
    <x v="1"/>
    <x v="46"/>
    <x v="2"/>
    <x v="13"/>
    <x v="75"/>
    <x v="0"/>
    <x v="9"/>
    <x v="0"/>
    <x v="1"/>
    <x v="0"/>
    <x v="9"/>
    <x v="12"/>
    <x v="0"/>
    <x v="0"/>
    <x v="1"/>
    <x v="34"/>
    <x v="4"/>
    <x v="46"/>
    <x v="51"/>
    <x v="111"/>
    <x v="111"/>
    <x v="80"/>
    <x v="138"/>
    <x v="75"/>
    <x v="0"/>
    <x v="0"/>
    <x v="0"/>
    <x v="0"/>
    <x v="0"/>
    <x v="1"/>
    <x v="0"/>
    <x v="25"/>
    <x v="0"/>
    <x v="0"/>
    <x v="0"/>
    <x v="0"/>
    <x v="0"/>
    <x v="0"/>
    <x v="0"/>
  </r>
  <r>
    <x v="3"/>
    <x v="8"/>
    <x v="3"/>
    <x v="7"/>
    <x v="0"/>
    <x v="66"/>
    <x v="1"/>
    <x v="2"/>
    <x v="133"/>
    <x v="1"/>
    <x v="0"/>
    <x v="0"/>
    <x v="0"/>
    <x v="8"/>
    <x v="0"/>
    <x v="1"/>
    <x v="0"/>
    <x v="7"/>
    <x v="7"/>
    <x v="1"/>
    <x v="3"/>
    <x v="1"/>
    <x v="33"/>
    <x v="1"/>
    <x v="19"/>
    <x v="74"/>
    <x v="134"/>
    <x v="134"/>
    <x v="41"/>
    <x v="41"/>
    <x v="0"/>
    <x v="0"/>
    <x v="2"/>
    <x v="0"/>
    <x v="0"/>
    <x v="0"/>
    <x v="1"/>
    <x v="3"/>
    <x v="26"/>
    <x v="1"/>
    <x v="0"/>
    <x v="0"/>
    <x v="0"/>
    <x v="0"/>
    <x v="0"/>
    <x v="0"/>
  </r>
  <r>
    <x v="3"/>
    <x v="8"/>
    <x v="3"/>
    <x v="7"/>
    <x v="0"/>
    <x v="76"/>
    <x v="1"/>
    <x v="2"/>
    <x v="128"/>
    <x v="1"/>
    <x v="0"/>
    <x v="0"/>
    <x v="0"/>
    <x v="8"/>
    <x v="0"/>
    <x v="1"/>
    <x v="0"/>
    <x v="5"/>
    <x v="8"/>
    <x v="1"/>
    <x v="3"/>
    <x v="1"/>
    <x v="34"/>
    <x v="1"/>
    <x v="20"/>
    <x v="68"/>
    <x v="128"/>
    <x v="128"/>
    <x v="41"/>
    <x v="41"/>
    <x v="0"/>
    <x v="0"/>
    <x v="2"/>
    <x v="0"/>
    <x v="0"/>
    <x v="0"/>
    <x v="1"/>
    <x v="3"/>
    <x v="27"/>
    <x v="1"/>
    <x v="0"/>
    <x v="0"/>
    <x v="0"/>
    <x v="0"/>
    <x v="0"/>
    <x v="0"/>
  </r>
  <r>
    <x v="3"/>
    <x v="8"/>
    <x v="3"/>
    <x v="7"/>
    <x v="0"/>
    <x v="77"/>
    <x v="1"/>
    <x v="2"/>
    <x v="98"/>
    <x v="1"/>
    <x v="0"/>
    <x v="0"/>
    <x v="0"/>
    <x v="8"/>
    <x v="0"/>
    <x v="1"/>
    <x v="0"/>
    <x v="8"/>
    <x v="6"/>
    <x v="1"/>
    <x v="4"/>
    <x v="1"/>
    <x v="33"/>
    <x v="1"/>
    <x v="21"/>
    <x v="23"/>
    <x v="84"/>
    <x v="84"/>
    <x v="41"/>
    <x v="41"/>
    <x v="0"/>
    <x v="0"/>
    <x v="2"/>
    <x v="0"/>
    <x v="0"/>
    <x v="0"/>
    <x v="1"/>
    <x v="4"/>
    <x v="28"/>
    <x v="1"/>
    <x v="0"/>
    <x v="0"/>
    <x v="0"/>
    <x v="0"/>
    <x v="0"/>
    <x v="0"/>
  </r>
  <r>
    <x v="3"/>
    <x v="8"/>
    <x v="3"/>
    <x v="7"/>
    <x v="0"/>
    <x v="1"/>
    <x v="1"/>
    <x v="2"/>
    <x v="108"/>
    <x v="1"/>
    <x v="0"/>
    <x v="0"/>
    <x v="0"/>
    <x v="8"/>
    <x v="0"/>
    <x v="1"/>
    <x v="0"/>
    <x v="8"/>
    <x v="6"/>
    <x v="1"/>
    <x v="4"/>
    <x v="1"/>
    <x v="34"/>
    <x v="1"/>
    <x v="31"/>
    <x v="34"/>
    <x v="94"/>
    <x v="94"/>
    <x v="41"/>
    <x v="41"/>
    <x v="0"/>
    <x v="0"/>
    <x v="2"/>
    <x v="0"/>
    <x v="0"/>
    <x v="0"/>
    <x v="1"/>
    <x v="4"/>
    <x v="29"/>
    <x v="1"/>
    <x v="0"/>
    <x v="0"/>
    <x v="0"/>
    <x v="0"/>
    <x v="0"/>
    <x v="0"/>
  </r>
  <r>
    <x v="3"/>
    <x v="8"/>
    <x v="3"/>
    <x v="7"/>
    <x v="0"/>
    <x v="2"/>
    <x v="1"/>
    <x v="2"/>
    <x v="128"/>
    <x v="1"/>
    <x v="0"/>
    <x v="0"/>
    <x v="0"/>
    <x v="8"/>
    <x v="0"/>
    <x v="1"/>
    <x v="0"/>
    <x v="5"/>
    <x v="8"/>
    <x v="1"/>
    <x v="3"/>
    <x v="1"/>
    <x v="34"/>
    <x v="1"/>
    <x v="32"/>
    <x v="68"/>
    <x v="128"/>
    <x v="128"/>
    <x v="41"/>
    <x v="41"/>
    <x v="0"/>
    <x v="0"/>
    <x v="2"/>
    <x v="0"/>
    <x v="0"/>
    <x v="0"/>
    <x v="1"/>
    <x v="3"/>
    <x v="30"/>
    <x v="1"/>
    <x v="0"/>
    <x v="0"/>
    <x v="0"/>
    <x v="0"/>
    <x v="0"/>
    <x v="0"/>
  </r>
  <r>
    <x v="3"/>
    <x v="8"/>
    <x v="3"/>
    <x v="7"/>
    <x v="0"/>
    <x v="3"/>
    <x v="1"/>
    <x v="2"/>
    <x v="133"/>
    <x v="1"/>
    <x v="0"/>
    <x v="0"/>
    <x v="0"/>
    <x v="8"/>
    <x v="0"/>
    <x v="1"/>
    <x v="0"/>
    <x v="7"/>
    <x v="7"/>
    <x v="1"/>
    <x v="3"/>
    <x v="1"/>
    <x v="33"/>
    <x v="1"/>
    <x v="33"/>
    <x v="74"/>
    <x v="134"/>
    <x v="134"/>
    <x v="41"/>
    <x v="41"/>
    <x v="0"/>
    <x v="0"/>
    <x v="2"/>
    <x v="0"/>
    <x v="0"/>
    <x v="0"/>
    <x v="1"/>
    <x v="3"/>
    <x v="31"/>
    <x v="1"/>
    <x v="0"/>
    <x v="0"/>
    <x v="0"/>
    <x v="0"/>
    <x v="0"/>
    <x v="0"/>
  </r>
  <r>
    <x v="3"/>
    <x v="19"/>
    <x v="3"/>
    <x v="20"/>
    <x v="3"/>
    <x v="99"/>
    <x v="1"/>
    <x v="1"/>
    <x v="48"/>
    <x v="2"/>
    <x v="13"/>
    <x v="89"/>
    <x v="0"/>
    <x v="9"/>
    <x v="0"/>
    <x v="1"/>
    <x v="0"/>
    <x v="9"/>
    <x v="12"/>
    <x v="0"/>
    <x v="0"/>
    <x v="1"/>
    <x v="33"/>
    <x v="4"/>
    <x v="47"/>
    <x v="57"/>
    <x v="117"/>
    <x v="117"/>
    <x v="84"/>
    <x v="142"/>
    <x v="89"/>
    <x v="0"/>
    <x v="0"/>
    <x v="0"/>
    <x v="0"/>
    <x v="0"/>
    <x v="1"/>
    <x v="0"/>
    <x v="32"/>
    <x v="0"/>
    <x v="0"/>
    <x v="0"/>
    <x v="0"/>
    <x v="0"/>
    <x v="0"/>
    <x v="0"/>
  </r>
  <r>
    <x v="3"/>
    <x v="19"/>
    <x v="3"/>
    <x v="20"/>
    <x v="3"/>
    <x v="118"/>
    <x v="1"/>
    <x v="1"/>
    <x v="44"/>
    <x v="1"/>
    <x v="13"/>
    <x v="65"/>
    <x v="0"/>
    <x v="9"/>
    <x v="0"/>
    <x v="1"/>
    <x v="0"/>
    <x v="9"/>
    <x v="12"/>
    <x v="0"/>
    <x v="0"/>
    <x v="1"/>
    <x v="34"/>
    <x v="4"/>
    <x v="48"/>
    <x v="4"/>
    <x v="36"/>
    <x v="36"/>
    <x v="45"/>
    <x v="75"/>
    <x v="65"/>
    <x v="0"/>
    <x v="0"/>
    <x v="0"/>
    <x v="0"/>
    <x v="0"/>
    <x v="1"/>
    <x v="0"/>
    <x v="33"/>
    <x v="0"/>
    <x v="0"/>
    <x v="0"/>
    <x v="0"/>
    <x v="0"/>
    <x v="0"/>
    <x v="0"/>
  </r>
  <r>
    <x v="4"/>
    <x v="8"/>
    <x v="4"/>
    <x v="7"/>
    <x v="0"/>
    <x v="4"/>
    <x v="1"/>
    <x v="2"/>
    <x v="128"/>
    <x v="1"/>
    <x v="0"/>
    <x v="0"/>
    <x v="0"/>
    <x v="8"/>
    <x v="0"/>
    <x v="1"/>
    <x v="0"/>
    <x v="5"/>
    <x v="8"/>
    <x v="1"/>
    <x v="3"/>
    <x v="1"/>
    <x v="34"/>
    <x v="1"/>
    <x v="25"/>
    <x v="68"/>
    <x v="128"/>
    <x v="128"/>
    <x v="41"/>
    <x v="41"/>
    <x v="0"/>
    <x v="0"/>
    <x v="2"/>
    <x v="0"/>
    <x v="0"/>
    <x v="0"/>
    <x v="1"/>
    <x v="3"/>
    <x v="34"/>
    <x v="1"/>
    <x v="0"/>
    <x v="0"/>
    <x v="0"/>
    <x v="0"/>
    <x v="0"/>
    <x v="0"/>
  </r>
  <r>
    <x v="4"/>
    <x v="8"/>
    <x v="4"/>
    <x v="7"/>
    <x v="0"/>
    <x v="5"/>
    <x v="1"/>
    <x v="2"/>
    <x v="130"/>
    <x v="1"/>
    <x v="0"/>
    <x v="0"/>
    <x v="0"/>
    <x v="8"/>
    <x v="0"/>
    <x v="1"/>
    <x v="0"/>
    <x v="7"/>
    <x v="7"/>
    <x v="1"/>
    <x v="3"/>
    <x v="1"/>
    <x v="33"/>
    <x v="1"/>
    <x v="26"/>
    <x v="70"/>
    <x v="130"/>
    <x v="130"/>
    <x v="41"/>
    <x v="41"/>
    <x v="0"/>
    <x v="0"/>
    <x v="2"/>
    <x v="0"/>
    <x v="0"/>
    <x v="0"/>
    <x v="1"/>
    <x v="3"/>
    <x v="35"/>
    <x v="1"/>
    <x v="0"/>
    <x v="0"/>
    <x v="0"/>
    <x v="0"/>
    <x v="0"/>
    <x v="0"/>
  </r>
  <r>
    <x v="4"/>
    <x v="8"/>
    <x v="4"/>
    <x v="7"/>
    <x v="0"/>
    <x v="6"/>
    <x v="1"/>
    <x v="2"/>
    <x v="105"/>
    <x v="1"/>
    <x v="0"/>
    <x v="0"/>
    <x v="0"/>
    <x v="8"/>
    <x v="0"/>
    <x v="1"/>
    <x v="0"/>
    <x v="8"/>
    <x v="6"/>
    <x v="1"/>
    <x v="4"/>
    <x v="1"/>
    <x v="34"/>
    <x v="1"/>
    <x v="27"/>
    <x v="31"/>
    <x v="91"/>
    <x v="91"/>
    <x v="41"/>
    <x v="41"/>
    <x v="0"/>
    <x v="0"/>
    <x v="2"/>
    <x v="0"/>
    <x v="0"/>
    <x v="0"/>
    <x v="1"/>
    <x v="4"/>
    <x v="36"/>
    <x v="1"/>
    <x v="0"/>
    <x v="0"/>
    <x v="0"/>
    <x v="0"/>
    <x v="0"/>
    <x v="0"/>
  </r>
  <r>
    <x v="4"/>
    <x v="8"/>
    <x v="4"/>
    <x v="7"/>
    <x v="0"/>
    <x v="7"/>
    <x v="1"/>
    <x v="2"/>
    <x v="135"/>
    <x v="1"/>
    <x v="0"/>
    <x v="0"/>
    <x v="0"/>
    <x v="8"/>
    <x v="0"/>
    <x v="1"/>
    <x v="0"/>
    <x v="7"/>
    <x v="7"/>
    <x v="1"/>
    <x v="3"/>
    <x v="1"/>
    <x v="33"/>
    <x v="1"/>
    <x v="34"/>
    <x v="76"/>
    <x v="136"/>
    <x v="136"/>
    <x v="41"/>
    <x v="41"/>
    <x v="0"/>
    <x v="0"/>
    <x v="2"/>
    <x v="0"/>
    <x v="0"/>
    <x v="0"/>
    <x v="1"/>
    <x v="3"/>
    <x v="37"/>
    <x v="1"/>
    <x v="0"/>
    <x v="0"/>
    <x v="0"/>
    <x v="0"/>
    <x v="0"/>
    <x v="0"/>
  </r>
  <r>
    <x v="4"/>
    <x v="8"/>
    <x v="4"/>
    <x v="7"/>
    <x v="0"/>
    <x v="8"/>
    <x v="1"/>
    <x v="2"/>
    <x v="135"/>
    <x v="1"/>
    <x v="0"/>
    <x v="0"/>
    <x v="0"/>
    <x v="8"/>
    <x v="0"/>
    <x v="1"/>
    <x v="0"/>
    <x v="5"/>
    <x v="8"/>
    <x v="1"/>
    <x v="3"/>
    <x v="1"/>
    <x v="34"/>
    <x v="1"/>
    <x v="35"/>
    <x v="76"/>
    <x v="136"/>
    <x v="136"/>
    <x v="41"/>
    <x v="41"/>
    <x v="0"/>
    <x v="0"/>
    <x v="2"/>
    <x v="0"/>
    <x v="0"/>
    <x v="0"/>
    <x v="1"/>
    <x v="3"/>
    <x v="38"/>
    <x v="1"/>
    <x v="0"/>
    <x v="0"/>
    <x v="0"/>
    <x v="0"/>
    <x v="0"/>
    <x v="0"/>
  </r>
  <r>
    <x v="4"/>
    <x v="8"/>
    <x v="4"/>
    <x v="7"/>
    <x v="0"/>
    <x v="9"/>
    <x v="1"/>
    <x v="2"/>
    <x v="111"/>
    <x v="1"/>
    <x v="0"/>
    <x v="0"/>
    <x v="0"/>
    <x v="8"/>
    <x v="0"/>
    <x v="1"/>
    <x v="0"/>
    <x v="8"/>
    <x v="6"/>
    <x v="1"/>
    <x v="4"/>
    <x v="1"/>
    <x v="34"/>
    <x v="1"/>
    <x v="36"/>
    <x v="37"/>
    <x v="97"/>
    <x v="97"/>
    <x v="41"/>
    <x v="41"/>
    <x v="0"/>
    <x v="0"/>
    <x v="2"/>
    <x v="0"/>
    <x v="0"/>
    <x v="0"/>
    <x v="1"/>
    <x v="4"/>
    <x v="39"/>
    <x v="1"/>
    <x v="0"/>
    <x v="0"/>
    <x v="0"/>
    <x v="0"/>
    <x v="0"/>
    <x v="0"/>
  </r>
  <r>
    <x v="4"/>
    <x v="19"/>
    <x v="4"/>
    <x v="5"/>
    <x v="3"/>
    <x v="202"/>
    <x v="1"/>
    <x v="1"/>
    <x v="53"/>
    <x v="0"/>
    <x v="11"/>
    <x v="46"/>
    <x v="0"/>
    <x v="2"/>
    <x v="1"/>
    <x v="1"/>
    <x v="0"/>
    <x v="9"/>
    <x v="12"/>
    <x v="0"/>
    <x v="0"/>
    <x v="1"/>
    <x v="33"/>
    <x v="4"/>
    <x v="28"/>
    <x v="92"/>
    <x v="40"/>
    <x v="40"/>
    <x v="116"/>
    <x v="79"/>
    <x v="46"/>
    <x v="0"/>
    <x v="0"/>
    <x v="0"/>
    <x v="0"/>
    <x v="0"/>
    <x v="1"/>
    <x v="0"/>
    <x v="40"/>
    <x v="0"/>
    <x v="0"/>
    <x v="0"/>
    <x v="0"/>
    <x v="0"/>
    <x v="0"/>
    <x v="0"/>
  </r>
  <r>
    <x v="4"/>
    <x v="19"/>
    <x v="4"/>
    <x v="1"/>
    <x v="3"/>
    <x v="134"/>
    <x v="1"/>
    <x v="1"/>
    <x v="59"/>
    <x v="2"/>
    <x v="12"/>
    <x v="95"/>
    <x v="0"/>
    <x v="9"/>
    <x v="1"/>
    <x v="1"/>
    <x v="0"/>
    <x v="9"/>
    <x v="12"/>
    <x v="0"/>
    <x v="0"/>
    <x v="1"/>
    <x v="34"/>
    <x v="4"/>
    <x v="41"/>
    <x v="71"/>
    <x v="131"/>
    <x v="131"/>
    <x v="98"/>
    <x v="156"/>
    <x v="95"/>
    <x v="0"/>
    <x v="0"/>
    <x v="0"/>
    <x v="0"/>
    <x v="0"/>
    <x v="1"/>
    <x v="0"/>
    <x v="41"/>
    <x v="0"/>
    <x v="0"/>
    <x v="0"/>
    <x v="0"/>
    <x v="0"/>
    <x v="0"/>
    <x v="0"/>
  </r>
  <r>
    <x v="4"/>
    <x v="19"/>
    <x v="4"/>
    <x v="20"/>
    <x v="3"/>
    <x v="136"/>
    <x v="1"/>
    <x v="1"/>
    <x v="43"/>
    <x v="2"/>
    <x v="13"/>
    <x v="64"/>
    <x v="0"/>
    <x v="9"/>
    <x v="0"/>
    <x v="1"/>
    <x v="0"/>
    <x v="9"/>
    <x v="12"/>
    <x v="0"/>
    <x v="0"/>
    <x v="1"/>
    <x v="34"/>
    <x v="4"/>
    <x v="49"/>
    <x v="47"/>
    <x v="107"/>
    <x v="107"/>
    <x v="76"/>
    <x v="134"/>
    <x v="64"/>
    <x v="0"/>
    <x v="0"/>
    <x v="0"/>
    <x v="0"/>
    <x v="0"/>
    <x v="1"/>
    <x v="0"/>
    <x v="42"/>
    <x v="0"/>
    <x v="0"/>
    <x v="0"/>
    <x v="0"/>
    <x v="0"/>
    <x v="0"/>
    <x v="0"/>
  </r>
  <r>
    <x v="4"/>
    <x v="19"/>
    <x v="4"/>
    <x v="20"/>
    <x v="3"/>
    <x v="138"/>
    <x v="1"/>
    <x v="1"/>
    <x v="40"/>
    <x v="2"/>
    <x v="13"/>
    <x v="61"/>
    <x v="0"/>
    <x v="9"/>
    <x v="0"/>
    <x v="1"/>
    <x v="0"/>
    <x v="9"/>
    <x v="12"/>
    <x v="0"/>
    <x v="0"/>
    <x v="1"/>
    <x v="34"/>
    <x v="4"/>
    <x v="50"/>
    <x v="44"/>
    <x v="104"/>
    <x v="104"/>
    <x v="73"/>
    <x v="131"/>
    <x v="61"/>
    <x v="0"/>
    <x v="0"/>
    <x v="0"/>
    <x v="0"/>
    <x v="0"/>
    <x v="1"/>
    <x v="0"/>
    <x v="43"/>
    <x v="0"/>
    <x v="0"/>
    <x v="0"/>
    <x v="0"/>
    <x v="0"/>
    <x v="0"/>
    <x v="0"/>
  </r>
  <r>
    <x v="5"/>
    <x v="8"/>
    <x v="5"/>
    <x v="7"/>
    <x v="0"/>
    <x v="10"/>
    <x v="1"/>
    <x v="2"/>
    <x v="138"/>
    <x v="1"/>
    <x v="0"/>
    <x v="0"/>
    <x v="0"/>
    <x v="8"/>
    <x v="0"/>
    <x v="1"/>
    <x v="0"/>
    <x v="7"/>
    <x v="7"/>
    <x v="1"/>
    <x v="3"/>
    <x v="1"/>
    <x v="33"/>
    <x v="1"/>
    <x v="37"/>
    <x v="79"/>
    <x v="139"/>
    <x v="139"/>
    <x v="41"/>
    <x v="41"/>
    <x v="0"/>
    <x v="0"/>
    <x v="2"/>
    <x v="0"/>
    <x v="0"/>
    <x v="0"/>
    <x v="1"/>
    <x v="3"/>
    <x v="44"/>
    <x v="1"/>
    <x v="0"/>
    <x v="0"/>
    <x v="0"/>
    <x v="0"/>
    <x v="0"/>
    <x v="0"/>
  </r>
  <r>
    <x v="5"/>
    <x v="8"/>
    <x v="5"/>
    <x v="7"/>
    <x v="0"/>
    <x v="12"/>
    <x v="1"/>
    <x v="2"/>
    <x v="118"/>
    <x v="1"/>
    <x v="0"/>
    <x v="0"/>
    <x v="0"/>
    <x v="8"/>
    <x v="0"/>
    <x v="1"/>
    <x v="0"/>
    <x v="8"/>
    <x v="6"/>
    <x v="1"/>
    <x v="4"/>
    <x v="1"/>
    <x v="33"/>
    <x v="1"/>
    <x v="38"/>
    <x v="53"/>
    <x v="113"/>
    <x v="113"/>
    <x v="41"/>
    <x v="41"/>
    <x v="0"/>
    <x v="0"/>
    <x v="2"/>
    <x v="0"/>
    <x v="0"/>
    <x v="0"/>
    <x v="1"/>
    <x v="4"/>
    <x v="45"/>
    <x v="1"/>
    <x v="0"/>
    <x v="0"/>
    <x v="0"/>
    <x v="0"/>
    <x v="0"/>
    <x v="0"/>
  </r>
  <r>
    <x v="5"/>
    <x v="8"/>
    <x v="5"/>
    <x v="7"/>
    <x v="0"/>
    <x v="13"/>
    <x v="1"/>
    <x v="2"/>
    <x v="121"/>
    <x v="1"/>
    <x v="0"/>
    <x v="0"/>
    <x v="0"/>
    <x v="8"/>
    <x v="0"/>
    <x v="1"/>
    <x v="0"/>
    <x v="8"/>
    <x v="6"/>
    <x v="1"/>
    <x v="4"/>
    <x v="1"/>
    <x v="34"/>
    <x v="1"/>
    <x v="39"/>
    <x v="56"/>
    <x v="116"/>
    <x v="116"/>
    <x v="41"/>
    <x v="41"/>
    <x v="0"/>
    <x v="0"/>
    <x v="2"/>
    <x v="0"/>
    <x v="0"/>
    <x v="0"/>
    <x v="1"/>
    <x v="4"/>
    <x v="46"/>
    <x v="1"/>
    <x v="0"/>
    <x v="0"/>
    <x v="0"/>
    <x v="0"/>
    <x v="0"/>
    <x v="0"/>
  </r>
  <r>
    <x v="5"/>
    <x v="19"/>
    <x v="5"/>
    <x v="5"/>
    <x v="3"/>
    <x v="228"/>
    <x v="1"/>
    <x v="1"/>
    <x v="50"/>
    <x v="0"/>
    <x v="11"/>
    <x v="44"/>
    <x v="0"/>
    <x v="2"/>
    <x v="1"/>
    <x v="1"/>
    <x v="0"/>
    <x v="9"/>
    <x v="12"/>
    <x v="0"/>
    <x v="0"/>
    <x v="1"/>
    <x v="34"/>
    <x v="4"/>
    <x v="40"/>
    <x v="90"/>
    <x v="38"/>
    <x v="38"/>
    <x v="114"/>
    <x v="77"/>
    <x v="44"/>
    <x v="0"/>
    <x v="0"/>
    <x v="0"/>
    <x v="0"/>
    <x v="0"/>
    <x v="1"/>
    <x v="0"/>
    <x v="47"/>
    <x v="0"/>
    <x v="0"/>
    <x v="0"/>
    <x v="0"/>
    <x v="0"/>
    <x v="0"/>
    <x v="0"/>
  </r>
  <r>
    <x v="6"/>
    <x v="8"/>
    <x v="6"/>
    <x v="7"/>
    <x v="0"/>
    <x v="14"/>
    <x v="1"/>
    <x v="2"/>
    <x v="135"/>
    <x v="1"/>
    <x v="0"/>
    <x v="0"/>
    <x v="0"/>
    <x v="8"/>
    <x v="0"/>
    <x v="1"/>
    <x v="0"/>
    <x v="7"/>
    <x v="7"/>
    <x v="1"/>
    <x v="3"/>
    <x v="1"/>
    <x v="33"/>
    <x v="1"/>
    <x v="43"/>
    <x v="76"/>
    <x v="136"/>
    <x v="136"/>
    <x v="41"/>
    <x v="41"/>
    <x v="0"/>
    <x v="0"/>
    <x v="2"/>
    <x v="0"/>
    <x v="0"/>
    <x v="0"/>
    <x v="1"/>
    <x v="3"/>
    <x v="48"/>
    <x v="1"/>
    <x v="0"/>
    <x v="0"/>
    <x v="0"/>
    <x v="0"/>
    <x v="0"/>
    <x v="0"/>
  </r>
  <r>
    <x v="6"/>
    <x v="8"/>
    <x v="6"/>
    <x v="7"/>
    <x v="0"/>
    <x v="15"/>
    <x v="1"/>
    <x v="2"/>
    <x v="136"/>
    <x v="1"/>
    <x v="0"/>
    <x v="0"/>
    <x v="0"/>
    <x v="8"/>
    <x v="0"/>
    <x v="1"/>
    <x v="0"/>
    <x v="7"/>
    <x v="7"/>
    <x v="1"/>
    <x v="3"/>
    <x v="1"/>
    <x v="33"/>
    <x v="1"/>
    <x v="44"/>
    <x v="77"/>
    <x v="137"/>
    <x v="137"/>
    <x v="41"/>
    <x v="41"/>
    <x v="0"/>
    <x v="0"/>
    <x v="2"/>
    <x v="0"/>
    <x v="0"/>
    <x v="0"/>
    <x v="1"/>
    <x v="3"/>
    <x v="49"/>
    <x v="1"/>
    <x v="0"/>
    <x v="0"/>
    <x v="0"/>
    <x v="0"/>
    <x v="0"/>
    <x v="0"/>
  </r>
  <r>
    <x v="6"/>
    <x v="8"/>
    <x v="6"/>
    <x v="7"/>
    <x v="0"/>
    <x v="16"/>
    <x v="1"/>
    <x v="2"/>
    <x v="133"/>
    <x v="1"/>
    <x v="0"/>
    <x v="0"/>
    <x v="0"/>
    <x v="8"/>
    <x v="0"/>
    <x v="1"/>
    <x v="0"/>
    <x v="7"/>
    <x v="7"/>
    <x v="1"/>
    <x v="3"/>
    <x v="1"/>
    <x v="34"/>
    <x v="1"/>
    <x v="51"/>
    <x v="74"/>
    <x v="134"/>
    <x v="134"/>
    <x v="41"/>
    <x v="41"/>
    <x v="0"/>
    <x v="0"/>
    <x v="2"/>
    <x v="0"/>
    <x v="0"/>
    <x v="0"/>
    <x v="1"/>
    <x v="3"/>
    <x v="50"/>
    <x v="1"/>
    <x v="0"/>
    <x v="0"/>
    <x v="0"/>
    <x v="0"/>
    <x v="0"/>
    <x v="0"/>
  </r>
  <r>
    <x v="7"/>
    <x v="8"/>
    <x v="7"/>
    <x v="7"/>
    <x v="0"/>
    <x v="17"/>
    <x v="1"/>
    <x v="2"/>
    <x v="138"/>
    <x v="1"/>
    <x v="0"/>
    <x v="0"/>
    <x v="0"/>
    <x v="8"/>
    <x v="0"/>
    <x v="1"/>
    <x v="0"/>
    <x v="7"/>
    <x v="7"/>
    <x v="1"/>
    <x v="3"/>
    <x v="1"/>
    <x v="34"/>
    <x v="1"/>
    <x v="52"/>
    <x v="79"/>
    <x v="139"/>
    <x v="139"/>
    <x v="41"/>
    <x v="41"/>
    <x v="0"/>
    <x v="0"/>
    <x v="2"/>
    <x v="0"/>
    <x v="0"/>
    <x v="0"/>
    <x v="1"/>
    <x v="3"/>
    <x v="51"/>
    <x v="1"/>
    <x v="0"/>
    <x v="0"/>
    <x v="0"/>
    <x v="0"/>
    <x v="0"/>
    <x v="0"/>
  </r>
  <r>
    <x v="7"/>
    <x v="8"/>
    <x v="7"/>
    <x v="7"/>
    <x v="0"/>
    <x v="18"/>
    <x v="1"/>
    <x v="2"/>
    <x v="135"/>
    <x v="1"/>
    <x v="0"/>
    <x v="0"/>
    <x v="0"/>
    <x v="8"/>
    <x v="0"/>
    <x v="1"/>
    <x v="0"/>
    <x v="4"/>
    <x v="8"/>
    <x v="1"/>
    <x v="3"/>
    <x v="1"/>
    <x v="33"/>
    <x v="1"/>
    <x v="53"/>
    <x v="76"/>
    <x v="136"/>
    <x v="136"/>
    <x v="41"/>
    <x v="41"/>
    <x v="0"/>
    <x v="0"/>
    <x v="2"/>
    <x v="0"/>
    <x v="0"/>
    <x v="0"/>
    <x v="1"/>
    <x v="3"/>
    <x v="52"/>
    <x v="1"/>
    <x v="0"/>
    <x v="0"/>
    <x v="0"/>
    <x v="0"/>
    <x v="0"/>
    <x v="0"/>
  </r>
  <r>
    <x v="7"/>
    <x v="8"/>
    <x v="7"/>
    <x v="7"/>
    <x v="0"/>
    <x v="19"/>
    <x v="1"/>
    <x v="2"/>
    <x v="135"/>
    <x v="1"/>
    <x v="0"/>
    <x v="0"/>
    <x v="0"/>
    <x v="8"/>
    <x v="0"/>
    <x v="1"/>
    <x v="0"/>
    <x v="7"/>
    <x v="7"/>
    <x v="1"/>
    <x v="3"/>
    <x v="1"/>
    <x v="33"/>
    <x v="1"/>
    <x v="54"/>
    <x v="76"/>
    <x v="136"/>
    <x v="136"/>
    <x v="41"/>
    <x v="41"/>
    <x v="0"/>
    <x v="0"/>
    <x v="2"/>
    <x v="0"/>
    <x v="0"/>
    <x v="0"/>
    <x v="1"/>
    <x v="3"/>
    <x v="53"/>
    <x v="1"/>
    <x v="0"/>
    <x v="0"/>
    <x v="0"/>
    <x v="0"/>
    <x v="0"/>
    <x v="0"/>
  </r>
  <r>
    <x v="7"/>
    <x v="8"/>
    <x v="7"/>
    <x v="7"/>
    <x v="0"/>
    <x v="20"/>
    <x v="1"/>
    <x v="2"/>
    <x v="130"/>
    <x v="1"/>
    <x v="0"/>
    <x v="0"/>
    <x v="0"/>
    <x v="8"/>
    <x v="0"/>
    <x v="1"/>
    <x v="0"/>
    <x v="4"/>
    <x v="8"/>
    <x v="1"/>
    <x v="3"/>
    <x v="1"/>
    <x v="33"/>
    <x v="1"/>
    <x v="55"/>
    <x v="70"/>
    <x v="130"/>
    <x v="130"/>
    <x v="41"/>
    <x v="41"/>
    <x v="0"/>
    <x v="0"/>
    <x v="2"/>
    <x v="0"/>
    <x v="0"/>
    <x v="0"/>
    <x v="1"/>
    <x v="3"/>
    <x v="54"/>
    <x v="1"/>
    <x v="0"/>
    <x v="0"/>
    <x v="0"/>
    <x v="0"/>
    <x v="0"/>
    <x v="0"/>
  </r>
  <r>
    <x v="7"/>
    <x v="8"/>
    <x v="7"/>
    <x v="7"/>
    <x v="0"/>
    <x v="21"/>
    <x v="1"/>
    <x v="2"/>
    <x v="142"/>
    <x v="1"/>
    <x v="0"/>
    <x v="0"/>
    <x v="0"/>
    <x v="8"/>
    <x v="0"/>
    <x v="1"/>
    <x v="0"/>
    <x v="7"/>
    <x v="7"/>
    <x v="1"/>
    <x v="3"/>
    <x v="1"/>
    <x v="34"/>
    <x v="1"/>
    <x v="56"/>
    <x v="84"/>
    <x v="143"/>
    <x v="143"/>
    <x v="41"/>
    <x v="41"/>
    <x v="0"/>
    <x v="0"/>
    <x v="2"/>
    <x v="0"/>
    <x v="0"/>
    <x v="0"/>
    <x v="1"/>
    <x v="3"/>
    <x v="55"/>
    <x v="1"/>
    <x v="0"/>
    <x v="0"/>
    <x v="0"/>
    <x v="0"/>
    <x v="0"/>
    <x v="0"/>
  </r>
  <r>
    <x v="7"/>
    <x v="8"/>
    <x v="7"/>
    <x v="7"/>
    <x v="0"/>
    <x v="23"/>
    <x v="1"/>
    <x v="2"/>
    <x v="135"/>
    <x v="1"/>
    <x v="0"/>
    <x v="0"/>
    <x v="0"/>
    <x v="8"/>
    <x v="0"/>
    <x v="1"/>
    <x v="0"/>
    <x v="4"/>
    <x v="8"/>
    <x v="1"/>
    <x v="3"/>
    <x v="1"/>
    <x v="33"/>
    <x v="1"/>
    <x v="57"/>
    <x v="76"/>
    <x v="136"/>
    <x v="136"/>
    <x v="41"/>
    <x v="41"/>
    <x v="0"/>
    <x v="0"/>
    <x v="2"/>
    <x v="0"/>
    <x v="0"/>
    <x v="0"/>
    <x v="1"/>
    <x v="3"/>
    <x v="56"/>
    <x v="1"/>
    <x v="0"/>
    <x v="0"/>
    <x v="0"/>
    <x v="0"/>
    <x v="0"/>
    <x v="0"/>
  </r>
  <r>
    <x v="7"/>
    <x v="19"/>
    <x v="7"/>
    <x v="1"/>
    <x v="3"/>
    <x v="140"/>
    <x v="1"/>
    <x v="1"/>
    <x v="59"/>
    <x v="2"/>
    <x v="12"/>
    <x v="95"/>
    <x v="0"/>
    <x v="9"/>
    <x v="1"/>
    <x v="1"/>
    <x v="0"/>
    <x v="9"/>
    <x v="12"/>
    <x v="0"/>
    <x v="0"/>
    <x v="1"/>
    <x v="29"/>
    <x v="4"/>
    <x v="80"/>
    <x v="71"/>
    <x v="131"/>
    <x v="131"/>
    <x v="98"/>
    <x v="156"/>
    <x v="95"/>
    <x v="0"/>
    <x v="0"/>
    <x v="0"/>
    <x v="0"/>
    <x v="0"/>
    <x v="1"/>
    <x v="0"/>
    <x v="57"/>
    <x v="0"/>
    <x v="0"/>
    <x v="0"/>
    <x v="0"/>
    <x v="0"/>
    <x v="0"/>
    <x v="0"/>
  </r>
  <r>
    <x v="8"/>
    <x v="8"/>
    <x v="8"/>
    <x v="7"/>
    <x v="0"/>
    <x v="24"/>
    <x v="1"/>
    <x v="2"/>
    <x v="130"/>
    <x v="1"/>
    <x v="0"/>
    <x v="0"/>
    <x v="0"/>
    <x v="8"/>
    <x v="0"/>
    <x v="1"/>
    <x v="0"/>
    <x v="2"/>
    <x v="9"/>
    <x v="1"/>
    <x v="10"/>
    <x v="1"/>
    <x v="34"/>
    <x v="1"/>
    <x v="58"/>
    <x v="70"/>
    <x v="130"/>
    <x v="130"/>
    <x v="41"/>
    <x v="41"/>
    <x v="0"/>
    <x v="0"/>
    <x v="2"/>
    <x v="0"/>
    <x v="0"/>
    <x v="0"/>
    <x v="1"/>
    <x v="10"/>
    <x v="58"/>
    <x v="1"/>
    <x v="0"/>
    <x v="0"/>
    <x v="0"/>
    <x v="0"/>
    <x v="0"/>
    <x v="0"/>
  </r>
  <r>
    <x v="8"/>
    <x v="8"/>
    <x v="8"/>
    <x v="7"/>
    <x v="0"/>
    <x v="25"/>
    <x v="1"/>
    <x v="2"/>
    <x v="135"/>
    <x v="1"/>
    <x v="0"/>
    <x v="0"/>
    <x v="0"/>
    <x v="8"/>
    <x v="0"/>
    <x v="1"/>
    <x v="0"/>
    <x v="2"/>
    <x v="9"/>
    <x v="1"/>
    <x v="10"/>
    <x v="1"/>
    <x v="34"/>
    <x v="1"/>
    <x v="59"/>
    <x v="76"/>
    <x v="136"/>
    <x v="136"/>
    <x v="41"/>
    <x v="41"/>
    <x v="0"/>
    <x v="0"/>
    <x v="2"/>
    <x v="0"/>
    <x v="0"/>
    <x v="0"/>
    <x v="1"/>
    <x v="10"/>
    <x v="59"/>
    <x v="1"/>
    <x v="0"/>
    <x v="0"/>
    <x v="0"/>
    <x v="0"/>
    <x v="0"/>
    <x v="0"/>
  </r>
  <r>
    <x v="8"/>
    <x v="8"/>
    <x v="8"/>
    <x v="7"/>
    <x v="0"/>
    <x v="26"/>
    <x v="1"/>
    <x v="2"/>
    <x v="120"/>
    <x v="1"/>
    <x v="0"/>
    <x v="0"/>
    <x v="0"/>
    <x v="8"/>
    <x v="0"/>
    <x v="1"/>
    <x v="0"/>
    <x v="8"/>
    <x v="6"/>
    <x v="1"/>
    <x v="4"/>
    <x v="1"/>
    <x v="34"/>
    <x v="1"/>
    <x v="60"/>
    <x v="55"/>
    <x v="115"/>
    <x v="115"/>
    <x v="41"/>
    <x v="41"/>
    <x v="0"/>
    <x v="0"/>
    <x v="2"/>
    <x v="0"/>
    <x v="0"/>
    <x v="0"/>
    <x v="1"/>
    <x v="4"/>
    <x v="60"/>
    <x v="1"/>
    <x v="0"/>
    <x v="0"/>
    <x v="0"/>
    <x v="0"/>
    <x v="0"/>
    <x v="0"/>
  </r>
  <r>
    <x v="8"/>
    <x v="8"/>
    <x v="8"/>
    <x v="7"/>
    <x v="0"/>
    <x v="27"/>
    <x v="1"/>
    <x v="2"/>
    <x v="112"/>
    <x v="1"/>
    <x v="0"/>
    <x v="0"/>
    <x v="0"/>
    <x v="8"/>
    <x v="0"/>
    <x v="1"/>
    <x v="0"/>
    <x v="8"/>
    <x v="6"/>
    <x v="1"/>
    <x v="4"/>
    <x v="1"/>
    <x v="33"/>
    <x v="1"/>
    <x v="64"/>
    <x v="39"/>
    <x v="99"/>
    <x v="99"/>
    <x v="41"/>
    <x v="41"/>
    <x v="0"/>
    <x v="0"/>
    <x v="2"/>
    <x v="0"/>
    <x v="0"/>
    <x v="0"/>
    <x v="1"/>
    <x v="4"/>
    <x v="61"/>
    <x v="1"/>
    <x v="0"/>
    <x v="0"/>
    <x v="0"/>
    <x v="0"/>
    <x v="0"/>
    <x v="0"/>
  </r>
  <r>
    <x v="8"/>
    <x v="8"/>
    <x v="8"/>
    <x v="7"/>
    <x v="0"/>
    <x v="28"/>
    <x v="1"/>
    <x v="2"/>
    <x v="138"/>
    <x v="1"/>
    <x v="0"/>
    <x v="0"/>
    <x v="0"/>
    <x v="8"/>
    <x v="0"/>
    <x v="1"/>
    <x v="0"/>
    <x v="2"/>
    <x v="9"/>
    <x v="1"/>
    <x v="10"/>
    <x v="1"/>
    <x v="33"/>
    <x v="1"/>
    <x v="65"/>
    <x v="79"/>
    <x v="139"/>
    <x v="139"/>
    <x v="41"/>
    <x v="41"/>
    <x v="0"/>
    <x v="0"/>
    <x v="2"/>
    <x v="0"/>
    <x v="0"/>
    <x v="0"/>
    <x v="1"/>
    <x v="10"/>
    <x v="62"/>
    <x v="1"/>
    <x v="0"/>
    <x v="0"/>
    <x v="0"/>
    <x v="0"/>
    <x v="0"/>
    <x v="0"/>
  </r>
  <r>
    <x v="8"/>
    <x v="19"/>
    <x v="8"/>
    <x v="5"/>
    <x v="3"/>
    <x v="250"/>
    <x v="1"/>
    <x v="1"/>
    <x v="67"/>
    <x v="0"/>
    <x v="11"/>
    <x v="67"/>
    <x v="0"/>
    <x v="2"/>
    <x v="1"/>
    <x v="1"/>
    <x v="0"/>
    <x v="9"/>
    <x v="12"/>
    <x v="0"/>
    <x v="0"/>
    <x v="1"/>
    <x v="34"/>
    <x v="4"/>
    <x v="61"/>
    <x v="104"/>
    <x v="52"/>
    <x v="52"/>
    <x v="128"/>
    <x v="91"/>
    <x v="67"/>
    <x v="0"/>
    <x v="0"/>
    <x v="0"/>
    <x v="0"/>
    <x v="0"/>
    <x v="1"/>
    <x v="0"/>
    <x v="63"/>
    <x v="0"/>
    <x v="0"/>
    <x v="0"/>
    <x v="0"/>
    <x v="0"/>
    <x v="0"/>
    <x v="0"/>
  </r>
  <r>
    <x v="8"/>
    <x v="19"/>
    <x v="8"/>
    <x v="5"/>
    <x v="3"/>
    <x v="270"/>
    <x v="1"/>
    <x v="1"/>
    <x v="64"/>
    <x v="0"/>
    <x v="11"/>
    <x v="60"/>
    <x v="0"/>
    <x v="2"/>
    <x v="1"/>
    <x v="1"/>
    <x v="0"/>
    <x v="9"/>
    <x v="12"/>
    <x v="0"/>
    <x v="0"/>
    <x v="1"/>
    <x v="75"/>
    <x v="4"/>
    <x v="62"/>
    <x v="101"/>
    <x v="49"/>
    <x v="49"/>
    <x v="125"/>
    <x v="88"/>
    <x v="60"/>
    <x v="0"/>
    <x v="0"/>
    <x v="0"/>
    <x v="0"/>
    <x v="0"/>
    <x v="1"/>
    <x v="0"/>
    <x v="64"/>
    <x v="0"/>
    <x v="0"/>
    <x v="0"/>
    <x v="0"/>
    <x v="0"/>
    <x v="0"/>
    <x v="0"/>
  </r>
  <r>
    <x v="8"/>
    <x v="19"/>
    <x v="8"/>
    <x v="5"/>
    <x v="3"/>
    <x v="290"/>
    <x v="1"/>
    <x v="1"/>
    <x v="88"/>
    <x v="0"/>
    <x v="11"/>
    <x v="93"/>
    <x v="0"/>
    <x v="2"/>
    <x v="1"/>
    <x v="1"/>
    <x v="0"/>
    <x v="9"/>
    <x v="12"/>
    <x v="0"/>
    <x v="0"/>
    <x v="1"/>
    <x v="79"/>
    <x v="4"/>
    <x v="63"/>
    <x v="122"/>
    <x v="72"/>
    <x v="72"/>
    <x v="146"/>
    <x v="111"/>
    <x v="93"/>
    <x v="0"/>
    <x v="0"/>
    <x v="0"/>
    <x v="0"/>
    <x v="0"/>
    <x v="1"/>
    <x v="0"/>
    <x v="65"/>
    <x v="0"/>
    <x v="0"/>
    <x v="0"/>
    <x v="0"/>
    <x v="0"/>
    <x v="0"/>
    <x v="0"/>
  </r>
  <r>
    <x v="8"/>
    <x v="19"/>
    <x v="8"/>
    <x v="5"/>
    <x v="3"/>
    <x v="303"/>
    <x v="1"/>
    <x v="1"/>
    <x v="54"/>
    <x v="0"/>
    <x v="11"/>
    <x v="47"/>
    <x v="0"/>
    <x v="2"/>
    <x v="1"/>
    <x v="1"/>
    <x v="0"/>
    <x v="9"/>
    <x v="12"/>
    <x v="0"/>
    <x v="0"/>
    <x v="1"/>
    <x v="86"/>
    <x v="4"/>
    <x v="79"/>
    <x v="93"/>
    <x v="41"/>
    <x v="41"/>
    <x v="117"/>
    <x v="80"/>
    <x v="47"/>
    <x v="0"/>
    <x v="0"/>
    <x v="0"/>
    <x v="0"/>
    <x v="0"/>
    <x v="1"/>
    <x v="0"/>
    <x v="66"/>
    <x v="0"/>
    <x v="0"/>
    <x v="0"/>
    <x v="0"/>
    <x v="0"/>
    <x v="0"/>
    <x v="0"/>
  </r>
  <r>
    <x v="8"/>
    <x v="2"/>
    <x v="8"/>
    <x v="19"/>
    <x v="3"/>
    <x v="80"/>
    <x v="1"/>
    <x v="1"/>
    <x v="148"/>
    <x v="2"/>
    <x v="0"/>
    <x v="0"/>
    <x v="0"/>
    <x v="4"/>
    <x v="1"/>
    <x v="1"/>
    <x v="0"/>
    <x v="0"/>
    <x v="12"/>
    <x v="0"/>
    <x v="0"/>
    <x v="1"/>
    <x v="33"/>
    <x v="4"/>
    <x v="132"/>
    <x v="127"/>
    <x v="150"/>
    <x v="150"/>
    <x v="150"/>
    <x v="171"/>
    <x v="0"/>
    <x v="0"/>
    <x v="2"/>
    <x v="0"/>
    <x v="0"/>
    <x v="0"/>
    <x v="1"/>
    <x v="0"/>
    <x v="67"/>
    <x v="1"/>
    <x v="0"/>
    <x v="0"/>
    <x v="0"/>
    <x v="0"/>
    <x v="0"/>
    <x v="0"/>
  </r>
  <r>
    <x v="9"/>
    <x v="8"/>
    <x v="9"/>
    <x v="7"/>
    <x v="0"/>
    <x v="29"/>
    <x v="1"/>
    <x v="2"/>
    <x v="122"/>
    <x v="1"/>
    <x v="0"/>
    <x v="0"/>
    <x v="0"/>
    <x v="8"/>
    <x v="0"/>
    <x v="1"/>
    <x v="0"/>
    <x v="7"/>
    <x v="7"/>
    <x v="1"/>
    <x v="3"/>
    <x v="1"/>
    <x v="33"/>
    <x v="1"/>
    <x v="66"/>
    <x v="59"/>
    <x v="119"/>
    <x v="119"/>
    <x v="41"/>
    <x v="41"/>
    <x v="0"/>
    <x v="0"/>
    <x v="2"/>
    <x v="0"/>
    <x v="0"/>
    <x v="0"/>
    <x v="1"/>
    <x v="3"/>
    <x v="68"/>
    <x v="1"/>
    <x v="0"/>
    <x v="0"/>
    <x v="0"/>
    <x v="0"/>
    <x v="0"/>
    <x v="0"/>
  </r>
  <r>
    <x v="9"/>
    <x v="8"/>
    <x v="9"/>
    <x v="7"/>
    <x v="0"/>
    <x v="30"/>
    <x v="1"/>
    <x v="2"/>
    <x v="128"/>
    <x v="1"/>
    <x v="0"/>
    <x v="0"/>
    <x v="0"/>
    <x v="8"/>
    <x v="0"/>
    <x v="1"/>
    <x v="0"/>
    <x v="4"/>
    <x v="8"/>
    <x v="1"/>
    <x v="3"/>
    <x v="1"/>
    <x v="34"/>
    <x v="1"/>
    <x v="67"/>
    <x v="68"/>
    <x v="128"/>
    <x v="128"/>
    <x v="41"/>
    <x v="41"/>
    <x v="0"/>
    <x v="0"/>
    <x v="2"/>
    <x v="0"/>
    <x v="0"/>
    <x v="0"/>
    <x v="1"/>
    <x v="3"/>
    <x v="69"/>
    <x v="1"/>
    <x v="0"/>
    <x v="0"/>
    <x v="0"/>
    <x v="0"/>
    <x v="0"/>
    <x v="0"/>
  </r>
  <r>
    <x v="9"/>
    <x v="8"/>
    <x v="9"/>
    <x v="7"/>
    <x v="0"/>
    <x v="31"/>
    <x v="1"/>
    <x v="2"/>
    <x v="99"/>
    <x v="1"/>
    <x v="0"/>
    <x v="0"/>
    <x v="0"/>
    <x v="8"/>
    <x v="0"/>
    <x v="1"/>
    <x v="0"/>
    <x v="8"/>
    <x v="6"/>
    <x v="1"/>
    <x v="4"/>
    <x v="1"/>
    <x v="33"/>
    <x v="1"/>
    <x v="68"/>
    <x v="24"/>
    <x v="85"/>
    <x v="85"/>
    <x v="41"/>
    <x v="41"/>
    <x v="0"/>
    <x v="0"/>
    <x v="2"/>
    <x v="0"/>
    <x v="0"/>
    <x v="0"/>
    <x v="1"/>
    <x v="4"/>
    <x v="70"/>
    <x v="1"/>
    <x v="0"/>
    <x v="0"/>
    <x v="0"/>
    <x v="0"/>
    <x v="0"/>
    <x v="0"/>
  </r>
  <r>
    <x v="9"/>
    <x v="8"/>
    <x v="9"/>
    <x v="7"/>
    <x v="0"/>
    <x v="32"/>
    <x v="1"/>
    <x v="2"/>
    <x v="130"/>
    <x v="1"/>
    <x v="0"/>
    <x v="0"/>
    <x v="0"/>
    <x v="8"/>
    <x v="0"/>
    <x v="1"/>
    <x v="0"/>
    <x v="2"/>
    <x v="10"/>
    <x v="1"/>
    <x v="10"/>
    <x v="1"/>
    <x v="33"/>
    <x v="1"/>
    <x v="69"/>
    <x v="70"/>
    <x v="130"/>
    <x v="130"/>
    <x v="41"/>
    <x v="41"/>
    <x v="0"/>
    <x v="0"/>
    <x v="2"/>
    <x v="0"/>
    <x v="0"/>
    <x v="0"/>
    <x v="1"/>
    <x v="10"/>
    <x v="71"/>
    <x v="1"/>
    <x v="0"/>
    <x v="0"/>
    <x v="0"/>
    <x v="0"/>
    <x v="0"/>
    <x v="0"/>
  </r>
  <r>
    <x v="9"/>
    <x v="8"/>
    <x v="9"/>
    <x v="7"/>
    <x v="0"/>
    <x v="34"/>
    <x v="1"/>
    <x v="2"/>
    <x v="135"/>
    <x v="1"/>
    <x v="0"/>
    <x v="0"/>
    <x v="0"/>
    <x v="8"/>
    <x v="0"/>
    <x v="1"/>
    <x v="0"/>
    <x v="2"/>
    <x v="10"/>
    <x v="1"/>
    <x v="10"/>
    <x v="1"/>
    <x v="34"/>
    <x v="1"/>
    <x v="70"/>
    <x v="76"/>
    <x v="136"/>
    <x v="136"/>
    <x v="41"/>
    <x v="41"/>
    <x v="0"/>
    <x v="0"/>
    <x v="2"/>
    <x v="0"/>
    <x v="0"/>
    <x v="0"/>
    <x v="1"/>
    <x v="10"/>
    <x v="72"/>
    <x v="1"/>
    <x v="0"/>
    <x v="0"/>
    <x v="0"/>
    <x v="0"/>
    <x v="0"/>
    <x v="0"/>
  </r>
  <r>
    <x v="9"/>
    <x v="8"/>
    <x v="9"/>
    <x v="7"/>
    <x v="0"/>
    <x v="35"/>
    <x v="1"/>
    <x v="2"/>
    <x v="133"/>
    <x v="1"/>
    <x v="0"/>
    <x v="0"/>
    <x v="0"/>
    <x v="8"/>
    <x v="0"/>
    <x v="1"/>
    <x v="0"/>
    <x v="2"/>
    <x v="10"/>
    <x v="1"/>
    <x v="10"/>
    <x v="1"/>
    <x v="34"/>
    <x v="1"/>
    <x v="76"/>
    <x v="74"/>
    <x v="134"/>
    <x v="134"/>
    <x v="41"/>
    <x v="41"/>
    <x v="0"/>
    <x v="0"/>
    <x v="2"/>
    <x v="0"/>
    <x v="0"/>
    <x v="0"/>
    <x v="1"/>
    <x v="10"/>
    <x v="73"/>
    <x v="1"/>
    <x v="0"/>
    <x v="0"/>
    <x v="0"/>
    <x v="0"/>
    <x v="0"/>
    <x v="0"/>
  </r>
  <r>
    <x v="9"/>
    <x v="8"/>
    <x v="9"/>
    <x v="7"/>
    <x v="0"/>
    <x v="36"/>
    <x v="1"/>
    <x v="2"/>
    <x v="104"/>
    <x v="1"/>
    <x v="0"/>
    <x v="0"/>
    <x v="0"/>
    <x v="8"/>
    <x v="0"/>
    <x v="1"/>
    <x v="0"/>
    <x v="8"/>
    <x v="6"/>
    <x v="1"/>
    <x v="4"/>
    <x v="1"/>
    <x v="33"/>
    <x v="1"/>
    <x v="77"/>
    <x v="30"/>
    <x v="90"/>
    <x v="90"/>
    <x v="41"/>
    <x v="41"/>
    <x v="0"/>
    <x v="0"/>
    <x v="2"/>
    <x v="0"/>
    <x v="0"/>
    <x v="0"/>
    <x v="1"/>
    <x v="4"/>
    <x v="74"/>
    <x v="1"/>
    <x v="0"/>
    <x v="0"/>
    <x v="0"/>
    <x v="0"/>
    <x v="0"/>
    <x v="0"/>
  </r>
  <r>
    <x v="9"/>
    <x v="19"/>
    <x v="9"/>
    <x v="5"/>
    <x v="3"/>
    <x v="82"/>
    <x v="1"/>
    <x v="1"/>
    <x v="81"/>
    <x v="0"/>
    <x v="11"/>
    <x v="85"/>
    <x v="0"/>
    <x v="2"/>
    <x v="1"/>
    <x v="1"/>
    <x v="0"/>
    <x v="9"/>
    <x v="12"/>
    <x v="0"/>
    <x v="0"/>
    <x v="1"/>
    <x v="87"/>
    <x v="4"/>
    <x v="78"/>
    <x v="117"/>
    <x v="66"/>
    <x v="66"/>
    <x v="141"/>
    <x v="105"/>
    <x v="85"/>
    <x v="0"/>
    <x v="0"/>
    <x v="0"/>
    <x v="0"/>
    <x v="0"/>
    <x v="1"/>
    <x v="0"/>
    <x v="75"/>
    <x v="0"/>
    <x v="0"/>
    <x v="0"/>
    <x v="0"/>
    <x v="0"/>
    <x v="0"/>
    <x v="0"/>
  </r>
  <r>
    <x v="9"/>
    <x v="19"/>
    <x v="9"/>
    <x v="5"/>
    <x v="3"/>
    <x v="100"/>
    <x v="1"/>
    <x v="1"/>
    <x v="77"/>
    <x v="0"/>
    <x v="11"/>
    <x v="81"/>
    <x v="0"/>
    <x v="2"/>
    <x v="1"/>
    <x v="1"/>
    <x v="0"/>
    <x v="9"/>
    <x v="12"/>
    <x v="0"/>
    <x v="0"/>
    <x v="1"/>
    <x v="47"/>
    <x v="4"/>
    <x v="97"/>
    <x v="113"/>
    <x v="62"/>
    <x v="62"/>
    <x v="137"/>
    <x v="101"/>
    <x v="81"/>
    <x v="0"/>
    <x v="0"/>
    <x v="0"/>
    <x v="0"/>
    <x v="0"/>
    <x v="1"/>
    <x v="0"/>
    <x v="76"/>
    <x v="0"/>
    <x v="0"/>
    <x v="0"/>
    <x v="0"/>
    <x v="0"/>
    <x v="0"/>
    <x v="0"/>
  </r>
  <r>
    <x v="10"/>
    <x v="19"/>
    <x v="10"/>
    <x v="5"/>
    <x v="3"/>
    <x v="119"/>
    <x v="1"/>
    <x v="1"/>
    <x v="65"/>
    <x v="0"/>
    <x v="11"/>
    <x v="62"/>
    <x v="0"/>
    <x v="2"/>
    <x v="1"/>
    <x v="1"/>
    <x v="0"/>
    <x v="9"/>
    <x v="12"/>
    <x v="0"/>
    <x v="0"/>
    <x v="1"/>
    <x v="45"/>
    <x v="4"/>
    <x v="73"/>
    <x v="102"/>
    <x v="50"/>
    <x v="50"/>
    <x v="126"/>
    <x v="89"/>
    <x v="62"/>
    <x v="0"/>
    <x v="0"/>
    <x v="0"/>
    <x v="0"/>
    <x v="0"/>
    <x v="1"/>
    <x v="0"/>
    <x v="77"/>
    <x v="0"/>
    <x v="0"/>
    <x v="0"/>
    <x v="0"/>
    <x v="0"/>
    <x v="0"/>
    <x v="0"/>
  </r>
  <r>
    <x v="10"/>
    <x v="19"/>
    <x v="10"/>
    <x v="5"/>
    <x v="3"/>
    <x v="135"/>
    <x v="1"/>
    <x v="1"/>
    <x v="66"/>
    <x v="0"/>
    <x v="11"/>
    <x v="66"/>
    <x v="0"/>
    <x v="2"/>
    <x v="1"/>
    <x v="1"/>
    <x v="0"/>
    <x v="9"/>
    <x v="12"/>
    <x v="0"/>
    <x v="0"/>
    <x v="1"/>
    <x v="44"/>
    <x v="4"/>
    <x v="74"/>
    <x v="103"/>
    <x v="51"/>
    <x v="51"/>
    <x v="127"/>
    <x v="90"/>
    <x v="66"/>
    <x v="0"/>
    <x v="0"/>
    <x v="0"/>
    <x v="0"/>
    <x v="0"/>
    <x v="1"/>
    <x v="0"/>
    <x v="78"/>
    <x v="0"/>
    <x v="0"/>
    <x v="0"/>
    <x v="0"/>
    <x v="0"/>
    <x v="0"/>
    <x v="0"/>
  </r>
  <r>
    <x v="10"/>
    <x v="19"/>
    <x v="10"/>
    <x v="1"/>
    <x v="3"/>
    <x v="142"/>
    <x v="1"/>
    <x v="1"/>
    <x v="84"/>
    <x v="2"/>
    <x v="12"/>
    <x v="96"/>
    <x v="0"/>
    <x v="9"/>
    <x v="0"/>
    <x v="1"/>
    <x v="0"/>
    <x v="9"/>
    <x v="12"/>
    <x v="0"/>
    <x v="0"/>
    <x v="1"/>
    <x v="14"/>
    <x v="4"/>
    <x v="75"/>
    <x v="87"/>
    <x v="145"/>
    <x v="145"/>
    <x v="111"/>
    <x v="167"/>
    <x v="96"/>
    <x v="0"/>
    <x v="0"/>
    <x v="0"/>
    <x v="0"/>
    <x v="0"/>
    <x v="1"/>
    <x v="0"/>
    <x v="79"/>
    <x v="0"/>
    <x v="0"/>
    <x v="0"/>
    <x v="0"/>
    <x v="0"/>
    <x v="0"/>
    <x v="0"/>
  </r>
  <r>
    <x v="10"/>
    <x v="19"/>
    <x v="10"/>
    <x v="9"/>
    <x v="3"/>
    <x v="145"/>
    <x v="0"/>
    <x v="1"/>
    <x v="144"/>
    <x v="1"/>
    <x v="4"/>
    <x v="97"/>
    <x v="0"/>
    <x v="3"/>
    <x v="0"/>
    <x v="1"/>
    <x v="0"/>
    <x v="9"/>
    <x v="12"/>
    <x v="0"/>
    <x v="0"/>
    <x v="1"/>
    <x v="33"/>
    <x v="4"/>
    <x v="81"/>
    <x v="123"/>
    <x v="146"/>
    <x v="146"/>
    <x v="41"/>
    <x v="41"/>
    <x v="97"/>
    <x v="0"/>
    <x v="0"/>
    <x v="0"/>
    <x v="0"/>
    <x v="0"/>
    <x v="1"/>
    <x v="0"/>
    <x v="80"/>
    <x v="0"/>
    <x v="0"/>
    <x v="0"/>
    <x v="0"/>
    <x v="0"/>
    <x v="0"/>
    <x v="0"/>
  </r>
  <r>
    <x v="10"/>
    <x v="19"/>
    <x v="10"/>
    <x v="8"/>
    <x v="1"/>
    <x v="144"/>
    <x v="1"/>
    <x v="1"/>
    <x v="140"/>
    <x v="1"/>
    <x v="0"/>
    <x v="0"/>
    <x v="0"/>
    <x v="7"/>
    <x v="0"/>
    <x v="0"/>
    <x v="1"/>
    <x v="9"/>
    <x v="12"/>
    <x v="19"/>
    <x v="23"/>
    <x v="1"/>
    <x v="34"/>
    <x v="4"/>
    <x v="82"/>
    <x v="81"/>
    <x v="141"/>
    <x v="141"/>
    <x v="106"/>
    <x v="164"/>
    <x v="0"/>
    <x v="0"/>
    <x v="0"/>
    <x v="40"/>
    <x v="0"/>
    <x v="0"/>
    <x v="1"/>
    <x v="23"/>
    <x v="81"/>
    <x v="0"/>
    <x v="0"/>
    <x v="0"/>
    <x v="0"/>
    <x v="0"/>
    <x v="0"/>
    <x v="0"/>
  </r>
  <r>
    <x v="10"/>
    <x v="19"/>
    <x v="10"/>
    <x v="8"/>
    <x v="4"/>
    <x v="144"/>
    <x v="1"/>
    <x v="1"/>
    <x v="140"/>
    <x v="1"/>
    <x v="0"/>
    <x v="0"/>
    <x v="0"/>
    <x v="7"/>
    <x v="0"/>
    <x v="0"/>
    <x v="1"/>
    <x v="9"/>
    <x v="12"/>
    <x v="19"/>
    <x v="23"/>
    <x v="1"/>
    <x v="18"/>
    <x v="4"/>
    <x v="83"/>
    <x v="81"/>
    <x v="141"/>
    <x v="141"/>
    <x v="1"/>
    <x v="1"/>
    <x v="0"/>
    <x v="0"/>
    <x v="0"/>
    <x v="40"/>
    <x v="0"/>
    <x v="0"/>
    <x v="1"/>
    <x v="23"/>
    <x v="81"/>
    <x v="0"/>
    <x v="0"/>
    <x v="0"/>
    <x v="0"/>
    <x v="2"/>
    <x v="0"/>
    <x v="0"/>
  </r>
  <r>
    <x v="10"/>
    <x v="5"/>
    <x v="10"/>
    <x v="8"/>
    <x v="3"/>
    <x v="144"/>
    <x v="1"/>
    <x v="1"/>
    <x v="140"/>
    <x v="1"/>
    <x v="0"/>
    <x v="0"/>
    <x v="0"/>
    <x v="7"/>
    <x v="0"/>
    <x v="1"/>
    <x v="0"/>
    <x v="7"/>
    <x v="7"/>
    <x v="7"/>
    <x v="10"/>
    <x v="1"/>
    <x v="33"/>
    <x v="4"/>
    <x v="87"/>
    <x v="81"/>
    <x v="141"/>
    <x v="141"/>
    <x v="106"/>
    <x v="164"/>
    <x v="0"/>
    <x v="0"/>
    <x v="2"/>
    <x v="0"/>
    <x v="0"/>
    <x v="0"/>
    <x v="1"/>
    <x v="10"/>
    <x v="82"/>
    <x v="1"/>
    <x v="0"/>
    <x v="0"/>
    <x v="0"/>
    <x v="0"/>
    <x v="0"/>
    <x v="0"/>
  </r>
  <r>
    <x v="10"/>
    <x v="19"/>
    <x v="10"/>
    <x v="8"/>
    <x v="1"/>
    <x v="147"/>
    <x v="1"/>
    <x v="1"/>
    <x v="140"/>
    <x v="1"/>
    <x v="0"/>
    <x v="0"/>
    <x v="0"/>
    <x v="7"/>
    <x v="0"/>
    <x v="0"/>
    <x v="1"/>
    <x v="9"/>
    <x v="12"/>
    <x v="0"/>
    <x v="0"/>
    <x v="1"/>
    <x v="33"/>
    <x v="4"/>
    <x v="88"/>
    <x v="81"/>
    <x v="141"/>
    <x v="141"/>
    <x v="106"/>
    <x v="164"/>
    <x v="0"/>
    <x v="0"/>
    <x v="0"/>
    <x v="40"/>
    <x v="0"/>
    <x v="0"/>
    <x v="1"/>
    <x v="0"/>
    <x v="83"/>
    <x v="0"/>
    <x v="0"/>
    <x v="0"/>
    <x v="0"/>
    <x v="0"/>
    <x v="0"/>
    <x v="0"/>
  </r>
  <r>
    <x v="10"/>
    <x v="19"/>
    <x v="10"/>
    <x v="8"/>
    <x v="4"/>
    <x v="147"/>
    <x v="1"/>
    <x v="1"/>
    <x v="140"/>
    <x v="1"/>
    <x v="0"/>
    <x v="0"/>
    <x v="0"/>
    <x v="7"/>
    <x v="0"/>
    <x v="0"/>
    <x v="1"/>
    <x v="9"/>
    <x v="12"/>
    <x v="0"/>
    <x v="0"/>
    <x v="1"/>
    <x v="18"/>
    <x v="4"/>
    <x v="88"/>
    <x v="81"/>
    <x v="141"/>
    <x v="141"/>
    <x v="1"/>
    <x v="1"/>
    <x v="0"/>
    <x v="0"/>
    <x v="0"/>
    <x v="40"/>
    <x v="0"/>
    <x v="0"/>
    <x v="1"/>
    <x v="0"/>
    <x v="83"/>
    <x v="0"/>
    <x v="0"/>
    <x v="0"/>
    <x v="0"/>
    <x v="2"/>
    <x v="0"/>
    <x v="0"/>
  </r>
  <r>
    <x v="10"/>
    <x v="5"/>
    <x v="10"/>
    <x v="8"/>
    <x v="3"/>
    <x v="147"/>
    <x v="1"/>
    <x v="1"/>
    <x v="140"/>
    <x v="1"/>
    <x v="0"/>
    <x v="0"/>
    <x v="0"/>
    <x v="7"/>
    <x v="0"/>
    <x v="1"/>
    <x v="0"/>
    <x v="5"/>
    <x v="8"/>
    <x v="7"/>
    <x v="10"/>
    <x v="1"/>
    <x v="34"/>
    <x v="4"/>
    <x v="89"/>
    <x v="81"/>
    <x v="141"/>
    <x v="141"/>
    <x v="106"/>
    <x v="164"/>
    <x v="0"/>
    <x v="0"/>
    <x v="2"/>
    <x v="0"/>
    <x v="0"/>
    <x v="0"/>
    <x v="1"/>
    <x v="10"/>
    <x v="84"/>
    <x v="1"/>
    <x v="0"/>
    <x v="0"/>
    <x v="0"/>
    <x v="0"/>
    <x v="0"/>
    <x v="0"/>
  </r>
  <r>
    <x v="11"/>
    <x v="8"/>
    <x v="11"/>
    <x v="7"/>
    <x v="0"/>
    <x v="37"/>
    <x v="1"/>
    <x v="2"/>
    <x v="141"/>
    <x v="1"/>
    <x v="0"/>
    <x v="0"/>
    <x v="0"/>
    <x v="8"/>
    <x v="0"/>
    <x v="1"/>
    <x v="0"/>
    <x v="2"/>
    <x v="11"/>
    <x v="1"/>
    <x v="10"/>
    <x v="1"/>
    <x v="34"/>
    <x v="1"/>
    <x v="71"/>
    <x v="83"/>
    <x v="142"/>
    <x v="142"/>
    <x v="41"/>
    <x v="41"/>
    <x v="0"/>
    <x v="0"/>
    <x v="2"/>
    <x v="0"/>
    <x v="0"/>
    <x v="0"/>
    <x v="1"/>
    <x v="10"/>
    <x v="85"/>
    <x v="1"/>
    <x v="0"/>
    <x v="0"/>
    <x v="0"/>
    <x v="0"/>
    <x v="0"/>
    <x v="0"/>
  </r>
  <r>
    <x v="11"/>
    <x v="8"/>
    <x v="11"/>
    <x v="7"/>
    <x v="0"/>
    <x v="38"/>
    <x v="1"/>
    <x v="2"/>
    <x v="92"/>
    <x v="1"/>
    <x v="0"/>
    <x v="0"/>
    <x v="0"/>
    <x v="8"/>
    <x v="0"/>
    <x v="1"/>
    <x v="0"/>
    <x v="8"/>
    <x v="6"/>
    <x v="1"/>
    <x v="4"/>
    <x v="1"/>
    <x v="34"/>
    <x v="1"/>
    <x v="72"/>
    <x v="12"/>
    <x v="76"/>
    <x v="76"/>
    <x v="41"/>
    <x v="41"/>
    <x v="0"/>
    <x v="0"/>
    <x v="2"/>
    <x v="0"/>
    <x v="0"/>
    <x v="0"/>
    <x v="1"/>
    <x v="4"/>
    <x v="86"/>
    <x v="1"/>
    <x v="0"/>
    <x v="0"/>
    <x v="0"/>
    <x v="0"/>
    <x v="0"/>
    <x v="0"/>
  </r>
  <r>
    <x v="11"/>
    <x v="8"/>
    <x v="11"/>
    <x v="7"/>
    <x v="0"/>
    <x v="39"/>
    <x v="1"/>
    <x v="2"/>
    <x v="133"/>
    <x v="1"/>
    <x v="0"/>
    <x v="0"/>
    <x v="0"/>
    <x v="8"/>
    <x v="0"/>
    <x v="1"/>
    <x v="0"/>
    <x v="2"/>
    <x v="11"/>
    <x v="1"/>
    <x v="10"/>
    <x v="1"/>
    <x v="33"/>
    <x v="1"/>
    <x v="84"/>
    <x v="74"/>
    <x v="134"/>
    <x v="134"/>
    <x v="41"/>
    <x v="41"/>
    <x v="0"/>
    <x v="0"/>
    <x v="2"/>
    <x v="0"/>
    <x v="0"/>
    <x v="0"/>
    <x v="1"/>
    <x v="10"/>
    <x v="87"/>
    <x v="1"/>
    <x v="0"/>
    <x v="0"/>
    <x v="0"/>
    <x v="0"/>
    <x v="0"/>
    <x v="0"/>
  </r>
  <r>
    <x v="11"/>
    <x v="8"/>
    <x v="11"/>
    <x v="7"/>
    <x v="0"/>
    <x v="40"/>
    <x v="1"/>
    <x v="2"/>
    <x v="95"/>
    <x v="1"/>
    <x v="0"/>
    <x v="0"/>
    <x v="0"/>
    <x v="8"/>
    <x v="0"/>
    <x v="1"/>
    <x v="0"/>
    <x v="8"/>
    <x v="6"/>
    <x v="1"/>
    <x v="4"/>
    <x v="1"/>
    <x v="34"/>
    <x v="1"/>
    <x v="85"/>
    <x v="16"/>
    <x v="80"/>
    <x v="80"/>
    <x v="41"/>
    <x v="41"/>
    <x v="0"/>
    <x v="0"/>
    <x v="2"/>
    <x v="0"/>
    <x v="0"/>
    <x v="0"/>
    <x v="1"/>
    <x v="4"/>
    <x v="88"/>
    <x v="1"/>
    <x v="0"/>
    <x v="0"/>
    <x v="0"/>
    <x v="0"/>
    <x v="0"/>
    <x v="0"/>
  </r>
  <r>
    <x v="11"/>
    <x v="19"/>
    <x v="11"/>
    <x v="1"/>
    <x v="3"/>
    <x v="152"/>
    <x v="1"/>
    <x v="1"/>
    <x v="57"/>
    <x v="2"/>
    <x v="12"/>
    <x v="91"/>
    <x v="0"/>
    <x v="9"/>
    <x v="0"/>
    <x v="1"/>
    <x v="0"/>
    <x v="9"/>
    <x v="12"/>
    <x v="0"/>
    <x v="0"/>
    <x v="1"/>
    <x v="30"/>
    <x v="4"/>
    <x v="86"/>
    <x v="67"/>
    <x v="127"/>
    <x v="127"/>
    <x v="94"/>
    <x v="152"/>
    <x v="91"/>
    <x v="0"/>
    <x v="0"/>
    <x v="0"/>
    <x v="0"/>
    <x v="0"/>
    <x v="1"/>
    <x v="0"/>
    <x v="89"/>
    <x v="0"/>
    <x v="0"/>
    <x v="0"/>
    <x v="0"/>
    <x v="0"/>
    <x v="0"/>
    <x v="0"/>
  </r>
  <r>
    <x v="11"/>
    <x v="19"/>
    <x v="11"/>
    <x v="2"/>
    <x v="3"/>
    <x v="154"/>
    <x v="1"/>
    <x v="1"/>
    <x v="122"/>
    <x v="1"/>
    <x v="2"/>
    <x v="23"/>
    <x v="0"/>
    <x v="3"/>
    <x v="0"/>
    <x v="1"/>
    <x v="0"/>
    <x v="9"/>
    <x v="12"/>
    <x v="0"/>
    <x v="0"/>
    <x v="1"/>
    <x v="34"/>
    <x v="4"/>
    <x v="90"/>
    <x v="59"/>
    <x v="119"/>
    <x v="119"/>
    <x v="86"/>
    <x v="144"/>
    <x v="23"/>
    <x v="0"/>
    <x v="0"/>
    <x v="0"/>
    <x v="0"/>
    <x v="0"/>
    <x v="1"/>
    <x v="0"/>
    <x v="90"/>
    <x v="0"/>
    <x v="0"/>
    <x v="0"/>
    <x v="0"/>
    <x v="0"/>
    <x v="0"/>
    <x v="0"/>
  </r>
  <r>
    <x v="11"/>
    <x v="19"/>
    <x v="11"/>
    <x v="8"/>
    <x v="1"/>
    <x v="154"/>
    <x v="1"/>
    <x v="1"/>
    <x v="122"/>
    <x v="1"/>
    <x v="0"/>
    <x v="0"/>
    <x v="0"/>
    <x v="7"/>
    <x v="0"/>
    <x v="0"/>
    <x v="1"/>
    <x v="9"/>
    <x v="12"/>
    <x v="0"/>
    <x v="0"/>
    <x v="1"/>
    <x v="33"/>
    <x v="4"/>
    <x v="91"/>
    <x v="59"/>
    <x v="119"/>
    <x v="119"/>
    <x v="86"/>
    <x v="144"/>
    <x v="0"/>
    <x v="0"/>
    <x v="0"/>
    <x v="24"/>
    <x v="0"/>
    <x v="0"/>
    <x v="1"/>
    <x v="0"/>
    <x v="91"/>
    <x v="0"/>
    <x v="0"/>
    <x v="0"/>
    <x v="0"/>
    <x v="0"/>
    <x v="0"/>
    <x v="0"/>
  </r>
  <r>
    <x v="11"/>
    <x v="19"/>
    <x v="11"/>
    <x v="8"/>
    <x v="4"/>
    <x v="154"/>
    <x v="1"/>
    <x v="1"/>
    <x v="122"/>
    <x v="1"/>
    <x v="0"/>
    <x v="0"/>
    <x v="0"/>
    <x v="7"/>
    <x v="0"/>
    <x v="0"/>
    <x v="1"/>
    <x v="9"/>
    <x v="12"/>
    <x v="0"/>
    <x v="0"/>
    <x v="1"/>
    <x v="18"/>
    <x v="4"/>
    <x v="91"/>
    <x v="59"/>
    <x v="119"/>
    <x v="119"/>
    <x v="15"/>
    <x v="15"/>
    <x v="0"/>
    <x v="0"/>
    <x v="0"/>
    <x v="24"/>
    <x v="0"/>
    <x v="0"/>
    <x v="1"/>
    <x v="0"/>
    <x v="91"/>
    <x v="0"/>
    <x v="0"/>
    <x v="0"/>
    <x v="0"/>
    <x v="2"/>
    <x v="0"/>
    <x v="0"/>
  </r>
  <r>
    <x v="11"/>
    <x v="15"/>
    <x v="11"/>
    <x v="8"/>
    <x v="3"/>
    <x v="154"/>
    <x v="1"/>
    <x v="1"/>
    <x v="122"/>
    <x v="1"/>
    <x v="0"/>
    <x v="0"/>
    <x v="0"/>
    <x v="7"/>
    <x v="0"/>
    <x v="1"/>
    <x v="0"/>
    <x v="5"/>
    <x v="8"/>
    <x v="10"/>
    <x v="15"/>
    <x v="1"/>
    <x v="34"/>
    <x v="4"/>
    <x v="92"/>
    <x v="59"/>
    <x v="119"/>
    <x v="119"/>
    <x v="86"/>
    <x v="144"/>
    <x v="0"/>
    <x v="0"/>
    <x v="2"/>
    <x v="0"/>
    <x v="0"/>
    <x v="0"/>
    <x v="1"/>
    <x v="15"/>
    <x v="92"/>
    <x v="1"/>
    <x v="0"/>
    <x v="0"/>
    <x v="0"/>
    <x v="0"/>
    <x v="0"/>
    <x v="0"/>
  </r>
  <r>
    <x v="11"/>
    <x v="2"/>
    <x v="11"/>
    <x v="19"/>
    <x v="3"/>
    <x v="151"/>
    <x v="1"/>
    <x v="1"/>
    <x v="149"/>
    <x v="2"/>
    <x v="0"/>
    <x v="0"/>
    <x v="0"/>
    <x v="4"/>
    <x v="1"/>
    <x v="1"/>
    <x v="0"/>
    <x v="0"/>
    <x v="12"/>
    <x v="0"/>
    <x v="0"/>
    <x v="1"/>
    <x v="4"/>
    <x v="4"/>
    <x v="133"/>
    <x v="128"/>
    <x v="151"/>
    <x v="151"/>
    <x v="151"/>
    <x v="172"/>
    <x v="0"/>
    <x v="0"/>
    <x v="2"/>
    <x v="0"/>
    <x v="0"/>
    <x v="0"/>
    <x v="1"/>
    <x v="0"/>
    <x v="93"/>
    <x v="1"/>
    <x v="0"/>
    <x v="0"/>
    <x v="0"/>
    <x v="0"/>
    <x v="0"/>
    <x v="0"/>
  </r>
  <r>
    <x v="11"/>
    <x v="19"/>
    <x v="11"/>
    <x v="2"/>
    <x v="3"/>
    <x v="156"/>
    <x v="1"/>
    <x v="1"/>
    <x v="122"/>
    <x v="1"/>
    <x v="2"/>
    <x v="23"/>
    <x v="0"/>
    <x v="3"/>
    <x v="0"/>
    <x v="1"/>
    <x v="0"/>
    <x v="9"/>
    <x v="12"/>
    <x v="0"/>
    <x v="0"/>
    <x v="1"/>
    <x v="33"/>
    <x v="4"/>
    <x v="139"/>
    <x v="59"/>
    <x v="119"/>
    <x v="119"/>
    <x v="86"/>
    <x v="144"/>
    <x v="23"/>
    <x v="0"/>
    <x v="0"/>
    <x v="0"/>
    <x v="0"/>
    <x v="0"/>
    <x v="1"/>
    <x v="0"/>
    <x v="94"/>
    <x v="0"/>
    <x v="0"/>
    <x v="0"/>
    <x v="0"/>
    <x v="0"/>
    <x v="0"/>
    <x v="0"/>
  </r>
  <r>
    <x v="11"/>
    <x v="19"/>
    <x v="11"/>
    <x v="8"/>
    <x v="1"/>
    <x v="156"/>
    <x v="1"/>
    <x v="1"/>
    <x v="122"/>
    <x v="1"/>
    <x v="0"/>
    <x v="0"/>
    <x v="0"/>
    <x v="7"/>
    <x v="0"/>
    <x v="0"/>
    <x v="1"/>
    <x v="9"/>
    <x v="12"/>
    <x v="0"/>
    <x v="0"/>
    <x v="1"/>
    <x v="34"/>
    <x v="4"/>
    <x v="140"/>
    <x v="59"/>
    <x v="119"/>
    <x v="119"/>
    <x v="86"/>
    <x v="144"/>
    <x v="0"/>
    <x v="0"/>
    <x v="0"/>
    <x v="24"/>
    <x v="0"/>
    <x v="0"/>
    <x v="1"/>
    <x v="0"/>
    <x v="95"/>
    <x v="0"/>
    <x v="0"/>
    <x v="0"/>
    <x v="0"/>
    <x v="0"/>
    <x v="0"/>
    <x v="0"/>
  </r>
  <r>
    <x v="11"/>
    <x v="19"/>
    <x v="11"/>
    <x v="8"/>
    <x v="4"/>
    <x v="156"/>
    <x v="1"/>
    <x v="1"/>
    <x v="122"/>
    <x v="1"/>
    <x v="0"/>
    <x v="0"/>
    <x v="0"/>
    <x v="7"/>
    <x v="0"/>
    <x v="0"/>
    <x v="1"/>
    <x v="9"/>
    <x v="12"/>
    <x v="0"/>
    <x v="0"/>
    <x v="1"/>
    <x v="18"/>
    <x v="4"/>
    <x v="140"/>
    <x v="59"/>
    <x v="119"/>
    <x v="119"/>
    <x v="15"/>
    <x v="15"/>
    <x v="0"/>
    <x v="0"/>
    <x v="0"/>
    <x v="24"/>
    <x v="0"/>
    <x v="0"/>
    <x v="1"/>
    <x v="0"/>
    <x v="95"/>
    <x v="0"/>
    <x v="0"/>
    <x v="0"/>
    <x v="0"/>
    <x v="2"/>
    <x v="0"/>
    <x v="0"/>
  </r>
  <r>
    <x v="11"/>
    <x v="15"/>
    <x v="11"/>
    <x v="8"/>
    <x v="3"/>
    <x v="156"/>
    <x v="1"/>
    <x v="1"/>
    <x v="122"/>
    <x v="1"/>
    <x v="0"/>
    <x v="0"/>
    <x v="0"/>
    <x v="7"/>
    <x v="0"/>
    <x v="1"/>
    <x v="0"/>
    <x v="5"/>
    <x v="8"/>
    <x v="10"/>
    <x v="15"/>
    <x v="1"/>
    <x v="34"/>
    <x v="4"/>
    <x v="141"/>
    <x v="59"/>
    <x v="119"/>
    <x v="119"/>
    <x v="86"/>
    <x v="144"/>
    <x v="0"/>
    <x v="0"/>
    <x v="2"/>
    <x v="0"/>
    <x v="0"/>
    <x v="0"/>
    <x v="1"/>
    <x v="15"/>
    <x v="96"/>
    <x v="1"/>
    <x v="0"/>
    <x v="0"/>
    <x v="0"/>
    <x v="0"/>
    <x v="0"/>
    <x v="0"/>
  </r>
  <r>
    <x v="11"/>
    <x v="19"/>
    <x v="11"/>
    <x v="2"/>
    <x v="3"/>
    <x v="158"/>
    <x v="1"/>
    <x v="1"/>
    <x v="122"/>
    <x v="1"/>
    <x v="2"/>
    <x v="23"/>
    <x v="0"/>
    <x v="3"/>
    <x v="0"/>
    <x v="1"/>
    <x v="0"/>
    <x v="9"/>
    <x v="12"/>
    <x v="0"/>
    <x v="0"/>
    <x v="1"/>
    <x v="34"/>
    <x v="4"/>
    <x v="142"/>
    <x v="59"/>
    <x v="119"/>
    <x v="119"/>
    <x v="86"/>
    <x v="144"/>
    <x v="23"/>
    <x v="0"/>
    <x v="0"/>
    <x v="0"/>
    <x v="0"/>
    <x v="0"/>
    <x v="1"/>
    <x v="0"/>
    <x v="97"/>
    <x v="0"/>
    <x v="0"/>
    <x v="0"/>
    <x v="0"/>
    <x v="0"/>
    <x v="0"/>
    <x v="0"/>
  </r>
  <r>
    <x v="11"/>
    <x v="19"/>
    <x v="11"/>
    <x v="8"/>
    <x v="1"/>
    <x v="158"/>
    <x v="1"/>
    <x v="1"/>
    <x v="122"/>
    <x v="1"/>
    <x v="0"/>
    <x v="0"/>
    <x v="0"/>
    <x v="7"/>
    <x v="0"/>
    <x v="0"/>
    <x v="1"/>
    <x v="9"/>
    <x v="12"/>
    <x v="0"/>
    <x v="0"/>
    <x v="1"/>
    <x v="34"/>
    <x v="4"/>
    <x v="143"/>
    <x v="59"/>
    <x v="119"/>
    <x v="119"/>
    <x v="86"/>
    <x v="144"/>
    <x v="0"/>
    <x v="0"/>
    <x v="0"/>
    <x v="24"/>
    <x v="0"/>
    <x v="0"/>
    <x v="1"/>
    <x v="0"/>
    <x v="98"/>
    <x v="0"/>
    <x v="0"/>
    <x v="0"/>
    <x v="0"/>
    <x v="0"/>
    <x v="0"/>
    <x v="0"/>
  </r>
  <r>
    <x v="11"/>
    <x v="19"/>
    <x v="11"/>
    <x v="8"/>
    <x v="4"/>
    <x v="158"/>
    <x v="1"/>
    <x v="1"/>
    <x v="122"/>
    <x v="1"/>
    <x v="0"/>
    <x v="0"/>
    <x v="0"/>
    <x v="7"/>
    <x v="0"/>
    <x v="0"/>
    <x v="1"/>
    <x v="9"/>
    <x v="12"/>
    <x v="0"/>
    <x v="0"/>
    <x v="1"/>
    <x v="18"/>
    <x v="4"/>
    <x v="143"/>
    <x v="59"/>
    <x v="119"/>
    <x v="119"/>
    <x v="15"/>
    <x v="15"/>
    <x v="0"/>
    <x v="0"/>
    <x v="0"/>
    <x v="24"/>
    <x v="0"/>
    <x v="0"/>
    <x v="1"/>
    <x v="0"/>
    <x v="98"/>
    <x v="0"/>
    <x v="0"/>
    <x v="0"/>
    <x v="0"/>
    <x v="2"/>
    <x v="0"/>
    <x v="0"/>
  </r>
  <r>
    <x v="11"/>
    <x v="15"/>
    <x v="11"/>
    <x v="8"/>
    <x v="3"/>
    <x v="158"/>
    <x v="1"/>
    <x v="1"/>
    <x v="122"/>
    <x v="1"/>
    <x v="0"/>
    <x v="0"/>
    <x v="0"/>
    <x v="7"/>
    <x v="1"/>
    <x v="1"/>
    <x v="0"/>
    <x v="7"/>
    <x v="7"/>
    <x v="10"/>
    <x v="15"/>
    <x v="1"/>
    <x v="34"/>
    <x v="4"/>
    <x v="144"/>
    <x v="59"/>
    <x v="119"/>
    <x v="119"/>
    <x v="86"/>
    <x v="144"/>
    <x v="0"/>
    <x v="0"/>
    <x v="2"/>
    <x v="0"/>
    <x v="0"/>
    <x v="0"/>
    <x v="1"/>
    <x v="15"/>
    <x v="99"/>
    <x v="1"/>
    <x v="0"/>
    <x v="0"/>
    <x v="0"/>
    <x v="0"/>
    <x v="0"/>
    <x v="0"/>
  </r>
  <r>
    <x v="12"/>
    <x v="8"/>
    <x v="12"/>
    <x v="7"/>
    <x v="0"/>
    <x v="41"/>
    <x v="1"/>
    <x v="2"/>
    <x v="110"/>
    <x v="1"/>
    <x v="0"/>
    <x v="0"/>
    <x v="0"/>
    <x v="8"/>
    <x v="0"/>
    <x v="1"/>
    <x v="0"/>
    <x v="8"/>
    <x v="6"/>
    <x v="1"/>
    <x v="4"/>
    <x v="1"/>
    <x v="33"/>
    <x v="1"/>
    <x v="93"/>
    <x v="36"/>
    <x v="96"/>
    <x v="96"/>
    <x v="41"/>
    <x v="41"/>
    <x v="0"/>
    <x v="0"/>
    <x v="2"/>
    <x v="0"/>
    <x v="0"/>
    <x v="0"/>
    <x v="1"/>
    <x v="4"/>
    <x v="100"/>
    <x v="1"/>
    <x v="0"/>
    <x v="0"/>
    <x v="0"/>
    <x v="0"/>
    <x v="0"/>
    <x v="0"/>
  </r>
  <r>
    <x v="12"/>
    <x v="8"/>
    <x v="12"/>
    <x v="7"/>
    <x v="0"/>
    <x v="42"/>
    <x v="1"/>
    <x v="2"/>
    <x v="138"/>
    <x v="1"/>
    <x v="0"/>
    <x v="0"/>
    <x v="0"/>
    <x v="8"/>
    <x v="0"/>
    <x v="1"/>
    <x v="0"/>
    <x v="2"/>
    <x v="11"/>
    <x v="1"/>
    <x v="10"/>
    <x v="1"/>
    <x v="34"/>
    <x v="1"/>
    <x v="94"/>
    <x v="79"/>
    <x v="139"/>
    <x v="139"/>
    <x v="41"/>
    <x v="41"/>
    <x v="0"/>
    <x v="0"/>
    <x v="2"/>
    <x v="0"/>
    <x v="0"/>
    <x v="0"/>
    <x v="1"/>
    <x v="10"/>
    <x v="101"/>
    <x v="1"/>
    <x v="0"/>
    <x v="0"/>
    <x v="0"/>
    <x v="0"/>
    <x v="0"/>
    <x v="0"/>
  </r>
  <r>
    <x v="12"/>
    <x v="19"/>
    <x v="12"/>
    <x v="5"/>
    <x v="3"/>
    <x v="137"/>
    <x v="1"/>
    <x v="1"/>
    <x v="69"/>
    <x v="0"/>
    <x v="11"/>
    <x v="69"/>
    <x v="0"/>
    <x v="2"/>
    <x v="1"/>
    <x v="1"/>
    <x v="0"/>
    <x v="9"/>
    <x v="12"/>
    <x v="0"/>
    <x v="0"/>
    <x v="1"/>
    <x v="46"/>
    <x v="4"/>
    <x v="95"/>
    <x v="106"/>
    <x v="54"/>
    <x v="54"/>
    <x v="130"/>
    <x v="93"/>
    <x v="69"/>
    <x v="0"/>
    <x v="0"/>
    <x v="0"/>
    <x v="0"/>
    <x v="0"/>
    <x v="1"/>
    <x v="0"/>
    <x v="102"/>
    <x v="0"/>
    <x v="0"/>
    <x v="0"/>
    <x v="0"/>
    <x v="0"/>
    <x v="0"/>
    <x v="0"/>
  </r>
  <r>
    <x v="12"/>
    <x v="19"/>
    <x v="12"/>
    <x v="5"/>
    <x v="3"/>
    <x v="139"/>
    <x v="1"/>
    <x v="1"/>
    <x v="70"/>
    <x v="0"/>
    <x v="11"/>
    <x v="70"/>
    <x v="0"/>
    <x v="2"/>
    <x v="1"/>
    <x v="1"/>
    <x v="0"/>
    <x v="9"/>
    <x v="12"/>
    <x v="0"/>
    <x v="0"/>
    <x v="1"/>
    <x v="48"/>
    <x v="4"/>
    <x v="96"/>
    <x v="107"/>
    <x v="55"/>
    <x v="55"/>
    <x v="131"/>
    <x v="94"/>
    <x v="70"/>
    <x v="0"/>
    <x v="0"/>
    <x v="0"/>
    <x v="0"/>
    <x v="0"/>
    <x v="1"/>
    <x v="0"/>
    <x v="103"/>
    <x v="0"/>
    <x v="0"/>
    <x v="0"/>
    <x v="0"/>
    <x v="0"/>
    <x v="0"/>
    <x v="0"/>
  </r>
  <r>
    <x v="12"/>
    <x v="19"/>
    <x v="12"/>
    <x v="14"/>
    <x v="3"/>
    <x v="161"/>
    <x v="0"/>
    <x v="0"/>
    <x v="23"/>
    <x v="0"/>
    <x v="10"/>
    <x v="17"/>
    <x v="0"/>
    <x v="2"/>
    <x v="0"/>
    <x v="1"/>
    <x v="0"/>
    <x v="9"/>
    <x v="12"/>
    <x v="0"/>
    <x v="0"/>
    <x v="1"/>
    <x v="34"/>
    <x v="4"/>
    <x v="98"/>
    <x v="60"/>
    <x v="22"/>
    <x v="22"/>
    <x v="41"/>
    <x v="41"/>
    <x v="17"/>
    <x v="0"/>
    <x v="0"/>
    <x v="0"/>
    <x v="0"/>
    <x v="0"/>
    <x v="1"/>
    <x v="0"/>
    <x v="104"/>
    <x v="0"/>
    <x v="0"/>
    <x v="0"/>
    <x v="0"/>
    <x v="0"/>
    <x v="0"/>
    <x v="0"/>
  </r>
  <r>
    <x v="12"/>
    <x v="19"/>
    <x v="12"/>
    <x v="14"/>
    <x v="1"/>
    <x v="160"/>
    <x v="0"/>
    <x v="0"/>
    <x v="123"/>
    <x v="1"/>
    <x v="0"/>
    <x v="0"/>
    <x v="0"/>
    <x v="8"/>
    <x v="0"/>
    <x v="0"/>
    <x v="1"/>
    <x v="9"/>
    <x v="12"/>
    <x v="0"/>
    <x v="0"/>
    <x v="1"/>
    <x v="33"/>
    <x v="4"/>
    <x v="99"/>
    <x v="60"/>
    <x v="120"/>
    <x v="120"/>
    <x v="41"/>
    <x v="41"/>
    <x v="0"/>
    <x v="0"/>
    <x v="0"/>
    <x v="25"/>
    <x v="0"/>
    <x v="0"/>
    <x v="1"/>
    <x v="0"/>
    <x v="105"/>
    <x v="0"/>
    <x v="0"/>
    <x v="0"/>
    <x v="0"/>
    <x v="0"/>
    <x v="0"/>
    <x v="0"/>
  </r>
  <r>
    <x v="12"/>
    <x v="19"/>
    <x v="12"/>
    <x v="14"/>
    <x v="4"/>
    <x v="160"/>
    <x v="0"/>
    <x v="0"/>
    <x v="123"/>
    <x v="1"/>
    <x v="0"/>
    <x v="0"/>
    <x v="0"/>
    <x v="8"/>
    <x v="0"/>
    <x v="0"/>
    <x v="1"/>
    <x v="9"/>
    <x v="12"/>
    <x v="0"/>
    <x v="0"/>
    <x v="1"/>
    <x v="18"/>
    <x v="4"/>
    <x v="99"/>
    <x v="60"/>
    <x v="120"/>
    <x v="120"/>
    <x v="41"/>
    <x v="41"/>
    <x v="0"/>
    <x v="0"/>
    <x v="0"/>
    <x v="25"/>
    <x v="0"/>
    <x v="0"/>
    <x v="1"/>
    <x v="0"/>
    <x v="105"/>
    <x v="0"/>
    <x v="0"/>
    <x v="0"/>
    <x v="0"/>
    <x v="2"/>
    <x v="0"/>
    <x v="0"/>
  </r>
  <r>
    <x v="12"/>
    <x v="4"/>
    <x v="12"/>
    <x v="8"/>
    <x v="3"/>
    <x v="160"/>
    <x v="1"/>
    <x v="0"/>
    <x v="123"/>
    <x v="1"/>
    <x v="0"/>
    <x v="0"/>
    <x v="0"/>
    <x v="8"/>
    <x v="0"/>
    <x v="1"/>
    <x v="0"/>
    <x v="7"/>
    <x v="7"/>
    <x v="8"/>
    <x v="11"/>
    <x v="1"/>
    <x v="34"/>
    <x v="4"/>
    <x v="100"/>
    <x v="60"/>
    <x v="120"/>
    <x v="120"/>
    <x v="87"/>
    <x v="145"/>
    <x v="0"/>
    <x v="0"/>
    <x v="2"/>
    <x v="0"/>
    <x v="0"/>
    <x v="0"/>
    <x v="1"/>
    <x v="11"/>
    <x v="106"/>
    <x v="1"/>
    <x v="0"/>
    <x v="0"/>
    <x v="0"/>
    <x v="0"/>
    <x v="0"/>
    <x v="0"/>
  </r>
  <r>
    <x v="12"/>
    <x v="19"/>
    <x v="12"/>
    <x v="5"/>
    <x v="3"/>
    <x v="141"/>
    <x v="1"/>
    <x v="1"/>
    <x v="10"/>
    <x v="0"/>
    <x v="11"/>
    <x v="30"/>
    <x v="0"/>
    <x v="2"/>
    <x v="1"/>
    <x v="1"/>
    <x v="0"/>
    <x v="9"/>
    <x v="12"/>
    <x v="0"/>
    <x v="0"/>
    <x v="1"/>
    <x v="47"/>
    <x v="4"/>
    <x v="101"/>
    <x v="25"/>
    <x v="10"/>
    <x v="10"/>
    <x v="59"/>
    <x v="52"/>
    <x v="30"/>
    <x v="0"/>
    <x v="0"/>
    <x v="0"/>
    <x v="0"/>
    <x v="0"/>
    <x v="1"/>
    <x v="0"/>
    <x v="107"/>
    <x v="0"/>
    <x v="0"/>
    <x v="0"/>
    <x v="0"/>
    <x v="0"/>
    <x v="0"/>
    <x v="0"/>
  </r>
  <r>
    <x v="12"/>
    <x v="8"/>
    <x v="12"/>
    <x v="7"/>
    <x v="0"/>
    <x v="43"/>
    <x v="1"/>
    <x v="2"/>
    <x v="139"/>
    <x v="1"/>
    <x v="0"/>
    <x v="0"/>
    <x v="0"/>
    <x v="8"/>
    <x v="0"/>
    <x v="1"/>
    <x v="0"/>
    <x v="2"/>
    <x v="11"/>
    <x v="1"/>
    <x v="10"/>
    <x v="1"/>
    <x v="33"/>
    <x v="1"/>
    <x v="102"/>
    <x v="80"/>
    <x v="140"/>
    <x v="140"/>
    <x v="41"/>
    <x v="41"/>
    <x v="0"/>
    <x v="0"/>
    <x v="2"/>
    <x v="0"/>
    <x v="0"/>
    <x v="0"/>
    <x v="1"/>
    <x v="10"/>
    <x v="108"/>
    <x v="1"/>
    <x v="0"/>
    <x v="0"/>
    <x v="0"/>
    <x v="0"/>
    <x v="0"/>
    <x v="0"/>
  </r>
  <r>
    <x v="12"/>
    <x v="8"/>
    <x v="12"/>
    <x v="7"/>
    <x v="0"/>
    <x v="45"/>
    <x v="1"/>
    <x v="2"/>
    <x v="111"/>
    <x v="1"/>
    <x v="0"/>
    <x v="0"/>
    <x v="0"/>
    <x v="8"/>
    <x v="0"/>
    <x v="1"/>
    <x v="0"/>
    <x v="8"/>
    <x v="6"/>
    <x v="1"/>
    <x v="4"/>
    <x v="1"/>
    <x v="34"/>
    <x v="1"/>
    <x v="103"/>
    <x v="37"/>
    <x v="97"/>
    <x v="97"/>
    <x v="41"/>
    <x v="41"/>
    <x v="0"/>
    <x v="0"/>
    <x v="2"/>
    <x v="0"/>
    <x v="0"/>
    <x v="0"/>
    <x v="1"/>
    <x v="4"/>
    <x v="109"/>
    <x v="1"/>
    <x v="0"/>
    <x v="0"/>
    <x v="0"/>
    <x v="0"/>
    <x v="0"/>
    <x v="0"/>
  </r>
  <r>
    <x v="12"/>
    <x v="19"/>
    <x v="12"/>
    <x v="14"/>
    <x v="3"/>
    <x v="164"/>
    <x v="0"/>
    <x v="0"/>
    <x v="23"/>
    <x v="0"/>
    <x v="10"/>
    <x v="17"/>
    <x v="0"/>
    <x v="2"/>
    <x v="0"/>
    <x v="1"/>
    <x v="0"/>
    <x v="9"/>
    <x v="12"/>
    <x v="0"/>
    <x v="0"/>
    <x v="1"/>
    <x v="33"/>
    <x v="4"/>
    <x v="104"/>
    <x v="60"/>
    <x v="22"/>
    <x v="22"/>
    <x v="41"/>
    <x v="41"/>
    <x v="17"/>
    <x v="0"/>
    <x v="0"/>
    <x v="0"/>
    <x v="0"/>
    <x v="0"/>
    <x v="1"/>
    <x v="0"/>
    <x v="110"/>
    <x v="0"/>
    <x v="0"/>
    <x v="0"/>
    <x v="0"/>
    <x v="0"/>
    <x v="0"/>
    <x v="0"/>
  </r>
  <r>
    <x v="12"/>
    <x v="19"/>
    <x v="12"/>
    <x v="14"/>
    <x v="1"/>
    <x v="163"/>
    <x v="0"/>
    <x v="0"/>
    <x v="123"/>
    <x v="1"/>
    <x v="0"/>
    <x v="0"/>
    <x v="0"/>
    <x v="8"/>
    <x v="0"/>
    <x v="0"/>
    <x v="1"/>
    <x v="9"/>
    <x v="12"/>
    <x v="0"/>
    <x v="0"/>
    <x v="1"/>
    <x v="34"/>
    <x v="4"/>
    <x v="105"/>
    <x v="60"/>
    <x v="120"/>
    <x v="120"/>
    <x v="41"/>
    <x v="41"/>
    <x v="0"/>
    <x v="0"/>
    <x v="0"/>
    <x v="25"/>
    <x v="0"/>
    <x v="0"/>
    <x v="1"/>
    <x v="0"/>
    <x v="111"/>
    <x v="0"/>
    <x v="0"/>
    <x v="0"/>
    <x v="0"/>
    <x v="0"/>
    <x v="0"/>
    <x v="0"/>
  </r>
  <r>
    <x v="12"/>
    <x v="19"/>
    <x v="12"/>
    <x v="14"/>
    <x v="4"/>
    <x v="163"/>
    <x v="0"/>
    <x v="0"/>
    <x v="123"/>
    <x v="1"/>
    <x v="0"/>
    <x v="0"/>
    <x v="0"/>
    <x v="8"/>
    <x v="0"/>
    <x v="0"/>
    <x v="1"/>
    <x v="9"/>
    <x v="12"/>
    <x v="0"/>
    <x v="0"/>
    <x v="1"/>
    <x v="18"/>
    <x v="4"/>
    <x v="105"/>
    <x v="60"/>
    <x v="120"/>
    <x v="120"/>
    <x v="41"/>
    <x v="41"/>
    <x v="0"/>
    <x v="0"/>
    <x v="0"/>
    <x v="25"/>
    <x v="0"/>
    <x v="0"/>
    <x v="1"/>
    <x v="0"/>
    <x v="111"/>
    <x v="0"/>
    <x v="0"/>
    <x v="0"/>
    <x v="0"/>
    <x v="2"/>
    <x v="0"/>
    <x v="0"/>
  </r>
  <r>
    <x v="12"/>
    <x v="4"/>
    <x v="12"/>
    <x v="8"/>
    <x v="3"/>
    <x v="163"/>
    <x v="1"/>
    <x v="0"/>
    <x v="123"/>
    <x v="1"/>
    <x v="0"/>
    <x v="0"/>
    <x v="0"/>
    <x v="8"/>
    <x v="0"/>
    <x v="1"/>
    <x v="0"/>
    <x v="5"/>
    <x v="8"/>
    <x v="8"/>
    <x v="11"/>
    <x v="1"/>
    <x v="34"/>
    <x v="4"/>
    <x v="106"/>
    <x v="60"/>
    <x v="120"/>
    <x v="120"/>
    <x v="87"/>
    <x v="145"/>
    <x v="0"/>
    <x v="0"/>
    <x v="2"/>
    <x v="0"/>
    <x v="0"/>
    <x v="0"/>
    <x v="1"/>
    <x v="11"/>
    <x v="112"/>
    <x v="1"/>
    <x v="0"/>
    <x v="0"/>
    <x v="0"/>
    <x v="0"/>
    <x v="0"/>
    <x v="0"/>
  </r>
  <r>
    <x v="12"/>
    <x v="19"/>
    <x v="12"/>
    <x v="14"/>
    <x v="3"/>
    <x v="167"/>
    <x v="0"/>
    <x v="0"/>
    <x v="23"/>
    <x v="0"/>
    <x v="10"/>
    <x v="17"/>
    <x v="0"/>
    <x v="2"/>
    <x v="1"/>
    <x v="1"/>
    <x v="0"/>
    <x v="9"/>
    <x v="12"/>
    <x v="0"/>
    <x v="0"/>
    <x v="1"/>
    <x v="34"/>
    <x v="4"/>
    <x v="107"/>
    <x v="60"/>
    <x v="22"/>
    <x v="22"/>
    <x v="41"/>
    <x v="41"/>
    <x v="17"/>
    <x v="0"/>
    <x v="0"/>
    <x v="0"/>
    <x v="0"/>
    <x v="0"/>
    <x v="1"/>
    <x v="0"/>
    <x v="113"/>
    <x v="0"/>
    <x v="0"/>
    <x v="0"/>
    <x v="0"/>
    <x v="0"/>
    <x v="0"/>
    <x v="0"/>
  </r>
  <r>
    <x v="12"/>
    <x v="19"/>
    <x v="12"/>
    <x v="14"/>
    <x v="1"/>
    <x v="166"/>
    <x v="0"/>
    <x v="0"/>
    <x v="123"/>
    <x v="1"/>
    <x v="0"/>
    <x v="0"/>
    <x v="0"/>
    <x v="8"/>
    <x v="0"/>
    <x v="0"/>
    <x v="1"/>
    <x v="9"/>
    <x v="12"/>
    <x v="0"/>
    <x v="0"/>
    <x v="1"/>
    <x v="34"/>
    <x v="4"/>
    <x v="108"/>
    <x v="60"/>
    <x v="120"/>
    <x v="120"/>
    <x v="41"/>
    <x v="41"/>
    <x v="0"/>
    <x v="0"/>
    <x v="0"/>
    <x v="25"/>
    <x v="0"/>
    <x v="0"/>
    <x v="1"/>
    <x v="0"/>
    <x v="114"/>
    <x v="0"/>
    <x v="0"/>
    <x v="0"/>
    <x v="0"/>
    <x v="0"/>
    <x v="0"/>
    <x v="0"/>
  </r>
  <r>
    <x v="12"/>
    <x v="19"/>
    <x v="12"/>
    <x v="14"/>
    <x v="4"/>
    <x v="166"/>
    <x v="0"/>
    <x v="0"/>
    <x v="123"/>
    <x v="1"/>
    <x v="0"/>
    <x v="0"/>
    <x v="0"/>
    <x v="8"/>
    <x v="0"/>
    <x v="0"/>
    <x v="1"/>
    <x v="9"/>
    <x v="12"/>
    <x v="0"/>
    <x v="0"/>
    <x v="1"/>
    <x v="18"/>
    <x v="4"/>
    <x v="109"/>
    <x v="60"/>
    <x v="120"/>
    <x v="120"/>
    <x v="41"/>
    <x v="41"/>
    <x v="0"/>
    <x v="0"/>
    <x v="0"/>
    <x v="25"/>
    <x v="0"/>
    <x v="0"/>
    <x v="1"/>
    <x v="0"/>
    <x v="114"/>
    <x v="0"/>
    <x v="0"/>
    <x v="0"/>
    <x v="0"/>
    <x v="2"/>
    <x v="0"/>
    <x v="0"/>
  </r>
  <r>
    <x v="12"/>
    <x v="4"/>
    <x v="12"/>
    <x v="8"/>
    <x v="3"/>
    <x v="166"/>
    <x v="1"/>
    <x v="0"/>
    <x v="123"/>
    <x v="1"/>
    <x v="0"/>
    <x v="0"/>
    <x v="0"/>
    <x v="8"/>
    <x v="0"/>
    <x v="1"/>
    <x v="0"/>
    <x v="7"/>
    <x v="7"/>
    <x v="8"/>
    <x v="11"/>
    <x v="1"/>
    <x v="34"/>
    <x v="4"/>
    <x v="110"/>
    <x v="60"/>
    <x v="120"/>
    <x v="120"/>
    <x v="87"/>
    <x v="145"/>
    <x v="0"/>
    <x v="0"/>
    <x v="2"/>
    <x v="0"/>
    <x v="0"/>
    <x v="0"/>
    <x v="1"/>
    <x v="11"/>
    <x v="115"/>
    <x v="1"/>
    <x v="0"/>
    <x v="0"/>
    <x v="0"/>
    <x v="0"/>
    <x v="0"/>
    <x v="0"/>
  </r>
  <r>
    <x v="12"/>
    <x v="19"/>
    <x v="12"/>
    <x v="14"/>
    <x v="3"/>
    <x v="170"/>
    <x v="0"/>
    <x v="0"/>
    <x v="23"/>
    <x v="0"/>
    <x v="10"/>
    <x v="17"/>
    <x v="0"/>
    <x v="2"/>
    <x v="1"/>
    <x v="1"/>
    <x v="0"/>
    <x v="9"/>
    <x v="12"/>
    <x v="0"/>
    <x v="0"/>
    <x v="1"/>
    <x v="34"/>
    <x v="4"/>
    <x v="111"/>
    <x v="60"/>
    <x v="22"/>
    <x v="22"/>
    <x v="41"/>
    <x v="41"/>
    <x v="17"/>
    <x v="0"/>
    <x v="0"/>
    <x v="0"/>
    <x v="0"/>
    <x v="0"/>
    <x v="1"/>
    <x v="0"/>
    <x v="116"/>
    <x v="0"/>
    <x v="0"/>
    <x v="0"/>
    <x v="0"/>
    <x v="0"/>
    <x v="0"/>
    <x v="0"/>
  </r>
  <r>
    <x v="12"/>
    <x v="19"/>
    <x v="12"/>
    <x v="14"/>
    <x v="1"/>
    <x v="169"/>
    <x v="0"/>
    <x v="0"/>
    <x v="123"/>
    <x v="1"/>
    <x v="0"/>
    <x v="0"/>
    <x v="0"/>
    <x v="8"/>
    <x v="0"/>
    <x v="0"/>
    <x v="1"/>
    <x v="9"/>
    <x v="12"/>
    <x v="0"/>
    <x v="0"/>
    <x v="1"/>
    <x v="34"/>
    <x v="4"/>
    <x v="112"/>
    <x v="60"/>
    <x v="120"/>
    <x v="120"/>
    <x v="41"/>
    <x v="41"/>
    <x v="0"/>
    <x v="0"/>
    <x v="0"/>
    <x v="25"/>
    <x v="0"/>
    <x v="0"/>
    <x v="1"/>
    <x v="0"/>
    <x v="117"/>
    <x v="0"/>
    <x v="0"/>
    <x v="0"/>
    <x v="0"/>
    <x v="0"/>
    <x v="0"/>
    <x v="0"/>
  </r>
  <r>
    <x v="12"/>
    <x v="19"/>
    <x v="12"/>
    <x v="14"/>
    <x v="4"/>
    <x v="169"/>
    <x v="0"/>
    <x v="0"/>
    <x v="123"/>
    <x v="1"/>
    <x v="0"/>
    <x v="0"/>
    <x v="0"/>
    <x v="8"/>
    <x v="0"/>
    <x v="0"/>
    <x v="1"/>
    <x v="9"/>
    <x v="12"/>
    <x v="0"/>
    <x v="0"/>
    <x v="1"/>
    <x v="18"/>
    <x v="4"/>
    <x v="112"/>
    <x v="60"/>
    <x v="120"/>
    <x v="120"/>
    <x v="41"/>
    <x v="41"/>
    <x v="0"/>
    <x v="0"/>
    <x v="0"/>
    <x v="25"/>
    <x v="0"/>
    <x v="0"/>
    <x v="1"/>
    <x v="0"/>
    <x v="117"/>
    <x v="0"/>
    <x v="0"/>
    <x v="0"/>
    <x v="0"/>
    <x v="2"/>
    <x v="0"/>
    <x v="0"/>
  </r>
  <r>
    <x v="12"/>
    <x v="4"/>
    <x v="12"/>
    <x v="8"/>
    <x v="3"/>
    <x v="169"/>
    <x v="1"/>
    <x v="0"/>
    <x v="123"/>
    <x v="1"/>
    <x v="0"/>
    <x v="0"/>
    <x v="0"/>
    <x v="8"/>
    <x v="0"/>
    <x v="1"/>
    <x v="0"/>
    <x v="5"/>
    <x v="8"/>
    <x v="17"/>
    <x v="1"/>
    <x v="1"/>
    <x v="34"/>
    <x v="4"/>
    <x v="113"/>
    <x v="60"/>
    <x v="120"/>
    <x v="120"/>
    <x v="87"/>
    <x v="145"/>
    <x v="0"/>
    <x v="0"/>
    <x v="2"/>
    <x v="0"/>
    <x v="0"/>
    <x v="0"/>
    <x v="1"/>
    <x v="1"/>
    <x v="118"/>
    <x v="1"/>
    <x v="0"/>
    <x v="0"/>
    <x v="0"/>
    <x v="0"/>
    <x v="0"/>
    <x v="0"/>
  </r>
  <r>
    <x v="12"/>
    <x v="19"/>
    <x v="12"/>
    <x v="14"/>
    <x v="3"/>
    <x v="173"/>
    <x v="0"/>
    <x v="0"/>
    <x v="23"/>
    <x v="0"/>
    <x v="10"/>
    <x v="17"/>
    <x v="0"/>
    <x v="2"/>
    <x v="1"/>
    <x v="1"/>
    <x v="0"/>
    <x v="9"/>
    <x v="12"/>
    <x v="0"/>
    <x v="0"/>
    <x v="1"/>
    <x v="34"/>
    <x v="4"/>
    <x v="114"/>
    <x v="60"/>
    <x v="22"/>
    <x v="22"/>
    <x v="41"/>
    <x v="41"/>
    <x v="17"/>
    <x v="0"/>
    <x v="0"/>
    <x v="0"/>
    <x v="0"/>
    <x v="0"/>
    <x v="1"/>
    <x v="0"/>
    <x v="119"/>
    <x v="0"/>
    <x v="0"/>
    <x v="0"/>
    <x v="0"/>
    <x v="0"/>
    <x v="0"/>
    <x v="0"/>
  </r>
  <r>
    <x v="12"/>
    <x v="19"/>
    <x v="12"/>
    <x v="14"/>
    <x v="1"/>
    <x v="172"/>
    <x v="0"/>
    <x v="0"/>
    <x v="123"/>
    <x v="1"/>
    <x v="0"/>
    <x v="0"/>
    <x v="0"/>
    <x v="8"/>
    <x v="0"/>
    <x v="0"/>
    <x v="1"/>
    <x v="9"/>
    <x v="12"/>
    <x v="0"/>
    <x v="0"/>
    <x v="1"/>
    <x v="34"/>
    <x v="4"/>
    <x v="115"/>
    <x v="60"/>
    <x v="120"/>
    <x v="120"/>
    <x v="41"/>
    <x v="41"/>
    <x v="0"/>
    <x v="0"/>
    <x v="0"/>
    <x v="25"/>
    <x v="0"/>
    <x v="0"/>
    <x v="1"/>
    <x v="0"/>
    <x v="120"/>
    <x v="0"/>
    <x v="0"/>
    <x v="0"/>
    <x v="0"/>
    <x v="0"/>
    <x v="0"/>
    <x v="0"/>
  </r>
  <r>
    <x v="12"/>
    <x v="19"/>
    <x v="12"/>
    <x v="14"/>
    <x v="4"/>
    <x v="172"/>
    <x v="0"/>
    <x v="0"/>
    <x v="123"/>
    <x v="1"/>
    <x v="0"/>
    <x v="0"/>
    <x v="0"/>
    <x v="8"/>
    <x v="0"/>
    <x v="0"/>
    <x v="1"/>
    <x v="9"/>
    <x v="12"/>
    <x v="0"/>
    <x v="0"/>
    <x v="1"/>
    <x v="18"/>
    <x v="4"/>
    <x v="115"/>
    <x v="60"/>
    <x v="120"/>
    <x v="120"/>
    <x v="41"/>
    <x v="41"/>
    <x v="0"/>
    <x v="0"/>
    <x v="0"/>
    <x v="25"/>
    <x v="0"/>
    <x v="0"/>
    <x v="1"/>
    <x v="0"/>
    <x v="120"/>
    <x v="0"/>
    <x v="0"/>
    <x v="0"/>
    <x v="0"/>
    <x v="2"/>
    <x v="0"/>
    <x v="0"/>
  </r>
  <r>
    <x v="12"/>
    <x v="4"/>
    <x v="12"/>
    <x v="8"/>
    <x v="3"/>
    <x v="172"/>
    <x v="1"/>
    <x v="0"/>
    <x v="123"/>
    <x v="1"/>
    <x v="0"/>
    <x v="0"/>
    <x v="0"/>
    <x v="8"/>
    <x v="0"/>
    <x v="1"/>
    <x v="0"/>
    <x v="2"/>
    <x v="9"/>
    <x v="8"/>
    <x v="17"/>
    <x v="1"/>
    <x v="33"/>
    <x v="4"/>
    <x v="116"/>
    <x v="60"/>
    <x v="120"/>
    <x v="120"/>
    <x v="87"/>
    <x v="145"/>
    <x v="0"/>
    <x v="0"/>
    <x v="2"/>
    <x v="0"/>
    <x v="0"/>
    <x v="0"/>
    <x v="1"/>
    <x v="17"/>
    <x v="121"/>
    <x v="1"/>
    <x v="0"/>
    <x v="0"/>
    <x v="0"/>
    <x v="0"/>
    <x v="0"/>
    <x v="0"/>
  </r>
  <r>
    <x v="12"/>
    <x v="19"/>
    <x v="12"/>
    <x v="14"/>
    <x v="3"/>
    <x v="176"/>
    <x v="0"/>
    <x v="0"/>
    <x v="23"/>
    <x v="0"/>
    <x v="10"/>
    <x v="17"/>
    <x v="0"/>
    <x v="2"/>
    <x v="1"/>
    <x v="1"/>
    <x v="0"/>
    <x v="9"/>
    <x v="12"/>
    <x v="0"/>
    <x v="0"/>
    <x v="1"/>
    <x v="34"/>
    <x v="4"/>
    <x v="117"/>
    <x v="60"/>
    <x v="22"/>
    <x v="22"/>
    <x v="41"/>
    <x v="41"/>
    <x v="17"/>
    <x v="0"/>
    <x v="0"/>
    <x v="0"/>
    <x v="0"/>
    <x v="0"/>
    <x v="1"/>
    <x v="0"/>
    <x v="122"/>
    <x v="0"/>
    <x v="0"/>
    <x v="0"/>
    <x v="0"/>
    <x v="0"/>
    <x v="0"/>
    <x v="0"/>
  </r>
  <r>
    <x v="12"/>
    <x v="19"/>
    <x v="12"/>
    <x v="14"/>
    <x v="1"/>
    <x v="175"/>
    <x v="0"/>
    <x v="0"/>
    <x v="123"/>
    <x v="1"/>
    <x v="0"/>
    <x v="0"/>
    <x v="0"/>
    <x v="8"/>
    <x v="0"/>
    <x v="0"/>
    <x v="1"/>
    <x v="9"/>
    <x v="12"/>
    <x v="0"/>
    <x v="0"/>
    <x v="1"/>
    <x v="34"/>
    <x v="4"/>
    <x v="118"/>
    <x v="60"/>
    <x v="120"/>
    <x v="120"/>
    <x v="41"/>
    <x v="41"/>
    <x v="0"/>
    <x v="0"/>
    <x v="0"/>
    <x v="25"/>
    <x v="0"/>
    <x v="0"/>
    <x v="1"/>
    <x v="0"/>
    <x v="123"/>
    <x v="0"/>
    <x v="0"/>
    <x v="0"/>
    <x v="0"/>
    <x v="0"/>
    <x v="0"/>
    <x v="0"/>
  </r>
  <r>
    <x v="12"/>
    <x v="19"/>
    <x v="12"/>
    <x v="14"/>
    <x v="4"/>
    <x v="175"/>
    <x v="0"/>
    <x v="0"/>
    <x v="123"/>
    <x v="1"/>
    <x v="0"/>
    <x v="0"/>
    <x v="0"/>
    <x v="8"/>
    <x v="0"/>
    <x v="0"/>
    <x v="1"/>
    <x v="9"/>
    <x v="12"/>
    <x v="0"/>
    <x v="0"/>
    <x v="1"/>
    <x v="18"/>
    <x v="4"/>
    <x v="118"/>
    <x v="60"/>
    <x v="120"/>
    <x v="120"/>
    <x v="41"/>
    <x v="41"/>
    <x v="0"/>
    <x v="0"/>
    <x v="0"/>
    <x v="25"/>
    <x v="0"/>
    <x v="0"/>
    <x v="1"/>
    <x v="0"/>
    <x v="123"/>
    <x v="0"/>
    <x v="0"/>
    <x v="0"/>
    <x v="0"/>
    <x v="2"/>
    <x v="0"/>
    <x v="0"/>
  </r>
  <r>
    <x v="12"/>
    <x v="4"/>
    <x v="12"/>
    <x v="8"/>
    <x v="3"/>
    <x v="175"/>
    <x v="1"/>
    <x v="0"/>
    <x v="123"/>
    <x v="1"/>
    <x v="0"/>
    <x v="0"/>
    <x v="0"/>
    <x v="8"/>
    <x v="0"/>
    <x v="1"/>
    <x v="0"/>
    <x v="2"/>
    <x v="9"/>
    <x v="8"/>
    <x v="17"/>
    <x v="1"/>
    <x v="34"/>
    <x v="4"/>
    <x v="119"/>
    <x v="60"/>
    <x v="120"/>
    <x v="120"/>
    <x v="87"/>
    <x v="145"/>
    <x v="0"/>
    <x v="0"/>
    <x v="2"/>
    <x v="0"/>
    <x v="0"/>
    <x v="0"/>
    <x v="1"/>
    <x v="17"/>
    <x v="124"/>
    <x v="1"/>
    <x v="0"/>
    <x v="0"/>
    <x v="0"/>
    <x v="0"/>
    <x v="0"/>
    <x v="0"/>
  </r>
  <r>
    <x v="12"/>
    <x v="19"/>
    <x v="12"/>
    <x v="5"/>
    <x v="3"/>
    <x v="143"/>
    <x v="1"/>
    <x v="1"/>
    <x v="10"/>
    <x v="0"/>
    <x v="11"/>
    <x v="30"/>
    <x v="0"/>
    <x v="2"/>
    <x v="1"/>
    <x v="1"/>
    <x v="0"/>
    <x v="9"/>
    <x v="12"/>
    <x v="0"/>
    <x v="0"/>
    <x v="1"/>
    <x v="48"/>
    <x v="4"/>
    <x v="120"/>
    <x v="25"/>
    <x v="10"/>
    <x v="10"/>
    <x v="59"/>
    <x v="52"/>
    <x v="30"/>
    <x v="0"/>
    <x v="0"/>
    <x v="0"/>
    <x v="0"/>
    <x v="0"/>
    <x v="1"/>
    <x v="0"/>
    <x v="125"/>
    <x v="0"/>
    <x v="0"/>
    <x v="0"/>
    <x v="0"/>
    <x v="0"/>
    <x v="0"/>
    <x v="0"/>
  </r>
  <r>
    <x v="13"/>
    <x v="19"/>
    <x v="13"/>
    <x v="5"/>
    <x v="3"/>
    <x v="146"/>
    <x v="1"/>
    <x v="1"/>
    <x v="9"/>
    <x v="0"/>
    <x v="11"/>
    <x v="29"/>
    <x v="0"/>
    <x v="2"/>
    <x v="1"/>
    <x v="1"/>
    <x v="0"/>
    <x v="9"/>
    <x v="12"/>
    <x v="0"/>
    <x v="0"/>
    <x v="1"/>
    <x v="47"/>
    <x v="4"/>
    <x v="121"/>
    <x v="22"/>
    <x v="9"/>
    <x v="9"/>
    <x v="58"/>
    <x v="51"/>
    <x v="29"/>
    <x v="0"/>
    <x v="0"/>
    <x v="0"/>
    <x v="0"/>
    <x v="0"/>
    <x v="1"/>
    <x v="0"/>
    <x v="126"/>
    <x v="0"/>
    <x v="0"/>
    <x v="0"/>
    <x v="0"/>
    <x v="0"/>
    <x v="0"/>
    <x v="0"/>
  </r>
  <r>
    <x v="13"/>
    <x v="19"/>
    <x v="13"/>
    <x v="5"/>
    <x v="3"/>
    <x v="148"/>
    <x v="1"/>
    <x v="1"/>
    <x v="7"/>
    <x v="0"/>
    <x v="11"/>
    <x v="27"/>
    <x v="0"/>
    <x v="2"/>
    <x v="1"/>
    <x v="1"/>
    <x v="0"/>
    <x v="9"/>
    <x v="12"/>
    <x v="0"/>
    <x v="0"/>
    <x v="1"/>
    <x v="47"/>
    <x v="4"/>
    <x v="122"/>
    <x v="18"/>
    <x v="7"/>
    <x v="7"/>
    <x v="56"/>
    <x v="49"/>
    <x v="27"/>
    <x v="0"/>
    <x v="0"/>
    <x v="0"/>
    <x v="0"/>
    <x v="0"/>
    <x v="1"/>
    <x v="0"/>
    <x v="127"/>
    <x v="0"/>
    <x v="0"/>
    <x v="0"/>
    <x v="0"/>
    <x v="0"/>
    <x v="0"/>
    <x v="0"/>
  </r>
  <r>
    <x v="13"/>
    <x v="19"/>
    <x v="13"/>
    <x v="5"/>
    <x v="3"/>
    <x v="153"/>
    <x v="1"/>
    <x v="1"/>
    <x v="68"/>
    <x v="0"/>
    <x v="11"/>
    <x v="68"/>
    <x v="0"/>
    <x v="2"/>
    <x v="1"/>
    <x v="1"/>
    <x v="0"/>
    <x v="9"/>
    <x v="12"/>
    <x v="0"/>
    <x v="0"/>
    <x v="1"/>
    <x v="47"/>
    <x v="4"/>
    <x v="123"/>
    <x v="105"/>
    <x v="53"/>
    <x v="53"/>
    <x v="129"/>
    <x v="92"/>
    <x v="68"/>
    <x v="0"/>
    <x v="0"/>
    <x v="0"/>
    <x v="0"/>
    <x v="0"/>
    <x v="1"/>
    <x v="0"/>
    <x v="128"/>
    <x v="0"/>
    <x v="0"/>
    <x v="0"/>
    <x v="0"/>
    <x v="0"/>
    <x v="0"/>
    <x v="0"/>
  </r>
  <r>
    <x v="13"/>
    <x v="19"/>
    <x v="13"/>
    <x v="5"/>
    <x v="3"/>
    <x v="155"/>
    <x v="1"/>
    <x v="1"/>
    <x v="58"/>
    <x v="0"/>
    <x v="11"/>
    <x v="51"/>
    <x v="0"/>
    <x v="2"/>
    <x v="1"/>
    <x v="1"/>
    <x v="0"/>
    <x v="9"/>
    <x v="12"/>
    <x v="0"/>
    <x v="0"/>
    <x v="1"/>
    <x v="47"/>
    <x v="4"/>
    <x v="130"/>
    <x v="95"/>
    <x v="43"/>
    <x v="43"/>
    <x v="119"/>
    <x v="82"/>
    <x v="51"/>
    <x v="0"/>
    <x v="0"/>
    <x v="0"/>
    <x v="0"/>
    <x v="0"/>
    <x v="1"/>
    <x v="0"/>
    <x v="129"/>
    <x v="0"/>
    <x v="0"/>
    <x v="0"/>
    <x v="0"/>
    <x v="0"/>
    <x v="0"/>
    <x v="0"/>
  </r>
  <r>
    <x v="13"/>
    <x v="19"/>
    <x v="13"/>
    <x v="5"/>
    <x v="3"/>
    <x v="157"/>
    <x v="1"/>
    <x v="1"/>
    <x v="80"/>
    <x v="0"/>
    <x v="11"/>
    <x v="84"/>
    <x v="0"/>
    <x v="2"/>
    <x v="1"/>
    <x v="1"/>
    <x v="0"/>
    <x v="9"/>
    <x v="12"/>
    <x v="0"/>
    <x v="0"/>
    <x v="1"/>
    <x v="47"/>
    <x v="4"/>
    <x v="131"/>
    <x v="116"/>
    <x v="65"/>
    <x v="65"/>
    <x v="140"/>
    <x v="104"/>
    <x v="84"/>
    <x v="0"/>
    <x v="0"/>
    <x v="0"/>
    <x v="0"/>
    <x v="0"/>
    <x v="1"/>
    <x v="0"/>
    <x v="130"/>
    <x v="0"/>
    <x v="0"/>
    <x v="0"/>
    <x v="0"/>
    <x v="0"/>
    <x v="0"/>
    <x v="0"/>
  </r>
  <r>
    <x v="13"/>
    <x v="19"/>
    <x v="13"/>
    <x v="2"/>
    <x v="3"/>
    <x v="181"/>
    <x v="1"/>
    <x v="1"/>
    <x v="122"/>
    <x v="1"/>
    <x v="2"/>
    <x v="23"/>
    <x v="0"/>
    <x v="3"/>
    <x v="0"/>
    <x v="1"/>
    <x v="0"/>
    <x v="9"/>
    <x v="12"/>
    <x v="0"/>
    <x v="0"/>
    <x v="1"/>
    <x v="33"/>
    <x v="4"/>
    <x v="145"/>
    <x v="59"/>
    <x v="119"/>
    <x v="119"/>
    <x v="86"/>
    <x v="144"/>
    <x v="23"/>
    <x v="0"/>
    <x v="0"/>
    <x v="0"/>
    <x v="0"/>
    <x v="0"/>
    <x v="1"/>
    <x v="0"/>
    <x v="131"/>
    <x v="0"/>
    <x v="0"/>
    <x v="0"/>
    <x v="0"/>
    <x v="0"/>
    <x v="0"/>
    <x v="0"/>
  </r>
  <r>
    <x v="13"/>
    <x v="19"/>
    <x v="13"/>
    <x v="8"/>
    <x v="1"/>
    <x v="181"/>
    <x v="1"/>
    <x v="1"/>
    <x v="122"/>
    <x v="1"/>
    <x v="0"/>
    <x v="0"/>
    <x v="0"/>
    <x v="7"/>
    <x v="0"/>
    <x v="0"/>
    <x v="1"/>
    <x v="9"/>
    <x v="12"/>
    <x v="0"/>
    <x v="0"/>
    <x v="1"/>
    <x v="34"/>
    <x v="4"/>
    <x v="146"/>
    <x v="59"/>
    <x v="119"/>
    <x v="119"/>
    <x v="86"/>
    <x v="144"/>
    <x v="0"/>
    <x v="0"/>
    <x v="0"/>
    <x v="24"/>
    <x v="0"/>
    <x v="0"/>
    <x v="1"/>
    <x v="0"/>
    <x v="132"/>
    <x v="0"/>
    <x v="0"/>
    <x v="0"/>
    <x v="0"/>
    <x v="0"/>
    <x v="0"/>
    <x v="0"/>
  </r>
  <r>
    <x v="13"/>
    <x v="19"/>
    <x v="13"/>
    <x v="8"/>
    <x v="4"/>
    <x v="181"/>
    <x v="1"/>
    <x v="1"/>
    <x v="122"/>
    <x v="1"/>
    <x v="0"/>
    <x v="0"/>
    <x v="0"/>
    <x v="7"/>
    <x v="0"/>
    <x v="0"/>
    <x v="1"/>
    <x v="9"/>
    <x v="12"/>
    <x v="0"/>
    <x v="0"/>
    <x v="1"/>
    <x v="18"/>
    <x v="4"/>
    <x v="146"/>
    <x v="59"/>
    <x v="119"/>
    <x v="119"/>
    <x v="15"/>
    <x v="15"/>
    <x v="0"/>
    <x v="0"/>
    <x v="0"/>
    <x v="24"/>
    <x v="0"/>
    <x v="0"/>
    <x v="1"/>
    <x v="0"/>
    <x v="132"/>
    <x v="0"/>
    <x v="0"/>
    <x v="0"/>
    <x v="0"/>
    <x v="2"/>
    <x v="0"/>
    <x v="0"/>
  </r>
  <r>
    <x v="13"/>
    <x v="15"/>
    <x v="13"/>
    <x v="8"/>
    <x v="3"/>
    <x v="181"/>
    <x v="1"/>
    <x v="1"/>
    <x v="122"/>
    <x v="1"/>
    <x v="0"/>
    <x v="0"/>
    <x v="0"/>
    <x v="7"/>
    <x v="0"/>
    <x v="1"/>
    <x v="0"/>
    <x v="5"/>
    <x v="8"/>
    <x v="10"/>
    <x v="15"/>
    <x v="1"/>
    <x v="34"/>
    <x v="4"/>
    <x v="147"/>
    <x v="59"/>
    <x v="119"/>
    <x v="119"/>
    <x v="86"/>
    <x v="144"/>
    <x v="0"/>
    <x v="0"/>
    <x v="2"/>
    <x v="0"/>
    <x v="0"/>
    <x v="0"/>
    <x v="1"/>
    <x v="15"/>
    <x v="133"/>
    <x v="1"/>
    <x v="0"/>
    <x v="0"/>
    <x v="0"/>
    <x v="0"/>
    <x v="0"/>
    <x v="0"/>
  </r>
  <r>
    <x v="14"/>
    <x v="19"/>
    <x v="14"/>
    <x v="5"/>
    <x v="3"/>
    <x v="159"/>
    <x v="1"/>
    <x v="1"/>
    <x v="8"/>
    <x v="0"/>
    <x v="11"/>
    <x v="28"/>
    <x v="0"/>
    <x v="2"/>
    <x v="1"/>
    <x v="1"/>
    <x v="0"/>
    <x v="9"/>
    <x v="12"/>
    <x v="0"/>
    <x v="0"/>
    <x v="1"/>
    <x v="47"/>
    <x v="4"/>
    <x v="124"/>
    <x v="19"/>
    <x v="8"/>
    <x v="8"/>
    <x v="57"/>
    <x v="50"/>
    <x v="28"/>
    <x v="0"/>
    <x v="0"/>
    <x v="0"/>
    <x v="0"/>
    <x v="0"/>
    <x v="1"/>
    <x v="0"/>
    <x v="134"/>
    <x v="0"/>
    <x v="0"/>
    <x v="0"/>
    <x v="0"/>
    <x v="0"/>
    <x v="0"/>
    <x v="0"/>
  </r>
  <r>
    <x v="14"/>
    <x v="19"/>
    <x v="14"/>
    <x v="20"/>
    <x v="3"/>
    <x v="183"/>
    <x v="1"/>
    <x v="1"/>
    <x v="45"/>
    <x v="2"/>
    <x v="13"/>
    <x v="73"/>
    <x v="0"/>
    <x v="9"/>
    <x v="0"/>
    <x v="1"/>
    <x v="0"/>
    <x v="9"/>
    <x v="12"/>
    <x v="0"/>
    <x v="0"/>
    <x v="1"/>
    <x v="8"/>
    <x v="4"/>
    <x v="125"/>
    <x v="49"/>
    <x v="109"/>
    <x v="109"/>
    <x v="78"/>
    <x v="136"/>
    <x v="73"/>
    <x v="0"/>
    <x v="0"/>
    <x v="0"/>
    <x v="0"/>
    <x v="0"/>
    <x v="1"/>
    <x v="0"/>
    <x v="135"/>
    <x v="0"/>
    <x v="0"/>
    <x v="0"/>
    <x v="0"/>
    <x v="0"/>
    <x v="0"/>
    <x v="0"/>
  </r>
  <r>
    <x v="14"/>
    <x v="19"/>
    <x v="14"/>
    <x v="20"/>
    <x v="3"/>
    <x v="185"/>
    <x v="1"/>
    <x v="1"/>
    <x v="36"/>
    <x v="2"/>
    <x v="13"/>
    <x v="49"/>
    <x v="0"/>
    <x v="9"/>
    <x v="0"/>
    <x v="1"/>
    <x v="0"/>
    <x v="9"/>
    <x v="12"/>
    <x v="0"/>
    <x v="0"/>
    <x v="1"/>
    <x v="10"/>
    <x v="4"/>
    <x v="126"/>
    <x v="38"/>
    <x v="98"/>
    <x v="98"/>
    <x v="68"/>
    <x v="126"/>
    <x v="49"/>
    <x v="0"/>
    <x v="0"/>
    <x v="0"/>
    <x v="0"/>
    <x v="0"/>
    <x v="1"/>
    <x v="0"/>
    <x v="136"/>
    <x v="0"/>
    <x v="0"/>
    <x v="0"/>
    <x v="0"/>
    <x v="0"/>
    <x v="0"/>
    <x v="0"/>
  </r>
  <r>
    <x v="14"/>
    <x v="19"/>
    <x v="14"/>
    <x v="20"/>
    <x v="3"/>
    <x v="187"/>
    <x v="1"/>
    <x v="1"/>
    <x v="37"/>
    <x v="2"/>
    <x v="13"/>
    <x v="54"/>
    <x v="0"/>
    <x v="9"/>
    <x v="0"/>
    <x v="1"/>
    <x v="0"/>
    <x v="9"/>
    <x v="12"/>
    <x v="0"/>
    <x v="0"/>
    <x v="1"/>
    <x v="9"/>
    <x v="4"/>
    <x v="127"/>
    <x v="40"/>
    <x v="100"/>
    <x v="100"/>
    <x v="69"/>
    <x v="127"/>
    <x v="54"/>
    <x v="0"/>
    <x v="0"/>
    <x v="0"/>
    <x v="0"/>
    <x v="0"/>
    <x v="1"/>
    <x v="0"/>
    <x v="137"/>
    <x v="0"/>
    <x v="0"/>
    <x v="0"/>
    <x v="0"/>
    <x v="0"/>
    <x v="0"/>
    <x v="0"/>
  </r>
  <r>
    <x v="14"/>
    <x v="19"/>
    <x v="14"/>
    <x v="20"/>
    <x v="3"/>
    <x v="189"/>
    <x v="1"/>
    <x v="1"/>
    <x v="39"/>
    <x v="2"/>
    <x v="13"/>
    <x v="58"/>
    <x v="0"/>
    <x v="9"/>
    <x v="0"/>
    <x v="1"/>
    <x v="0"/>
    <x v="9"/>
    <x v="12"/>
    <x v="0"/>
    <x v="0"/>
    <x v="1"/>
    <x v="8"/>
    <x v="4"/>
    <x v="128"/>
    <x v="43"/>
    <x v="103"/>
    <x v="103"/>
    <x v="72"/>
    <x v="130"/>
    <x v="58"/>
    <x v="0"/>
    <x v="0"/>
    <x v="0"/>
    <x v="0"/>
    <x v="0"/>
    <x v="1"/>
    <x v="0"/>
    <x v="138"/>
    <x v="0"/>
    <x v="0"/>
    <x v="0"/>
    <x v="0"/>
    <x v="0"/>
    <x v="0"/>
    <x v="0"/>
  </r>
  <r>
    <x v="14"/>
    <x v="19"/>
    <x v="14"/>
    <x v="20"/>
    <x v="3"/>
    <x v="191"/>
    <x v="1"/>
    <x v="1"/>
    <x v="41"/>
    <x v="2"/>
    <x v="13"/>
    <x v="63"/>
    <x v="0"/>
    <x v="9"/>
    <x v="0"/>
    <x v="1"/>
    <x v="0"/>
    <x v="9"/>
    <x v="12"/>
    <x v="0"/>
    <x v="0"/>
    <x v="1"/>
    <x v="8"/>
    <x v="4"/>
    <x v="129"/>
    <x v="46"/>
    <x v="106"/>
    <x v="106"/>
    <x v="75"/>
    <x v="133"/>
    <x v="63"/>
    <x v="0"/>
    <x v="0"/>
    <x v="0"/>
    <x v="0"/>
    <x v="0"/>
    <x v="1"/>
    <x v="0"/>
    <x v="139"/>
    <x v="0"/>
    <x v="0"/>
    <x v="0"/>
    <x v="0"/>
    <x v="0"/>
    <x v="0"/>
    <x v="0"/>
  </r>
  <r>
    <x v="14"/>
    <x v="2"/>
    <x v="14"/>
    <x v="19"/>
    <x v="3"/>
    <x v="180"/>
    <x v="1"/>
    <x v="1"/>
    <x v="151"/>
    <x v="2"/>
    <x v="0"/>
    <x v="0"/>
    <x v="0"/>
    <x v="4"/>
    <x v="1"/>
    <x v="1"/>
    <x v="0"/>
    <x v="0"/>
    <x v="12"/>
    <x v="0"/>
    <x v="0"/>
    <x v="1"/>
    <x v="6"/>
    <x v="4"/>
    <x v="134"/>
    <x v="130"/>
    <x v="153"/>
    <x v="153"/>
    <x v="153"/>
    <x v="174"/>
    <x v="0"/>
    <x v="0"/>
    <x v="2"/>
    <x v="0"/>
    <x v="0"/>
    <x v="0"/>
    <x v="1"/>
    <x v="0"/>
    <x v="140"/>
    <x v="1"/>
    <x v="0"/>
    <x v="0"/>
    <x v="0"/>
    <x v="0"/>
    <x v="0"/>
    <x v="0"/>
  </r>
  <r>
    <x v="15"/>
    <x v="19"/>
    <x v="15"/>
    <x v="3"/>
    <x v="3"/>
    <x v="193"/>
    <x v="1"/>
    <x v="1"/>
    <x v="94"/>
    <x v="1"/>
    <x v="2"/>
    <x v="11"/>
    <x v="0"/>
    <x v="3"/>
    <x v="0"/>
    <x v="1"/>
    <x v="0"/>
    <x v="9"/>
    <x v="12"/>
    <x v="0"/>
    <x v="0"/>
    <x v="1"/>
    <x v="34"/>
    <x v="4"/>
    <x v="148"/>
    <x v="15"/>
    <x v="79"/>
    <x v="79"/>
    <x v="54"/>
    <x v="116"/>
    <x v="11"/>
    <x v="0"/>
    <x v="0"/>
    <x v="0"/>
    <x v="0"/>
    <x v="0"/>
    <x v="1"/>
    <x v="0"/>
    <x v="141"/>
    <x v="0"/>
    <x v="0"/>
    <x v="0"/>
    <x v="0"/>
    <x v="0"/>
    <x v="0"/>
    <x v="0"/>
  </r>
  <r>
    <x v="15"/>
    <x v="19"/>
    <x v="15"/>
    <x v="8"/>
    <x v="1"/>
    <x v="193"/>
    <x v="1"/>
    <x v="1"/>
    <x v="94"/>
    <x v="1"/>
    <x v="0"/>
    <x v="0"/>
    <x v="0"/>
    <x v="7"/>
    <x v="0"/>
    <x v="0"/>
    <x v="1"/>
    <x v="9"/>
    <x v="12"/>
    <x v="0"/>
    <x v="0"/>
    <x v="1"/>
    <x v="34"/>
    <x v="4"/>
    <x v="149"/>
    <x v="15"/>
    <x v="79"/>
    <x v="79"/>
    <x v="54"/>
    <x v="116"/>
    <x v="0"/>
    <x v="0"/>
    <x v="0"/>
    <x v="8"/>
    <x v="0"/>
    <x v="0"/>
    <x v="1"/>
    <x v="0"/>
    <x v="142"/>
    <x v="0"/>
    <x v="0"/>
    <x v="0"/>
    <x v="0"/>
    <x v="0"/>
    <x v="0"/>
    <x v="0"/>
  </r>
  <r>
    <x v="15"/>
    <x v="19"/>
    <x v="15"/>
    <x v="8"/>
    <x v="4"/>
    <x v="193"/>
    <x v="1"/>
    <x v="1"/>
    <x v="94"/>
    <x v="1"/>
    <x v="0"/>
    <x v="0"/>
    <x v="0"/>
    <x v="7"/>
    <x v="0"/>
    <x v="0"/>
    <x v="1"/>
    <x v="9"/>
    <x v="12"/>
    <x v="0"/>
    <x v="0"/>
    <x v="1"/>
    <x v="18"/>
    <x v="4"/>
    <x v="149"/>
    <x v="15"/>
    <x v="79"/>
    <x v="79"/>
    <x v="32"/>
    <x v="32"/>
    <x v="0"/>
    <x v="0"/>
    <x v="0"/>
    <x v="8"/>
    <x v="0"/>
    <x v="0"/>
    <x v="1"/>
    <x v="0"/>
    <x v="142"/>
    <x v="0"/>
    <x v="0"/>
    <x v="0"/>
    <x v="0"/>
    <x v="2"/>
    <x v="0"/>
    <x v="0"/>
  </r>
  <r>
    <x v="15"/>
    <x v="17"/>
    <x v="15"/>
    <x v="8"/>
    <x v="3"/>
    <x v="193"/>
    <x v="1"/>
    <x v="1"/>
    <x v="94"/>
    <x v="1"/>
    <x v="0"/>
    <x v="0"/>
    <x v="0"/>
    <x v="7"/>
    <x v="0"/>
    <x v="1"/>
    <x v="0"/>
    <x v="8"/>
    <x v="6"/>
    <x v="14"/>
    <x v="21"/>
    <x v="1"/>
    <x v="34"/>
    <x v="4"/>
    <x v="150"/>
    <x v="15"/>
    <x v="79"/>
    <x v="79"/>
    <x v="54"/>
    <x v="116"/>
    <x v="0"/>
    <x v="0"/>
    <x v="2"/>
    <x v="0"/>
    <x v="0"/>
    <x v="0"/>
    <x v="1"/>
    <x v="21"/>
    <x v="143"/>
    <x v="1"/>
    <x v="0"/>
    <x v="0"/>
    <x v="0"/>
    <x v="0"/>
    <x v="0"/>
    <x v="0"/>
  </r>
  <r>
    <x v="15"/>
    <x v="19"/>
    <x v="15"/>
    <x v="3"/>
    <x v="3"/>
    <x v="195"/>
    <x v="1"/>
    <x v="1"/>
    <x v="133"/>
    <x v="1"/>
    <x v="3"/>
    <x v="36"/>
    <x v="0"/>
    <x v="3"/>
    <x v="0"/>
    <x v="1"/>
    <x v="0"/>
    <x v="9"/>
    <x v="12"/>
    <x v="0"/>
    <x v="0"/>
    <x v="1"/>
    <x v="33"/>
    <x v="4"/>
    <x v="153"/>
    <x v="74"/>
    <x v="134"/>
    <x v="134"/>
    <x v="101"/>
    <x v="159"/>
    <x v="36"/>
    <x v="0"/>
    <x v="0"/>
    <x v="0"/>
    <x v="0"/>
    <x v="0"/>
    <x v="1"/>
    <x v="0"/>
    <x v="144"/>
    <x v="0"/>
    <x v="0"/>
    <x v="0"/>
    <x v="0"/>
    <x v="0"/>
    <x v="0"/>
    <x v="0"/>
  </r>
  <r>
    <x v="15"/>
    <x v="19"/>
    <x v="15"/>
    <x v="8"/>
    <x v="1"/>
    <x v="195"/>
    <x v="1"/>
    <x v="1"/>
    <x v="133"/>
    <x v="1"/>
    <x v="0"/>
    <x v="0"/>
    <x v="0"/>
    <x v="7"/>
    <x v="0"/>
    <x v="0"/>
    <x v="1"/>
    <x v="9"/>
    <x v="12"/>
    <x v="0"/>
    <x v="0"/>
    <x v="1"/>
    <x v="33"/>
    <x v="4"/>
    <x v="154"/>
    <x v="74"/>
    <x v="134"/>
    <x v="134"/>
    <x v="101"/>
    <x v="159"/>
    <x v="0"/>
    <x v="0"/>
    <x v="0"/>
    <x v="35"/>
    <x v="0"/>
    <x v="0"/>
    <x v="1"/>
    <x v="0"/>
    <x v="145"/>
    <x v="0"/>
    <x v="0"/>
    <x v="0"/>
    <x v="0"/>
    <x v="0"/>
    <x v="0"/>
    <x v="0"/>
  </r>
  <r>
    <x v="15"/>
    <x v="19"/>
    <x v="15"/>
    <x v="8"/>
    <x v="4"/>
    <x v="195"/>
    <x v="1"/>
    <x v="1"/>
    <x v="133"/>
    <x v="1"/>
    <x v="0"/>
    <x v="0"/>
    <x v="0"/>
    <x v="7"/>
    <x v="0"/>
    <x v="0"/>
    <x v="1"/>
    <x v="9"/>
    <x v="12"/>
    <x v="0"/>
    <x v="0"/>
    <x v="1"/>
    <x v="18"/>
    <x v="4"/>
    <x v="154"/>
    <x v="74"/>
    <x v="134"/>
    <x v="134"/>
    <x v="5"/>
    <x v="5"/>
    <x v="0"/>
    <x v="0"/>
    <x v="0"/>
    <x v="35"/>
    <x v="0"/>
    <x v="0"/>
    <x v="1"/>
    <x v="0"/>
    <x v="145"/>
    <x v="0"/>
    <x v="0"/>
    <x v="0"/>
    <x v="0"/>
    <x v="2"/>
    <x v="0"/>
    <x v="0"/>
  </r>
  <r>
    <x v="15"/>
    <x v="17"/>
    <x v="15"/>
    <x v="8"/>
    <x v="3"/>
    <x v="195"/>
    <x v="1"/>
    <x v="1"/>
    <x v="133"/>
    <x v="1"/>
    <x v="0"/>
    <x v="0"/>
    <x v="0"/>
    <x v="7"/>
    <x v="0"/>
    <x v="1"/>
    <x v="0"/>
    <x v="7"/>
    <x v="7"/>
    <x v="14"/>
    <x v="19"/>
    <x v="1"/>
    <x v="33"/>
    <x v="4"/>
    <x v="155"/>
    <x v="74"/>
    <x v="134"/>
    <x v="134"/>
    <x v="101"/>
    <x v="159"/>
    <x v="0"/>
    <x v="0"/>
    <x v="2"/>
    <x v="0"/>
    <x v="0"/>
    <x v="0"/>
    <x v="1"/>
    <x v="19"/>
    <x v="146"/>
    <x v="1"/>
    <x v="0"/>
    <x v="0"/>
    <x v="0"/>
    <x v="0"/>
    <x v="0"/>
    <x v="0"/>
  </r>
  <r>
    <x v="15"/>
    <x v="19"/>
    <x v="15"/>
    <x v="3"/>
    <x v="3"/>
    <x v="197"/>
    <x v="1"/>
    <x v="1"/>
    <x v="138"/>
    <x v="1"/>
    <x v="3"/>
    <x v="38"/>
    <x v="0"/>
    <x v="7"/>
    <x v="0"/>
    <x v="1"/>
    <x v="0"/>
    <x v="9"/>
    <x v="12"/>
    <x v="0"/>
    <x v="0"/>
    <x v="1"/>
    <x v="34"/>
    <x v="4"/>
    <x v="156"/>
    <x v="79"/>
    <x v="139"/>
    <x v="139"/>
    <x v="105"/>
    <x v="163"/>
    <x v="38"/>
    <x v="0"/>
    <x v="0"/>
    <x v="0"/>
    <x v="0"/>
    <x v="0"/>
    <x v="1"/>
    <x v="0"/>
    <x v="147"/>
    <x v="0"/>
    <x v="0"/>
    <x v="0"/>
    <x v="0"/>
    <x v="0"/>
    <x v="0"/>
    <x v="0"/>
  </r>
  <r>
    <x v="15"/>
    <x v="19"/>
    <x v="15"/>
    <x v="8"/>
    <x v="1"/>
    <x v="197"/>
    <x v="1"/>
    <x v="1"/>
    <x v="138"/>
    <x v="1"/>
    <x v="0"/>
    <x v="0"/>
    <x v="0"/>
    <x v="7"/>
    <x v="0"/>
    <x v="0"/>
    <x v="1"/>
    <x v="9"/>
    <x v="12"/>
    <x v="0"/>
    <x v="0"/>
    <x v="1"/>
    <x v="34"/>
    <x v="4"/>
    <x v="157"/>
    <x v="79"/>
    <x v="139"/>
    <x v="139"/>
    <x v="105"/>
    <x v="163"/>
    <x v="0"/>
    <x v="0"/>
    <x v="0"/>
    <x v="39"/>
    <x v="0"/>
    <x v="0"/>
    <x v="1"/>
    <x v="0"/>
    <x v="148"/>
    <x v="0"/>
    <x v="0"/>
    <x v="0"/>
    <x v="0"/>
    <x v="0"/>
    <x v="0"/>
    <x v="0"/>
  </r>
  <r>
    <x v="15"/>
    <x v="19"/>
    <x v="15"/>
    <x v="8"/>
    <x v="4"/>
    <x v="197"/>
    <x v="1"/>
    <x v="1"/>
    <x v="138"/>
    <x v="1"/>
    <x v="0"/>
    <x v="0"/>
    <x v="0"/>
    <x v="7"/>
    <x v="0"/>
    <x v="0"/>
    <x v="1"/>
    <x v="9"/>
    <x v="12"/>
    <x v="0"/>
    <x v="0"/>
    <x v="1"/>
    <x v="18"/>
    <x v="4"/>
    <x v="157"/>
    <x v="79"/>
    <x v="139"/>
    <x v="139"/>
    <x v="2"/>
    <x v="2"/>
    <x v="0"/>
    <x v="0"/>
    <x v="0"/>
    <x v="39"/>
    <x v="0"/>
    <x v="0"/>
    <x v="1"/>
    <x v="0"/>
    <x v="148"/>
    <x v="0"/>
    <x v="0"/>
    <x v="0"/>
    <x v="0"/>
    <x v="2"/>
    <x v="0"/>
    <x v="0"/>
  </r>
  <r>
    <x v="15"/>
    <x v="17"/>
    <x v="15"/>
    <x v="8"/>
    <x v="3"/>
    <x v="197"/>
    <x v="1"/>
    <x v="1"/>
    <x v="138"/>
    <x v="1"/>
    <x v="0"/>
    <x v="0"/>
    <x v="0"/>
    <x v="7"/>
    <x v="0"/>
    <x v="1"/>
    <x v="0"/>
    <x v="5"/>
    <x v="8"/>
    <x v="14"/>
    <x v="19"/>
    <x v="1"/>
    <x v="34"/>
    <x v="4"/>
    <x v="158"/>
    <x v="79"/>
    <x v="139"/>
    <x v="139"/>
    <x v="105"/>
    <x v="163"/>
    <x v="0"/>
    <x v="0"/>
    <x v="2"/>
    <x v="0"/>
    <x v="0"/>
    <x v="0"/>
    <x v="1"/>
    <x v="19"/>
    <x v="149"/>
    <x v="1"/>
    <x v="0"/>
    <x v="0"/>
    <x v="0"/>
    <x v="0"/>
    <x v="0"/>
    <x v="0"/>
  </r>
  <r>
    <x v="15"/>
    <x v="19"/>
    <x v="15"/>
    <x v="3"/>
    <x v="3"/>
    <x v="199"/>
    <x v="1"/>
    <x v="1"/>
    <x v="135"/>
    <x v="1"/>
    <x v="3"/>
    <x v="37"/>
    <x v="0"/>
    <x v="3"/>
    <x v="0"/>
    <x v="1"/>
    <x v="0"/>
    <x v="9"/>
    <x v="12"/>
    <x v="0"/>
    <x v="0"/>
    <x v="1"/>
    <x v="34"/>
    <x v="4"/>
    <x v="176"/>
    <x v="76"/>
    <x v="136"/>
    <x v="136"/>
    <x v="103"/>
    <x v="161"/>
    <x v="37"/>
    <x v="0"/>
    <x v="0"/>
    <x v="0"/>
    <x v="0"/>
    <x v="0"/>
    <x v="1"/>
    <x v="0"/>
    <x v="150"/>
    <x v="0"/>
    <x v="0"/>
    <x v="0"/>
    <x v="0"/>
    <x v="0"/>
    <x v="0"/>
    <x v="0"/>
  </r>
  <r>
    <x v="15"/>
    <x v="19"/>
    <x v="15"/>
    <x v="8"/>
    <x v="1"/>
    <x v="199"/>
    <x v="1"/>
    <x v="1"/>
    <x v="135"/>
    <x v="1"/>
    <x v="0"/>
    <x v="0"/>
    <x v="0"/>
    <x v="7"/>
    <x v="0"/>
    <x v="0"/>
    <x v="1"/>
    <x v="9"/>
    <x v="12"/>
    <x v="0"/>
    <x v="0"/>
    <x v="1"/>
    <x v="34"/>
    <x v="4"/>
    <x v="177"/>
    <x v="76"/>
    <x v="136"/>
    <x v="136"/>
    <x v="103"/>
    <x v="161"/>
    <x v="0"/>
    <x v="0"/>
    <x v="0"/>
    <x v="37"/>
    <x v="0"/>
    <x v="0"/>
    <x v="1"/>
    <x v="0"/>
    <x v="151"/>
    <x v="0"/>
    <x v="0"/>
    <x v="0"/>
    <x v="0"/>
    <x v="0"/>
    <x v="0"/>
    <x v="0"/>
  </r>
  <r>
    <x v="15"/>
    <x v="19"/>
    <x v="15"/>
    <x v="8"/>
    <x v="4"/>
    <x v="199"/>
    <x v="1"/>
    <x v="1"/>
    <x v="135"/>
    <x v="1"/>
    <x v="0"/>
    <x v="0"/>
    <x v="0"/>
    <x v="7"/>
    <x v="0"/>
    <x v="0"/>
    <x v="1"/>
    <x v="9"/>
    <x v="12"/>
    <x v="0"/>
    <x v="0"/>
    <x v="1"/>
    <x v="18"/>
    <x v="4"/>
    <x v="177"/>
    <x v="76"/>
    <x v="136"/>
    <x v="136"/>
    <x v="4"/>
    <x v="4"/>
    <x v="0"/>
    <x v="0"/>
    <x v="0"/>
    <x v="37"/>
    <x v="0"/>
    <x v="0"/>
    <x v="1"/>
    <x v="0"/>
    <x v="152"/>
    <x v="0"/>
    <x v="0"/>
    <x v="0"/>
    <x v="0"/>
    <x v="0"/>
    <x v="0"/>
    <x v="0"/>
  </r>
  <r>
    <x v="15"/>
    <x v="17"/>
    <x v="15"/>
    <x v="8"/>
    <x v="3"/>
    <x v="199"/>
    <x v="1"/>
    <x v="1"/>
    <x v="135"/>
    <x v="1"/>
    <x v="0"/>
    <x v="0"/>
    <x v="0"/>
    <x v="7"/>
    <x v="0"/>
    <x v="1"/>
    <x v="0"/>
    <x v="2"/>
    <x v="11"/>
    <x v="14"/>
    <x v="21"/>
    <x v="1"/>
    <x v="34"/>
    <x v="4"/>
    <x v="178"/>
    <x v="76"/>
    <x v="136"/>
    <x v="136"/>
    <x v="103"/>
    <x v="161"/>
    <x v="0"/>
    <x v="0"/>
    <x v="2"/>
    <x v="0"/>
    <x v="0"/>
    <x v="0"/>
    <x v="1"/>
    <x v="21"/>
    <x v="153"/>
    <x v="1"/>
    <x v="0"/>
    <x v="0"/>
    <x v="0"/>
    <x v="0"/>
    <x v="0"/>
    <x v="0"/>
  </r>
  <r>
    <x v="16"/>
    <x v="19"/>
    <x v="16"/>
    <x v="5"/>
    <x v="3"/>
    <x v="162"/>
    <x v="1"/>
    <x v="1"/>
    <x v="81"/>
    <x v="0"/>
    <x v="11"/>
    <x v="85"/>
    <x v="0"/>
    <x v="2"/>
    <x v="1"/>
    <x v="1"/>
    <x v="0"/>
    <x v="9"/>
    <x v="12"/>
    <x v="0"/>
    <x v="0"/>
    <x v="1"/>
    <x v="47"/>
    <x v="4"/>
    <x v="135"/>
    <x v="117"/>
    <x v="66"/>
    <x v="66"/>
    <x v="141"/>
    <x v="105"/>
    <x v="85"/>
    <x v="0"/>
    <x v="0"/>
    <x v="0"/>
    <x v="0"/>
    <x v="0"/>
    <x v="1"/>
    <x v="0"/>
    <x v="154"/>
    <x v="0"/>
    <x v="0"/>
    <x v="0"/>
    <x v="0"/>
    <x v="0"/>
    <x v="0"/>
    <x v="0"/>
  </r>
  <r>
    <x v="16"/>
    <x v="19"/>
    <x v="16"/>
    <x v="5"/>
    <x v="3"/>
    <x v="165"/>
    <x v="1"/>
    <x v="1"/>
    <x v="78"/>
    <x v="0"/>
    <x v="11"/>
    <x v="82"/>
    <x v="0"/>
    <x v="2"/>
    <x v="1"/>
    <x v="1"/>
    <x v="0"/>
    <x v="9"/>
    <x v="12"/>
    <x v="0"/>
    <x v="0"/>
    <x v="1"/>
    <x v="48"/>
    <x v="4"/>
    <x v="136"/>
    <x v="114"/>
    <x v="63"/>
    <x v="63"/>
    <x v="138"/>
    <x v="102"/>
    <x v="82"/>
    <x v="0"/>
    <x v="0"/>
    <x v="0"/>
    <x v="0"/>
    <x v="0"/>
    <x v="1"/>
    <x v="0"/>
    <x v="155"/>
    <x v="0"/>
    <x v="0"/>
    <x v="0"/>
    <x v="0"/>
    <x v="0"/>
    <x v="0"/>
    <x v="0"/>
  </r>
  <r>
    <x v="16"/>
    <x v="8"/>
    <x v="16"/>
    <x v="7"/>
    <x v="0"/>
    <x v="46"/>
    <x v="1"/>
    <x v="2"/>
    <x v="128"/>
    <x v="1"/>
    <x v="0"/>
    <x v="0"/>
    <x v="0"/>
    <x v="8"/>
    <x v="0"/>
    <x v="1"/>
    <x v="0"/>
    <x v="2"/>
    <x v="11"/>
    <x v="1"/>
    <x v="10"/>
    <x v="1"/>
    <x v="33"/>
    <x v="1"/>
    <x v="138"/>
    <x v="68"/>
    <x v="128"/>
    <x v="128"/>
    <x v="41"/>
    <x v="41"/>
    <x v="0"/>
    <x v="0"/>
    <x v="2"/>
    <x v="0"/>
    <x v="0"/>
    <x v="0"/>
    <x v="1"/>
    <x v="10"/>
    <x v="156"/>
    <x v="1"/>
    <x v="0"/>
    <x v="0"/>
    <x v="0"/>
    <x v="0"/>
    <x v="0"/>
    <x v="0"/>
  </r>
  <r>
    <x v="16"/>
    <x v="19"/>
    <x v="16"/>
    <x v="3"/>
    <x v="3"/>
    <x v="204"/>
    <x v="1"/>
    <x v="1"/>
    <x v="127"/>
    <x v="1"/>
    <x v="3"/>
    <x v="33"/>
    <x v="0"/>
    <x v="3"/>
    <x v="0"/>
    <x v="1"/>
    <x v="0"/>
    <x v="9"/>
    <x v="12"/>
    <x v="0"/>
    <x v="0"/>
    <x v="1"/>
    <x v="34"/>
    <x v="4"/>
    <x v="159"/>
    <x v="65"/>
    <x v="125"/>
    <x v="125"/>
    <x v="92"/>
    <x v="150"/>
    <x v="33"/>
    <x v="0"/>
    <x v="0"/>
    <x v="0"/>
    <x v="0"/>
    <x v="0"/>
    <x v="1"/>
    <x v="0"/>
    <x v="157"/>
    <x v="0"/>
    <x v="0"/>
    <x v="0"/>
    <x v="0"/>
    <x v="0"/>
    <x v="0"/>
    <x v="0"/>
  </r>
  <r>
    <x v="16"/>
    <x v="19"/>
    <x v="16"/>
    <x v="8"/>
    <x v="1"/>
    <x v="204"/>
    <x v="1"/>
    <x v="1"/>
    <x v="127"/>
    <x v="1"/>
    <x v="0"/>
    <x v="0"/>
    <x v="0"/>
    <x v="7"/>
    <x v="0"/>
    <x v="0"/>
    <x v="1"/>
    <x v="9"/>
    <x v="12"/>
    <x v="0"/>
    <x v="0"/>
    <x v="1"/>
    <x v="34"/>
    <x v="4"/>
    <x v="160"/>
    <x v="65"/>
    <x v="125"/>
    <x v="125"/>
    <x v="92"/>
    <x v="150"/>
    <x v="0"/>
    <x v="0"/>
    <x v="0"/>
    <x v="29"/>
    <x v="0"/>
    <x v="0"/>
    <x v="1"/>
    <x v="0"/>
    <x v="158"/>
    <x v="0"/>
    <x v="0"/>
    <x v="0"/>
    <x v="0"/>
    <x v="0"/>
    <x v="0"/>
    <x v="0"/>
  </r>
  <r>
    <x v="16"/>
    <x v="19"/>
    <x v="16"/>
    <x v="8"/>
    <x v="4"/>
    <x v="204"/>
    <x v="1"/>
    <x v="1"/>
    <x v="127"/>
    <x v="1"/>
    <x v="0"/>
    <x v="0"/>
    <x v="0"/>
    <x v="7"/>
    <x v="0"/>
    <x v="0"/>
    <x v="1"/>
    <x v="9"/>
    <x v="12"/>
    <x v="0"/>
    <x v="0"/>
    <x v="1"/>
    <x v="18"/>
    <x v="4"/>
    <x v="161"/>
    <x v="65"/>
    <x v="125"/>
    <x v="125"/>
    <x v="11"/>
    <x v="11"/>
    <x v="0"/>
    <x v="0"/>
    <x v="0"/>
    <x v="29"/>
    <x v="0"/>
    <x v="0"/>
    <x v="1"/>
    <x v="0"/>
    <x v="158"/>
    <x v="0"/>
    <x v="0"/>
    <x v="0"/>
    <x v="0"/>
    <x v="2"/>
    <x v="0"/>
    <x v="0"/>
  </r>
  <r>
    <x v="16"/>
    <x v="3"/>
    <x v="16"/>
    <x v="8"/>
    <x v="3"/>
    <x v="204"/>
    <x v="1"/>
    <x v="1"/>
    <x v="127"/>
    <x v="1"/>
    <x v="0"/>
    <x v="0"/>
    <x v="0"/>
    <x v="7"/>
    <x v="0"/>
    <x v="1"/>
    <x v="0"/>
    <x v="7"/>
    <x v="7"/>
    <x v="14"/>
    <x v="19"/>
    <x v="1"/>
    <x v="34"/>
    <x v="4"/>
    <x v="162"/>
    <x v="65"/>
    <x v="125"/>
    <x v="125"/>
    <x v="92"/>
    <x v="150"/>
    <x v="0"/>
    <x v="0"/>
    <x v="2"/>
    <x v="0"/>
    <x v="0"/>
    <x v="0"/>
    <x v="1"/>
    <x v="19"/>
    <x v="159"/>
    <x v="1"/>
    <x v="0"/>
    <x v="0"/>
    <x v="0"/>
    <x v="0"/>
    <x v="0"/>
    <x v="0"/>
  </r>
  <r>
    <x v="16"/>
    <x v="19"/>
    <x v="16"/>
    <x v="3"/>
    <x v="3"/>
    <x v="206"/>
    <x v="1"/>
    <x v="1"/>
    <x v="128"/>
    <x v="1"/>
    <x v="3"/>
    <x v="34"/>
    <x v="0"/>
    <x v="3"/>
    <x v="0"/>
    <x v="1"/>
    <x v="0"/>
    <x v="9"/>
    <x v="12"/>
    <x v="0"/>
    <x v="0"/>
    <x v="1"/>
    <x v="34"/>
    <x v="4"/>
    <x v="163"/>
    <x v="68"/>
    <x v="128"/>
    <x v="128"/>
    <x v="95"/>
    <x v="153"/>
    <x v="34"/>
    <x v="0"/>
    <x v="0"/>
    <x v="0"/>
    <x v="0"/>
    <x v="0"/>
    <x v="1"/>
    <x v="0"/>
    <x v="160"/>
    <x v="0"/>
    <x v="0"/>
    <x v="0"/>
    <x v="0"/>
    <x v="0"/>
    <x v="0"/>
    <x v="0"/>
  </r>
  <r>
    <x v="16"/>
    <x v="19"/>
    <x v="16"/>
    <x v="8"/>
    <x v="1"/>
    <x v="206"/>
    <x v="1"/>
    <x v="1"/>
    <x v="128"/>
    <x v="1"/>
    <x v="0"/>
    <x v="0"/>
    <x v="0"/>
    <x v="7"/>
    <x v="0"/>
    <x v="0"/>
    <x v="1"/>
    <x v="9"/>
    <x v="12"/>
    <x v="0"/>
    <x v="0"/>
    <x v="1"/>
    <x v="34"/>
    <x v="4"/>
    <x v="164"/>
    <x v="68"/>
    <x v="128"/>
    <x v="128"/>
    <x v="95"/>
    <x v="153"/>
    <x v="0"/>
    <x v="0"/>
    <x v="0"/>
    <x v="30"/>
    <x v="0"/>
    <x v="0"/>
    <x v="1"/>
    <x v="0"/>
    <x v="161"/>
    <x v="0"/>
    <x v="0"/>
    <x v="0"/>
    <x v="0"/>
    <x v="0"/>
    <x v="0"/>
    <x v="0"/>
  </r>
  <r>
    <x v="16"/>
    <x v="19"/>
    <x v="16"/>
    <x v="8"/>
    <x v="4"/>
    <x v="206"/>
    <x v="1"/>
    <x v="1"/>
    <x v="128"/>
    <x v="1"/>
    <x v="0"/>
    <x v="0"/>
    <x v="0"/>
    <x v="7"/>
    <x v="0"/>
    <x v="0"/>
    <x v="1"/>
    <x v="9"/>
    <x v="12"/>
    <x v="0"/>
    <x v="0"/>
    <x v="1"/>
    <x v="18"/>
    <x v="4"/>
    <x v="164"/>
    <x v="68"/>
    <x v="128"/>
    <x v="128"/>
    <x v="10"/>
    <x v="10"/>
    <x v="0"/>
    <x v="0"/>
    <x v="0"/>
    <x v="30"/>
    <x v="0"/>
    <x v="0"/>
    <x v="1"/>
    <x v="0"/>
    <x v="162"/>
    <x v="0"/>
    <x v="0"/>
    <x v="0"/>
    <x v="0"/>
    <x v="0"/>
    <x v="0"/>
    <x v="0"/>
  </r>
  <r>
    <x v="16"/>
    <x v="3"/>
    <x v="16"/>
    <x v="8"/>
    <x v="3"/>
    <x v="206"/>
    <x v="1"/>
    <x v="1"/>
    <x v="128"/>
    <x v="1"/>
    <x v="0"/>
    <x v="0"/>
    <x v="0"/>
    <x v="7"/>
    <x v="0"/>
    <x v="1"/>
    <x v="0"/>
    <x v="5"/>
    <x v="8"/>
    <x v="14"/>
    <x v="19"/>
    <x v="1"/>
    <x v="34"/>
    <x v="4"/>
    <x v="165"/>
    <x v="68"/>
    <x v="128"/>
    <x v="128"/>
    <x v="95"/>
    <x v="153"/>
    <x v="0"/>
    <x v="0"/>
    <x v="2"/>
    <x v="0"/>
    <x v="0"/>
    <x v="0"/>
    <x v="1"/>
    <x v="19"/>
    <x v="163"/>
    <x v="1"/>
    <x v="0"/>
    <x v="0"/>
    <x v="0"/>
    <x v="0"/>
    <x v="0"/>
    <x v="0"/>
  </r>
  <r>
    <x v="16"/>
    <x v="19"/>
    <x v="16"/>
    <x v="3"/>
    <x v="3"/>
    <x v="208"/>
    <x v="1"/>
    <x v="1"/>
    <x v="94"/>
    <x v="1"/>
    <x v="1"/>
    <x v="3"/>
    <x v="0"/>
    <x v="3"/>
    <x v="0"/>
    <x v="1"/>
    <x v="0"/>
    <x v="9"/>
    <x v="12"/>
    <x v="0"/>
    <x v="0"/>
    <x v="1"/>
    <x v="33"/>
    <x v="4"/>
    <x v="166"/>
    <x v="15"/>
    <x v="79"/>
    <x v="79"/>
    <x v="54"/>
    <x v="116"/>
    <x v="3"/>
    <x v="0"/>
    <x v="0"/>
    <x v="0"/>
    <x v="0"/>
    <x v="0"/>
    <x v="1"/>
    <x v="0"/>
    <x v="164"/>
    <x v="0"/>
    <x v="0"/>
    <x v="0"/>
    <x v="0"/>
    <x v="0"/>
    <x v="0"/>
    <x v="0"/>
  </r>
  <r>
    <x v="16"/>
    <x v="19"/>
    <x v="16"/>
    <x v="8"/>
    <x v="1"/>
    <x v="208"/>
    <x v="1"/>
    <x v="1"/>
    <x v="94"/>
    <x v="1"/>
    <x v="0"/>
    <x v="0"/>
    <x v="0"/>
    <x v="7"/>
    <x v="0"/>
    <x v="0"/>
    <x v="1"/>
    <x v="9"/>
    <x v="12"/>
    <x v="0"/>
    <x v="0"/>
    <x v="1"/>
    <x v="33"/>
    <x v="4"/>
    <x v="167"/>
    <x v="15"/>
    <x v="79"/>
    <x v="79"/>
    <x v="54"/>
    <x v="116"/>
    <x v="0"/>
    <x v="0"/>
    <x v="0"/>
    <x v="8"/>
    <x v="0"/>
    <x v="0"/>
    <x v="1"/>
    <x v="0"/>
    <x v="165"/>
    <x v="0"/>
    <x v="0"/>
    <x v="0"/>
    <x v="0"/>
    <x v="0"/>
    <x v="0"/>
    <x v="0"/>
  </r>
  <r>
    <x v="16"/>
    <x v="19"/>
    <x v="16"/>
    <x v="8"/>
    <x v="4"/>
    <x v="208"/>
    <x v="1"/>
    <x v="1"/>
    <x v="94"/>
    <x v="1"/>
    <x v="0"/>
    <x v="0"/>
    <x v="0"/>
    <x v="7"/>
    <x v="0"/>
    <x v="0"/>
    <x v="1"/>
    <x v="9"/>
    <x v="12"/>
    <x v="0"/>
    <x v="0"/>
    <x v="1"/>
    <x v="18"/>
    <x v="4"/>
    <x v="167"/>
    <x v="15"/>
    <x v="79"/>
    <x v="79"/>
    <x v="32"/>
    <x v="32"/>
    <x v="0"/>
    <x v="0"/>
    <x v="0"/>
    <x v="8"/>
    <x v="0"/>
    <x v="0"/>
    <x v="1"/>
    <x v="0"/>
    <x v="165"/>
    <x v="0"/>
    <x v="0"/>
    <x v="0"/>
    <x v="0"/>
    <x v="2"/>
    <x v="0"/>
    <x v="0"/>
  </r>
  <r>
    <x v="16"/>
    <x v="6"/>
    <x v="16"/>
    <x v="8"/>
    <x v="3"/>
    <x v="208"/>
    <x v="1"/>
    <x v="1"/>
    <x v="94"/>
    <x v="1"/>
    <x v="0"/>
    <x v="0"/>
    <x v="0"/>
    <x v="7"/>
    <x v="0"/>
    <x v="1"/>
    <x v="0"/>
    <x v="8"/>
    <x v="6"/>
    <x v="14"/>
    <x v="21"/>
    <x v="1"/>
    <x v="33"/>
    <x v="4"/>
    <x v="168"/>
    <x v="15"/>
    <x v="79"/>
    <x v="79"/>
    <x v="54"/>
    <x v="116"/>
    <x v="0"/>
    <x v="0"/>
    <x v="2"/>
    <x v="0"/>
    <x v="0"/>
    <x v="0"/>
    <x v="1"/>
    <x v="21"/>
    <x v="166"/>
    <x v="1"/>
    <x v="0"/>
    <x v="0"/>
    <x v="0"/>
    <x v="0"/>
    <x v="0"/>
    <x v="0"/>
  </r>
  <r>
    <x v="16"/>
    <x v="19"/>
    <x v="16"/>
    <x v="3"/>
    <x v="3"/>
    <x v="210"/>
    <x v="1"/>
    <x v="1"/>
    <x v="125"/>
    <x v="1"/>
    <x v="3"/>
    <x v="32"/>
    <x v="0"/>
    <x v="3"/>
    <x v="0"/>
    <x v="1"/>
    <x v="0"/>
    <x v="9"/>
    <x v="12"/>
    <x v="0"/>
    <x v="0"/>
    <x v="1"/>
    <x v="34"/>
    <x v="4"/>
    <x v="169"/>
    <x v="62"/>
    <x v="122"/>
    <x v="122"/>
    <x v="89"/>
    <x v="147"/>
    <x v="32"/>
    <x v="0"/>
    <x v="0"/>
    <x v="0"/>
    <x v="0"/>
    <x v="0"/>
    <x v="1"/>
    <x v="0"/>
    <x v="167"/>
    <x v="0"/>
    <x v="0"/>
    <x v="0"/>
    <x v="0"/>
    <x v="0"/>
    <x v="0"/>
    <x v="0"/>
  </r>
  <r>
    <x v="16"/>
    <x v="19"/>
    <x v="16"/>
    <x v="8"/>
    <x v="1"/>
    <x v="210"/>
    <x v="1"/>
    <x v="1"/>
    <x v="125"/>
    <x v="1"/>
    <x v="0"/>
    <x v="0"/>
    <x v="0"/>
    <x v="7"/>
    <x v="0"/>
    <x v="0"/>
    <x v="1"/>
    <x v="9"/>
    <x v="12"/>
    <x v="0"/>
    <x v="0"/>
    <x v="1"/>
    <x v="34"/>
    <x v="4"/>
    <x v="170"/>
    <x v="62"/>
    <x v="122"/>
    <x v="122"/>
    <x v="89"/>
    <x v="147"/>
    <x v="0"/>
    <x v="0"/>
    <x v="0"/>
    <x v="27"/>
    <x v="0"/>
    <x v="0"/>
    <x v="1"/>
    <x v="0"/>
    <x v="168"/>
    <x v="0"/>
    <x v="0"/>
    <x v="0"/>
    <x v="0"/>
    <x v="0"/>
    <x v="0"/>
    <x v="0"/>
  </r>
  <r>
    <x v="16"/>
    <x v="19"/>
    <x v="16"/>
    <x v="8"/>
    <x v="4"/>
    <x v="210"/>
    <x v="1"/>
    <x v="1"/>
    <x v="125"/>
    <x v="1"/>
    <x v="0"/>
    <x v="0"/>
    <x v="0"/>
    <x v="7"/>
    <x v="0"/>
    <x v="0"/>
    <x v="1"/>
    <x v="9"/>
    <x v="12"/>
    <x v="0"/>
    <x v="0"/>
    <x v="1"/>
    <x v="18"/>
    <x v="4"/>
    <x v="170"/>
    <x v="62"/>
    <x v="122"/>
    <x v="122"/>
    <x v="13"/>
    <x v="13"/>
    <x v="0"/>
    <x v="0"/>
    <x v="0"/>
    <x v="27"/>
    <x v="0"/>
    <x v="0"/>
    <x v="1"/>
    <x v="0"/>
    <x v="169"/>
    <x v="0"/>
    <x v="0"/>
    <x v="0"/>
    <x v="0"/>
    <x v="0"/>
    <x v="0"/>
    <x v="0"/>
  </r>
  <r>
    <x v="16"/>
    <x v="3"/>
    <x v="16"/>
    <x v="8"/>
    <x v="3"/>
    <x v="210"/>
    <x v="1"/>
    <x v="1"/>
    <x v="125"/>
    <x v="1"/>
    <x v="0"/>
    <x v="0"/>
    <x v="0"/>
    <x v="7"/>
    <x v="0"/>
    <x v="1"/>
    <x v="0"/>
    <x v="7"/>
    <x v="7"/>
    <x v="14"/>
    <x v="19"/>
    <x v="1"/>
    <x v="34"/>
    <x v="4"/>
    <x v="171"/>
    <x v="62"/>
    <x v="122"/>
    <x v="122"/>
    <x v="89"/>
    <x v="147"/>
    <x v="0"/>
    <x v="0"/>
    <x v="2"/>
    <x v="0"/>
    <x v="0"/>
    <x v="0"/>
    <x v="1"/>
    <x v="19"/>
    <x v="170"/>
    <x v="1"/>
    <x v="0"/>
    <x v="0"/>
    <x v="0"/>
    <x v="0"/>
    <x v="0"/>
    <x v="0"/>
  </r>
  <r>
    <x v="16"/>
    <x v="19"/>
    <x v="16"/>
    <x v="3"/>
    <x v="3"/>
    <x v="212"/>
    <x v="1"/>
    <x v="1"/>
    <x v="127"/>
    <x v="1"/>
    <x v="3"/>
    <x v="33"/>
    <x v="0"/>
    <x v="3"/>
    <x v="0"/>
    <x v="1"/>
    <x v="0"/>
    <x v="9"/>
    <x v="12"/>
    <x v="0"/>
    <x v="0"/>
    <x v="1"/>
    <x v="33"/>
    <x v="4"/>
    <x v="172"/>
    <x v="65"/>
    <x v="125"/>
    <x v="125"/>
    <x v="92"/>
    <x v="150"/>
    <x v="33"/>
    <x v="0"/>
    <x v="0"/>
    <x v="0"/>
    <x v="0"/>
    <x v="0"/>
    <x v="1"/>
    <x v="0"/>
    <x v="171"/>
    <x v="0"/>
    <x v="0"/>
    <x v="0"/>
    <x v="0"/>
    <x v="0"/>
    <x v="0"/>
    <x v="0"/>
  </r>
  <r>
    <x v="16"/>
    <x v="19"/>
    <x v="16"/>
    <x v="8"/>
    <x v="1"/>
    <x v="212"/>
    <x v="1"/>
    <x v="1"/>
    <x v="127"/>
    <x v="1"/>
    <x v="0"/>
    <x v="0"/>
    <x v="0"/>
    <x v="7"/>
    <x v="0"/>
    <x v="0"/>
    <x v="1"/>
    <x v="9"/>
    <x v="12"/>
    <x v="0"/>
    <x v="0"/>
    <x v="1"/>
    <x v="34"/>
    <x v="4"/>
    <x v="173"/>
    <x v="65"/>
    <x v="125"/>
    <x v="125"/>
    <x v="92"/>
    <x v="150"/>
    <x v="0"/>
    <x v="0"/>
    <x v="0"/>
    <x v="29"/>
    <x v="0"/>
    <x v="0"/>
    <x v="1"/>
    <x v="0"/>
    <x v="172"/>
    <x v="0"/>
    <x v="0"/>
    <x v="0"/>
    <x v="0"/>
    <x v="0"/>
    <x v="0"/>
    <x v="0"/>
  </r>
  <r>
    <x v="16"/>
    <x v="19"/>
    <x v="16"/>
    <x v="8"/>
    <x v="4"/>
    <x v="212"/>
    <x v="1"/>
    <x v="1"/>
    <x v="127"/>
    <x v="1"/>
    <x v="0"/>
    <x v="0"/>
    <x v="0"/>
    <x v="7"/>
    <x v="0"/>
    <x v="0"/>
    <x v="1"/>
    <x v="9"/>
    <x v="12"/>
    <x v="0"/>
    <x v="0"/>
    <x v="1"/>
    <x v="18"/>
    <x v="4"/>
    <x v="174"/>
    <x v="65"/>
    <x v="125"/>
    <x v="125"/>
    <x v="11"/>
    <x v="11"/>
    <x v="0"/>
    <x v="0"/>
    <x v="0"/>
    <x v="29"/>
    <x v="0"/>
    <x v="0"/>
    <x v="1"/>
    <x v="0"/>
    <x v="172"/>
    <x v="0"/>
    <x v="0"/>
    <x v="0"/>
    <x v="0"/>
    <x v="2"/>
    <x v="0"/>
    <x v="0"/>
  </r>
  <r>
    <x v="16"/>
    <x v="3"/>
    <x v="16"/>
    <x v="8"/>
    <x v="3"/>
    <x v="212"/>
    <x v="1"/>
    <x v="1"/>
    <x v="127"/>
    <x v="1"/>
    <x v="0"/>
    <x v="0"/>
    <x v="0"/>
    <x v="7"/>
    <x v="0"/>
    <x v="1"/>
    <x v="0"/>
    <x v="5"/>
    <x v="8"/>
    <x v="14"/>
    <x v="19"/>
    <x v="1"/>
    <x v="33"/>
    <x v="4"/>
    <x v="175"/>
    <x v="65"/>
    <x v="125"/>
    <x v="125"/>
    <x v="92"/>
    <x v="150"/>
    <x v="0"/>
    <x v="0"/>
    <x v="2"/>
    <x v="0"/>
    <x v="0"/>
    <x v="0"/>
    <x v="1"/>
    <x v="19"/>
    <x v="173"/>
    <x v="1"/>
    <x v="0"/>
    <x v="0"/>
    <x v="0"/>
    <x v="0"/>
    <x v="0"/>
    <x v="0"/>
  </r>
  <r>
    <x v="16"/>
    <x v="19"/>
    <x v="16"/>
    <x v="3"/>
    <x v="3"/>
    <x v="214"/>
    <x v="1"/>
    <x v="1"/>
    <x v="122"/>
    <x v="1"/>
    <x v="3"/>
    <x v="31"/>
    <x v="0"/>
    <x v="3"/>
    <x v="0"/>
    <x v="1"/>
    <x v="0"/>
    <x v="9"/>
    <x v="12"/>
    <x v="0"/>
    <x v="0"/>
    <x v="1"/>
    <x v="34"/>
    <x v="4"/>
    <x v="179"/>
    <x v="59"/>
    <x v="119"/>
    <x v="119"/>
    <x v="86"/>
    <x v="144"/>
    <x v="31"/>
    <x v="0"/>
    <x v="0"/>
    <x v="0"/>
    <x v="0"/>
    <x v="0"/>
    <x v="1"/>
    <x v="0"/>
    <x v="174"/>
    <x v="0"/>
    <x v="0"/>
    <x v="0"/>
    <x v="0"/>
    <x v="0"/>
    <x v="0"/>
    <x v="0"/>
  </r>
  <r>
    <x v="16"/>
    <x v="19"/>
    <x v="16"/>
    <x v="8"/>
    <x v="1"/>
    <x v="214"/>
    <x v="1"/>
    <x v="1"/>
    <x v="122"/>
    <x v="1"/>
    <x v="0"/>
    <x v="0"/>
    <x v="0"/>
    <x v="7"/>
    <x v="0"/>
    <x v="0"/>
    <x v="1"/>
    <x v="9"/>
    <x v="12"/>
    <x v="0"/>
    <x v="0"/>
    <x v="1"/>
    <x v="34"/>
    <x v="4"/>
    <x v="180"/>
    <x v="59"/>
    <x v="119"/>
    <x v="119"/>
    <x v="86"/>
    <x v="144"/>
    <x v="0"/>
    <x v="0"/>
    <x v="0"/>
    <x v="24"/>
    <x v="0"/>
    <x v="0"/>
    <x v="1"/>
    <x v="0"/>
    <x v="175"/>
    <x v="0"/>
    <x v="0"/>
    <x v="0"/>
    <x v="0"/>
    <x v="0"/>
    <x v="0"/>
    <x v="0"/>
  </r>
  <r>
    <x v="16"/>
    <x v="19"/>
    <x v="16"/>
    <x v="8"/>
    <x v="4"/>
    <x v="214"/>
    <x v="1"/>
    <x v="1"/>
    <x v="122"/>
    <x v="1"/>
    <x v="0"/>
    <x v="0"/>
    <x v="0"/>
    <x v="7"/>
    <x v="0"/>
    <x v="0"/>
    <x v="1"/>
    <x v="9"/>
    <x v="12"/>
    <x v="0"/>
    <x v="0"/>
    <x v="1"/>
    <x v="18"/>
    <x v="4"/>
    <x v="180"/>
    <x v="59"/>
    <x v="119"/>
    <x v="119"/>
    <x v="15"/>
    <x v="15"/>
    <x v="0"/>
    <x v="0"/>
    <x v="0"/>
    <x v="24"/>
    <x v="0"/>
    <x v="0"/>
    <x v="1"/>
    <x v="0"/>
    <x v="175"/>
    <x v="0"/>
    <x v="0"/>
    <x v="0"/>
    <x v="0"/>
    <x v="2"/>
    <x v="0"/>
    <x v="0"/>
  </r>
  <r>
    <x v="16"/>
    <x v="3"/>
    <x v="16"/>
    <x v="8"/>
    <x v="3"/>
    <x v="214"/>
    <x v="1"/>
    <x v="1"/>
    <x v="122"/>
    <x v="1"/>
    <x v="0"/>
    <x v="0"/>
    <x v="0"/>
    <x v="7"/>
    <x v="0"/>
    <x v="1"/>
    <x v="0"/>
    <x v="2"/>
    <x v="11"/>
    <x v="14"/>
    <x v="21"/>
    <x v="1"/>
    <x v="34"/>
    <x v="4"/>
    <x v="181"/>
    <x v="59"/>
    <x v="119"/>
    <x v="119"/>
    <x v="86"/>
    <x v="144"/>
    <x v="0"/>
    <x v="0"/>
    <x v="2"/>
    <x v="0"/>
    <x v="0"/>
    <x v="0"/>
    <x v="1"/>
    <x v="21"/>
    <x v="176"/>
    <x v="1"/>
    <x v="0"/>
    <x v="0"/>
    <x v="0"/>
    <x v="0"/>
    <x v="0"/>
    <x v="0"/>
  </r>
  <r>
    <x v="17"/>
    <x v="19"/>
    <x v="17"/>
    <x v="5"/>
    <x v="3"/>
    <x v="168"/>
    <x v="1"/>
    <x v="1"/>
    <x v="81"/>
    <x v="0"/>
    <x v="11"/>
    <x v="85"/>
    <x v="0"/>
    <x v="2"/>
    <x v="1"/>
    <x v="1"/>
    <x v="0"/>
    <x v="9"/>
    <x v="12"/>
    <x v="0"/>
    <x v="0"/>
    <x v="1"/>
    <x v="48"/>
    <x v="4"/>
    <x v="137"/>
    <x v="117"/>
    <x v="66"/>
    <x v="66"/>
    <x v="141"/>
    <x v="105"/>
    <x v="85"/>
    <x v="0"/>
    <x v="0"/>
    <x v="0"/>
    <x v="0"/>
    <x v="0"/>
    <x v="1"/>
    <x v="0"/>
    <x v="177"/>
    <x v="0"/>
    <x v="0"/>
    <x v="0"/>
    <x v="0"/>
    <x v="0"/>
    <x v="0"/>
    <x v="0"/>
  </r>
  <r>
    <x v="17"/>
    <x v="8"/>
    <x v="17"/>
    <x v="7"/>
    <x v="0"/>
    <x v="47"/>
    <x v="1"/>
    <x v="2"/>
    <x v="96"/>
    <x v="1"/>
    <x v="0"/>
    <x v="0"/>
    <x v="0"/>
    <x v="8"/>
    <x v="0"/>
    <x v="1"/>
    <x v="0"/>
    <x v="8"/>
    <x v="6"/>
    <x v="1"/>
    <x v="4"/>
    <x v="1"/>
    <x v="34"/>
    <x v="1"/>
    <x v="151"/>
    <x v="17"/>
    <x v="81"/>
    <x v="81"/>
    <x v="41"/>
    <x v="41"/>
    <x v="0"/>
    <x v="0"/>
    <x v="2"/>
    <x v="0"/>
    <x v="0"/>
    <x v="0"/>
    <x v="1"/>
    <x v="4"/>
    <x v="178"/>
    <x v="1"/>
    <x v="0"/>
    <x v="0"/>
    <x v="0"/>
    <x v="0"/>
    <x v="0"/>
    <x v="0"/>
  </r>
  <r>
    <x v="17"/>
    <x v="8"/>
    <x v="17"/>
    <x v="7"/>
    <x v="0"/>
    <x v="48"/>
    <x v="1"/>
    <x v="2"/>
    <x v="95"/>
    <x v="1"/>
    <x v="0"/>
    <x v="0"/>
    <x v="0"/>
    <x v="8"/>
    <x v="0"/>
    <x v="1"/>
    <x v="0"/>
    <x v="8"/>
    <x v="6"/>
    <x v="1"/>
    <x v="4"/>
    <x v="1"/>
    <x v="24"/>
    <x v="1"/>
    <x v="152"/>
    <x v="16"/>
    <x v="80"/>
    <x v="80"/>
    <x v="41"/>
    <x v="41"/>
    <x v="0"/>
    <x v="0"/>
    <x v="2"/>
    <x v="0"/>
    <x v="0"/>
    <x v="0"/>
    <x v="1"/>
    <x v="4"/>
    <x v="179"/>
    <x v="1"/>
    <x v="0"/>
    <x v="0"/>
    <x v="0"/>
    <x v="0"/>
    <x v="0"/>
    <x v="0"/>
  </r>
  <r>
    <x v="17"/>
    <x v="19"/>
    <x v="17"/>
    <x v="10"/>
    <x v="3"/>
    <x v="216"/>
    <x v="1"/>
    <x v="0"/>
    <x v="30"/>
    <x v="0"/>
    <x v="10"/>
    <x v="21"/>
    <x v="0"/>
    <x v="2"/>
    <x v="0"/>
    <x v="1"/>
    <x v="0"/>
    <x v="9"/>
    <x v="12"/>
    <x v="0"/>
    <x v="0"/>
    <x v="1"/>
    <x v="33"/>
    <x v="4"/>
    <x v="182"/>
    <x v="73"/>
    <x v="29"/>
    <x v="29"/>
    <x v="100"/>
    <x v="69"/>
    <x v="21"/>
    <x v="0"/>
    <x v="0"/>
    <x v="0"/>
    <x v="0"/>
    <x v="0"/>
    <x v="1"/>
    <x v="0"/>
    <x v="180"/>
    <x v="0"/>
    <x v="0"/>
    <x v="0"/>
    <x v="0"/>
    <x v="0"/>
    <x v="0"/>
    <x v="0"/>
  </r>
  <r>
    <x v="17"/>
    <x v="19"/>
    <x v="17"/>
    <x v="8"/>
    <x v="1"/>
    <x v="216"/>
    <x v="1"/>
    <x v="0"/>
    <x v="130"/>
    <x v="1"/>
    <x v="0"/>
    <x v="0"/>
    <x v="0"/>
    <x v="8"/>
    <x v="0"/>
    <x v="0"/>
    <x v="1"/>
    <x v="9"/>
    <x v="12"/>
    <x v="0"/>
    <x v="0"/>
    <x v="1"/>
    <x v="34"/>
    <x v="4"/>
    <x v="183"/>
    <x v="70"/>
    <x v="130"/>
    <x v="130"/>
    <x v="97"/>
    <x v="155"/>
    <x v="0"/>
    <x v="0"/>
    <x v="0"/>
    <x v="32"/>
    <x v="0"/>
    <x v="0"/>
    <x v="1"/>
    <x v="0"/>
    <x v="181"/>
    <x v="0"/>
    <x v="0"/>
    <x v="0"/>
    <x v="0"/>
    <x v="0"/>
    <x v="0"/>
    <x v="0"/>
  </r>
  <r>
    <x v="17"/>
    <x v="19"/>
    <x v="17"/>
    <x v="8"/>
    <x v="4"/>
    <x v="216"/>
    <x v="1"/>
    <x v="0"/>
    <x v="130"/>
    <x v="1"/>
    <x v="0"/>
    <x v="0"/>
    <x v="0"/>
    <x v="8"/>
    <x v="0"/>
    <x v="0"/>
    <x v="1"/>
    <x v="9"/>
    <x v="12"/>
    <x v="0"/>
    <x v="0"/>
    <x v="1"/>
    <x v="18"/>
    <x v="4"/>
    <x v="183"/>
    <x v="70"/>
    <x v="130"/>
    <x v="130"/>
    <x v="8"/>
    <x v="8"/>
    <x v="0"/>
    <x v="0"/>
    <x v="0"/>
    <x v="32"/>
    <x v="0"/>
    <x v="0"/>
    <x v="1"/>
    <x v="0"/>
    <x v="181"/>
    <x v="0"/>
    <x v="0"/>
    <x v="0"/>
    <x v="0"/>
    <x v="2"/>
    <x v="0"/>
    <x v="0"/>
  </r>
  <r>
    <x v="17"/>
    <x v="1"/>
    <x v="17"/>
    <x v="8"/>
    <x v="3"/>
    <x v="217"/>
    <x v="1"/>
    <x v="0"/>
    <x v="130"/>
    <x v="1"/>
    <x v="0"/>
    <x v="0"/>
    <x v="0"/>
    <x v="8"/>
    <x v="0"/>
    <x v="1"/>
    <x v="0"/>
    <x v="2"/>
    <x v="11"/>
    <x v="14"/>
    <x v="21"/>
    <x v="1"/>
    <x v="34"/>
    <x v="4"/>
    <x v="184"/>
    <x v="70"/>
    <x v="130"/>
    <x v="130"/>
    <x v="97"/>
    <x v="155"/>
    <x v="0"/>
    <x v="0"/>
    <x v="2"/>
    <x v="0"/>
    <x v="0"/>
    <x v="0"/>
    <x v="1"/>
    <x v="21"/>
    <x v="182"/>
    <x v="1"/>
    <x v="0"/>
    <x v="0"/>
    <x v="0"/>
    <x v="0"/>
    <x v="0"/>
    <x v="0"/>
  </r>
  <r>
    <x v="17"/>
    <x v="19"/>
    <x v="17"/>
    <x v="10"/>
    <x v="3"/>
    <x v="219"/>
    <x v="1"/>
    <x v="0"/>
    <x v="1"/>
    <x v="0"/>
    <x v="10"/>
    <x v="1"/>
    <x v="0"/>
    <x v="2"/>
    <x v="0"/>
    <x v="1"/>
    <x v="0"/>
    <x v="9"/>
    <x v="12"/>
    <x v="0"/>
    <x v="0"/>
    <x v="1"/>
    <x v="34"/>
    <x v="4"/>
    <x v="186"/>
    <x v="5"/>
    <x v="1"/>
    <x v="1"/>
    <x v="46"/>
    <x v="43"/>
    <x v="1"/>
    <x v="0"/>
    <x v="0"/>
    <x v="0"/>
    <x v="0"/>
    <x v="0"/>
    <x v="1"/>
    <x v="0"/>
    <x v="183"/>
    <x v="0"/>
    <x v="0"/>
    <x v="0"/>
    <x v="0"/>
    <x v="0"/>
    <x v="0"/>
    <x v="0"/>
  </r>
  <r>
    <x v="17"/>
    <x v="19"/>
    <x v="17"/>
    <x v="8"/>
    <x v="1"/>
    <x v="219"/>
    <x v="1"/>
    <x v="0"/>
    <x v="42"/>
    <x v="1"/>
    <x v="0"/>
    <x v="0"/>
    <x v="0"/>
    <x v="8"/>
    <x v="0"/>
    <x v="0"/>
    <x v="1"/>
    <x v="9"/>
    <x v="12"/>
    <x v="0"/>
    <x v="0"/>
    <x v="1"/>
    <x v="33"/>
    <x v="4"/>
    <x v="187"/>
    <x v="3"/>
    <x v="35"/>
    <x v="35"/>
    <x v="44"/>
    <x v="74"/>
    <x v="0"/>
    <x v="0"/>
    <x v="0"/>
    <x v="2"/>
    <x v="0"/>
    <x v="0"/>
    <x v="1"/>
    <x v="0"/>
    <x v="184"/>
    <x v="0"/>
    <x v="0"/>
    <x v="0"/>
    <x v="0"/>
    <x v="0"/>
    <x v="0"/>
    <x v="0"/>
  </r>
  <r>
    <x v="17"/>
    <x v="19"/>
    <x v="17"/>
    <x v="8"/>
    <x v="4"/>
    <x v="219"/>
    <x v="1"/>
    <x v="0"/>
    <x v="42"/>
    <x v="1"/>
    <x v="0"/>
    <x v="0"/>
    <x v="0"/>
    <x v="8"/>
    <x v="0"/>
    <x v="0"/>
    <x v="1"/>
    <x v="9"/>
    <x v="12"/>
    <x v="0"/>
    <x v="0"/>
    <x v="1"/>
    <x v="18"/>
    <x v="4"/>
    <x v="187"/>
    <x v="3"/>
    <x v="35"/>
    <x v="35"/>
    <x v="39"/>
    <x v="39"/>
    <x v="0"/>
    <x v="0"/>
    <x v="0"/>
    <x v="2"/>
    <x v="0"/>
    <x v="0"/>
    <x v="1"/>
    <x v="0"/>
    <x v="184"/>
    <x v="0"/>
    <x v="0"/>
    <x v="0"/>
    <x v="0"/>
    <x v="2"/>
    <x v="0"/>
    <x v="0"/>
  </r>
  <r>
    <x v="17"/>
    <x v="1"/>
    <x v="17"/>
    <x v="8"/>
    <x v="3"/>
    <x v="220"/>
    <x v="1"/>
    <x v="0"/>
    <x v="42"/>
    <x v="1"/>
    <x v="0"/>
    <x v="0"/>
    <x v="0"/>
    <x v="8"/>
    <x v="0"/>
    <x v="1"/>
    <x v="0"/>
    <x v="5"/>
    <x v="8"/>
    <x v="14"/>
    <x v="19"/>
    <x v="1"/>
    <x v="33"/>
    <x v="4"/>
    <x v="188"/>
    <x v="3"/>
    <x v="35"/>
    <x v="35"/>
    <x v="44"/>
    <x v="74"/>
    <x v="0"/>
    <x v="0"/>
    <x v="2"/>
    <x v="0"/>
    <x v="0"/>
    <x v="0"/>
    <x v="1"/>
    <x v="19"/>
    <x v="185"/>
    <x v="1"/>
    <x v="0"/>
    <x v="0"/>
    <x v="0"/>
    <x v="0"/>
    <x v="0"/>
    <x v="0"/>
  </r>
  <r>
    <x v="17"/>
    <x v="19"/>
    <x v="17"/>
    <x v="10"/>
    <x v="3"/>
    <x v="223"/>
    <x v="1"/>
    <x v="0"/>
    <x v="24"/>
    <x v="0"/>
    <x v="10"/>
    <x v="18"/>
    <x v="0"/>
    <x v="2"/>
    <x v="0"/>
    <x v="1"/>
    <x v="0"/>
    <x v="9"/>
    <x v="12"/>
    <x v="0"/>
    <x v="0"/>
    <x v="1"/>
    <x v="33"/>
    <x v="4"/>
    <x v="189"/>
    <x v="61"/>
    <x v="23"/>
    <x v="23"/>
    <x v="88"/>
    <x v="64"/>
    <x v="18"/>
    <x v="0"/>
    <x v="0"/>
    <x v="0"/>
    <x v="0"/>
    <x v="0"/>
    <x v="1"/>
    <x v="0"/>
    <x v="186"/>
    <x v="0"/>
    <x v="0"/>
    <x v="0"/>
    <x v="0"/>
    <x v="0"/>
    <x v="0"/>
    <x v="0"/>
  </r>
  <r>
    <x v="17"/>
    <x v="19"/>
    <x v="17"/>
    <x v="8"/>
    <x v="1"/>
    <x v="223"/>
    <x v="1"/>
    <x v="0"/>
    <x v="124"/>
    <x v="1"/>
    <x v="0"/>
    <x v="0"/>
    <x v="0"/>
    <x v="8"/>
    <x v="0"/>
    <x v="0"/>
    <x v="1"/>
    <x v="9"/>
    <x v="12"/>
    <x v="0"/>
    <x v="0"/>
    <x v="1"/>
    <x v="34"/>
    <x v="4"/>
    <x v="190"/>
    <x v="61"/>
    <x v="121"/>
    <x v="121"/>
    <x v="88"/>
    <x v="146"/>
    <x v="0"/>
    <x v="0"/>
    <x v="0"/>
    <x v="26"/>
    <x v="0"/>
    <x v="0"/>
    <x v="1"/>
    <x v="0"/>
    <x v="187"/>
    <x v="0"/>
    <x v="0"/>
    <x v="0"/>
    <x v="0"/>
    <x v="0"/>
    <x v="0"/>
    <x v="0"/>
  </r>
  <r>
    <x v="17"/>
    <x v="19"/>
    <x v="17"/>
    <x v="8"/>
    <x v="4"/>
    <x v="223"/>
    <x v="1"/>
    <x v="0"/>
    <x v="124"/>
    <x v="1"/>
    <x v="0"/>
    <x v="0"/>
    <x v="0"/>
    <x v="8"/>
    <x v="0"/>
    <x v="0"/>
    <x v="1"/>
    <x v="9"/>
    <x v="12"/>
    <x v="0"/>
    <x v="0"/>
    <x v="1"/>
    <x v="18"/>
    <x v="4"/>
    <x v="190"/>
    <x v="61"/>
    <x v="121"/>
    <x v="121"/>
    <x v="14"/>
    <x v="14"/>
    <x v="0"/>
    <x v="0"/>
    <x v="0"/>
    <x v="26"/>
    <x v="0"/>
    <x v="0"/>
    <x v="1"/>
    <x v="0"/>
    <x v="187"/>
    <x v="0"/>
    <x v="0"/>
    <x v="0"/>
    <x v="0"/>
    <x v="2"/>
    <x v="0"/>
    <x v="0"/>
  </r>
  <r>
    <x v="17"/>
    <x v="1"/>
    <x v="17"/>
    <x v="8"/>
    <x v="3"/>
    <x v="222"/>
    <x v="1"/>
    <x v="0"/>
    <x v="124"/>
    <x v="1"/>
    <x v="0"/>
    <x v="0"/>
    <x v="0"/>
    <x v="8"/>
    <x v="0"/>
    <x v="1"/>
    <x v="0"/>
    <x v="7"/>
    <x v="7"/>
    <x v="14"/>
    <x v="19"/>
    <x v="1"/>
    <x v="34"/>
    <x v="4"/>
    <x v="191"/>
    <x v="61"/>
    <x v="121"/>
    <x v="121"/>
    <x v="88"/>
    <x v="146"/>
    <x v="0"/>
    <x v="0"/>
    <x v="2"/>
    <x v="0"/>
    <x v="0"/>
    <x v="0"/>
    <x v="1"/>
    <x v="19"/>
    <x v="188"/>
    <x v="1"/>
    <x v="0"/>
    <x v="0"/>
    <x v="0"/>
    <x v="0"/>
    <x v="0"/>
    <x v="0"/>
  </r>
  <r>
    <x v="17"/>
    <x v="19"/>
    <x v="17"/>
    <x v="5"/>
    <x v="3"/>
    <x v="168"/>
    <x v="1"/>
    <x v="1"/>
    <x v="74"/>
    <x v="0"/>
    <x v="11"/>
    <x v="77"/>
    <x v="0"/>
    <x v="2"/>
    <x v="1"/>
    <x v="1"/>
    <x v="0"/>
    <x v="9"/>
    <x v="12"/>
    <x v="0"/>
    <x v="0"/>
    <x v="1"/>
    <x v="48"/>
    <x v="4"/>
    <x v="198"/>
    <x v="111"/>
    <x v="59"/>
    <x v="59"/>
    <x v="135"/>
    <x v="98"/>
    <x v="77"/>
    <x v="0"/>
    <x v="0"/>
    <x v="0"/>
    <x v="0"/>
    <x v="0"/>
    <x v="1"/>
    <x v="0"/>
    <x v="189"/>
    <x v="0"/>
    <x v="0"/>
    <x v="0"/>
    <x v="0"/>
    <x v="0"/>
    <x v="0"/>
    <x v="0"/>
  </r>
  <r>
    <x v="17"/>
    <x v="19"/>
    <x v="17"/>
    <x v="5"/>
    <x v="3"/>
    <x v="171"/>
    <x v="1"/>
    <x v="1"/>
    <x v="81"/>
    <x v="0"/>
    <x v="11"/>
    <x v="85"/>
    <x v="0"/>
    <x v="2"/>
    <x v="0"/>
    <x v="1"/>
    <x v="0"/>
    <x v="9"/>
    <x v="12"/>
    <x v="0"/>
    <x v="0"/>
    <x v="1"/>
    <x v="47"/>
    <x v="4"/>
    <x v="199"/>
    <x v="117"/>
    <x v="66"/>
    <x v="66"/>
    <x v="141"/>
    <x v="105"/>
    <x v="85"/>
    <x v="0"/>
    <x v="0"/>
    <x v="0"/>
    <x v="0"/>
    <x v="0"/>
    <x v="1"/>
    <x v="0"/>
    <x v="190"/>
    <x v="0"/>
    <x v="0"/>
    <x v="0"/>
    <x v="0"/>
    <x v="0"/>
    <x v="0"/>
    <x v="0"/>
  </r>
  <r>
    <x v="17"/>
    <x v="19"/>
    <x v="17"/>
    <x v="10"/>
    <x v="3"/>
    <x v="225"/>
    <x v="1"/>
    <x v="0"/>
    <x v="30"/>
    <x v="0"/>
    <x v="10"/>
    <x v="21"/>
    <x v="0"/>
    <x v="2"/>
    <x v="0"/>
    <x v="1"/>
    <x v="0"/>
    <x v="9"/>
    <x v="12"/>
    <x v="0"/>
    <x v="0"/>
    <x v="1"/>
    <x v="33"/>
    <x v="4"/>
    <x v="210"/>
    <x v="73"/>
    <x v="29"/>
    <x v="29"/>
    <x v="100"/>
    <x v="69"/>
    <x v="21"/>
    <x v="0"/>
    <x v="0"/>
    <x v="0"/>
    <x v="0"/>
    <x v="0"/>
    <x v="1"/>
    <x v="0"/>
    <x v="191"/>
    <x v="0"/>
    <x v="0"/>
    <x v="0"/>
    <x v="0"/>
    <x v="0"/>
    <x v="0"/>
    <x v="0"/>
  </r>
  <r>
    <x v="17"/>
    <x v="19"/>
    <x v="17"/>
    <x v="8"/>
    <x v="1"/>
    <x v="225"/>
    <x v="1"/>
    <x v="0"/>
    <x v="132"/>
    <x v="1"/>
    <x v="0"/>
    <x v="0"/>
    <x v="0"/>
    <x v="8"/>
    <x v="0"/>
    <x v="0"/>
    <x v="1"/>
    <x v="9"/>
    <x v="12"/>
    <x v="0"/>
    <x v="0"/>
    <x v="1"/>
    <x v="34"/>
    <x v="4"/>
    <x v="211"/>
    <x v="73"/>
    <x v="133"/>
    <x v="133"/>
    <x v="100"/>
    <x v="158"/>
    <x v="0"/>
    <x v="0"/>
    <x v="0"/>
    <x v="34"/>
    <x v="0"/>
    <x v="0"/>
    <x v="1"/>
    <x v="0"/>
    <x v="192"/>
    <x v="0"/>
    <x v="0"/>
    <x v="0"/>
    <x v="0"/>
    <x v="0"/>
    <x v="0"/>
    <x v="0"/>
  </r>
  <r>
    <x v="17"/>
    <x v="19"/>
    <x v="17"/>
    <x v="8"/>
    <x v="4"/>
    <x v="225"/>
    <x v="1"/>
    <x v="0"/>
    <x v="132"/>
    <x v="1"/>
    <x v="0"/>
    <x v="0"/>
    <x v="0"/>
    <x v="8"/>
    <x v="0"/>
    <x v="0"/>
    <x v="1"/>
    <x v="9"/>
    <x v="12"/>
    <x v="0"/>
    <x v="0"/>
    <x v="1"/>
    <x v="18"/>
    <x v="4"/>
    <x v="211"/>
    <x v="73"/>
    <x v="133"/>
    <x v="133"/>
    <x v="6"/>
    <x v="6"/>
    <x v="0"/>
    <x v="0"/>
    <x v="0"/>
    <x v="34"/>
    <x v="0"/>
    <x v="0"/>
    <x v="1"/>
    <x v="0"/>
    <x v="192"/>
    <x v="0"/>
    <x v="0"/>
    <x v="0"/>
    <x v="0"/>
    <x v="2"/>
    <x v="0"/>
    <x v="0"/>
  </r>
  <r>
    <x v="17"/>
    <x v="1"/>
    <x v="17"/>
    <x v="8"/>
    <x v="3"/>
    <x v="226"/>
    <x v="1"/>
    <x v="0"/>
    <x v="132"/>
    <x v="1"/>
    <x v="0"/>
    <x v="0"/>
    <x v="0"/>
    <x v="8"/>
    <x v="0"/>
    <x v="1"/>
    <x v="0"/>
    <x v="4"/>
    <x v="2"/>
    <x v="14"/>
    <x v="19"/>
    <x v="1"/>
    <x v="33"/>
    <x v="4"/>
    <x v="212"/>
    <x v="73"/>
    <x v="133"/>
    <x v="133"/>
    <x v="100"/>
    <x v="158"/>
    <x v="0"/>
    <x v="0"/>
    <x v="2"/>
    <x v="0"/>
    <x v="0"/>
    <x v="0"/>
    <x v="1"/>
    <x v="19"/>
    <x v="193"/>
    <x v="1"/>
    <x v="0"/>
    <x v="0"/>
    <x v="0"/>
    <x v="0"/>
    <x v="0"/>
    <x v="0"/>
  </r>
  <r>
    <x v="18"/>
    <x v="19"/>
    <x v="18"/>
    <x v="13"/>
    <x v="3"/>
    <x v="230"/>
    <x v="1"/>
    <x v="0"/>
    <x v="25"/>
    <x v="0"/>
    <x v="10"/>
    <x v="19"/>
    <x v="0"/>
    <x v="2"/>
    <x v="0"/>
    <x v="1"/>
    <x v="0"/>
    <x v="9"/>
    <x v="12"/>
    <x v="0"/>
    <x v="0"/>
    <x v="1"/>
    <x v="34"/>
    <x v="4"/>
    <x v="192"/>
    <x v="63"/>
    <x v="24"/>
    <x v="24"/>
    <x v="90"/>
    <x v="65"/>
    <x v="19"/>
    <x v="0"/>
    <x v="0"/>
    <x v="0"/>
    <x v="0"/>
    <x v="0"/>
    <x v="1"/>
    <x v="0"/>
    <x v="194"/>
    <x v="0"/>
    <x v="0"/>
    <x v="0"/>
    <x v="0"/>
    <x v="0"/>
    <x v="0"/>
    <x v="0"/>
  </r>
  <r>
    <x v="18"/>
    <x v="19"/>
    <x v="18"/>
    <x v="8"/>
    <x v="1"/>
    <x v="230"/>
    <x v="1"/>
    <x v="0"/>
    <x v="125"/>
    <x v="1"/>
    <x v="0"/>
    <x v="0"/>
    <x v="0"/>
    <x v="8"/>
    <x v="0"/>
    <x v="0"/>
    <x v="1"/>
    <x v="9"/>
    <x v="12"/>
    <x v="0"/>
    <x v="0"/>
    <x v="1"/>
    <x v="34"/>
    <x v="4"/>
    <x v="193"/>
    <x v="62"/>
    <x v="122"/>
    <x v="122"/>
    <x v="89"/>
    <x v="147"/>
    <x v="0"/>
    <x v="0"/>
    <x v="0"/>
    <x v="27"/>
    <x v="0"/>
    <x v="0"/>
    <x v="1"/>
    <x v="0"/>
    <x v="195"/>
    <x v="0"/>
    <x v="0"/>
    <x v="0"/>
    <x v="0"/>
    <x v="0"/>
    <x v="0"/>
    <x v="0"/>
  </r>
  <r>
    <x v="18"/>
    <x v="19"/>
    <x v="18"/>
    <x v="8"/>
    <x v="4"/>
    <x v="230"/>
    <x v="1"/>
    <x v="0"/>
    <x v="125"/>
    <x v="1"/>
    <x v="0"/>
    <x v="0"/>
    <x v="0"/>
    <x v="8"/>
    <x v="0"/>
    <x v="0"/>
    <x v="1"/>
    <x v="9"/>
    <x v="12"/>
    <x v="0"/>
    <x v="0"/>
    <x v="1"/>
    <x v="18"/>
    <x v="4"/>
    <x v="193"/>
    <x v="62"/>
    <x v="122"/>
    <x v="122"/>
    <x v="13"/>
    <x v="13"/>
    <x v="0"/>
    <x v="0"/>
    <x v="0"/>
    <x v="27"/>
    <x v="0"/>
    <x v="0"/>
    <x v="1"/>
    <x v="0"/>
    <x v="195"/>
    <x v="0"/>
    <x v="0"/>
    <x v="0"/>
    <x v="0"/>
    <x v="2"/>
    <x v="0"/>
    <x v="0"/>
  </r>
  <r>
    <x v="18"/>
    <x v="1"/>
    <x v="18"/>
    <x v="8"/>
    <x v="3"/>
    <x v="231"/>
    <x v="1"/>
    <x v="0"/>
    <x v="125"/>
    <x v="1"/>
    <x v="0"/>
    <x v="0"/>
    <x v="0"/>
    <x v="8"/>
    <x v="0"/>
    <x v="1"/>
    <x v="0"/>
    <x v="5"/>
    <x v="8"/>
    <x v="14"/>
    <x v="19"/>
    <x v="1"/>
    <x v="34"/>
    <x v="4"/>
    <x v="194"/>
    <x v="62"/>
    <x v="122"/>
    <x v="122"/>
    <x v="89"/>
    <x v="147"/>
    <x v="0"/>
    <x v="0"/>
    <x v="2"/>
    <x v="0"/>
    <x v="0"/>
    <x v="0"/>
    <x v="1"/>
    <x v="19"/>
    <x v="196"/>
    <x v="1"/>
    <x v="0"/>
    <x v="0"/>
    <x v="0"/>
    <x v="0"/>
    <x v="0"/>
    <x v="0"/>
  </r>
  <r>
    <x v="18"/>
    <x v="19"/>
    <x v="18"/>
    <x v="13"/>
    <x v="3"/>
    <x v="232"/>
    <x v="1"/>
    <x v="0"/>
    <x v="25"/>
    <x v="0"/>
    <x v="10"/>
    <x v="19"/>
    <x v="0"/>
    <x v="2"/>
    <x v="0"/>
    <x v="1"/>
    <x v="0"/>
    <x v="9"/>
    <x v="12"/>
    <x v="0"/>
    <x v="0"/>
    <x v="1"/>
    <x v="33"/>
    <x v="4"/>
    <x v="195"/>
    <x v="63"/>
    <x v="24"/>
    <x v="24"/>
    <x v="90"/>
    <x v="65"/>
    <x v="19"/>
    <x v="0"/>
    <x v="0"/>
    <x v="0"/>
    <x v="0"/>
    <x v="0"/>
    <x v="1"/>
    <x v="0"/>
    <x v="197"/>
    <x v="0"/>
    <x v="0"/>
    <x v="0"/>
    <x v="0"/>
    <x v="0"/>
    <x v="0"/>
    <x v="0"/>
  </r>
  <r>
    <x v="18"/>
    <x v="19"/>
    <x v="18"/>
    <x v="8"/>
    <x v="1"/>
    <x v="232"/>
    <x v="1"/>
    <x v="0"/>
    <x v="126"/>
    <x v="1"/>
    <x v="0"/>
    <x v="0"/>
    <x v="0"/>
    <x v="8"/>
    <x v="0"/>
    <x v="0"/>
    <x v="1"/>
    <x v="9"/>
    <x v="12"/>
    <x v="0"/>
    <x v="0"/>
    <x v="1"/>
    <x v="33"/>
    <x v="4"/>
    <x v="196"/>
    <x v="63"/>
    <x v="123"/>
    <x v="123"/>
    <x v="90"/>
    <x v="148"/>
    <x v="0"/>
    <x v="0"/>
    <x v="0"/>
    <x v="28"/>
    <x v="0"/>
    <x v="0"/>
    <x v="1"/>
    <x v="0"/>
    <x v="198"/>
    <x v="0"/>
    <x v="0"/>
    <x v="0"/>
    <x v="0"/>
    <x v="0"/>
    <x v="0"/>
    <x v="0"/>
  </r>
  <r>
    <x v="18"/>
    <x v="19"/>
    <x v="18"/>
    <x v="8"/>
    <x v="4"/>
    <x v="232"/>
    <x v="1"/>
    <x v="0"/>
    <x v="126"/>
    <x v="1"/>
    <x v="0"/>
    <x v="0"/>
    <x v="0"/>
    <x v="8"/>
    <x v="0"/>
    <x v="0"/>
    <x v="1"/>
    <x v="9"/>
    <x v="12"/>
    <x v="0"/>
    <x v="0"/>
    <x v="1"/>
    <x v="18"/>
    <x v="4"/>
    <x v="196"/>
    <x v="63"/>
    <x v="123"/>
    <x v="123"/>
    <x v="12"/>
    <x v="12"/>
    <x v="0"/>
    <x v="0"/>
    <x v="0"/>
    <x v="28"/>
    <x v="0"/>
    <x v="0"/>
    <x v="1"/>
    <x v="0"/>
    <x v="198"/>
    <x v="0"/>
    <x v="0"/>
    <x v="0"/>
    <x v="0"/>
    <x v="2"/>
    <x v="0"/>
    <x v="0"/>
  </r>
  <r>
    <x v="18"/>
    <x v="1"/>
    <x v="18"/>
    <x v="8"/>
    <x v="3"/>
    <x v="233"/>
    <x v="1"/>
    <x v="0"/>
    <x v="123"/>
    <x v="1"/>
    <x v="0"/>
    <x v="0"/>
    <x v="0"/>
    <x v="8"/>
    <x v="0"/>
    <x v="1"/>
    <x v="0"/>
    <x v="7"/>
    <x v="7"/>
    <x v="14"/>
    <x v="19"/>
    <x v="1"/>
    <x v="34"/>
    <x v="4"/>
    <x v="197"/>
    <x v="60"/>
    <x v="120"/>
    <x v="120"/>
    <x v="87"/>
    <x v="145"/>
    <x v="0"/>
    <x v="0"/>
    <x v="2"/>
    <x v="0"/>
    <x v="0"/>
    <x v="0"/>
    <x v="1"/>
    <x v="19"/>
    <x v="199"/>
    <x v="1"/>
    <x v="0"/>
    <x v="0"/>
    <x v="0"/>
    <x v="0"/>
    <x v="0"/>
    <x v="0"/>
  </r>
  <r>
    <x v="18"/>
    <x v="19"/>
    <x v="18"/>
    <x v="13"/>
    <x v="3"/>
    <x v="234"/>
    <x v="1"/>
    <x v="0"/>
    <x v="31"/>
    <x v="0"/>
    <x v="10"/>
    <x v="22"/>
    <x v="0"/>
    <x v="2"/>
    <x v="0"/>
    <x v="1"/>
    <x v="0"/>
    <x v="9"/>
    <x v="12"/>
    <x v="0"/>
    <x v="0"/>
    <x v="1"/>
    <x v="33"/>
    <x v="4"/>
    <x v="200"/>
    <x v="78"/>
    <x v="30"/>
    <x v="30"/>
    <x v="104"/>
    <x v="70"/>
    <x v="22"/>
    <x v="0"/>
    <x v="0"/>
    <x v="0"/>
    <x v="0"/>
    <x v="0"/>
    <x v="1"/>
    <x v="0"/>
    <x v="200"/>
    <x v="0"/>
    <x v="0"/>
    <x v="0"/>
    <x v="0"/>
    <x v="0"/>
    <x v="0"/>
    <x v="0"/>
  </r>
  <r>
    <x v="18"/>
    <x v="19"/>
    <x v="18"/>
    <x v="8"/>
    <x v="1"/>
    <x v="234"/>
    <x v="1"/>
    <x v="0"/>
    <x v="137"/>
    <x v="1"/>
    <x v="0"/>
    <x v="0"/>
    <x v="0"/>
    <x v="8"/>
    <x v="0"/>
    <x v="0"/>
    <x v="1"/>
    <x v="9"/>
    <x v="12"/>
    <x v="0"/>
    <x v="0"/>
    <x v="1"/>
    <x v="34"/>
    <x v="4"/>
    <x v="201"/>
    <x v="78"/>
    <x v="138"/>
    <x v="138"/>
    <x v="104"/>
    <x v="162"/>
    <x v="0"/>
    <x v="0"/>
    <x v="0"/>
    <x v="38"/>
    <x v="0"/>
    <x v="0"/>
    <x v="1"/>
    <x v="0"/>
    <x v="201"/>
    <x v="0"/>
    <x v="0"/>
    <x v="0"/>
    <x v="0"/>
    <x v="0"/>
    <x v="0"/>
    <x v="0"/>
  </r>
  <r>
    <x v="18"/>
    <x v="19"/>
    <x v="18"/>
    <x v="8"/>
    <x v="4"/>
    <x v="234"/>
    <x v="1"/>
    <x v="0"/>
    <x v="137"/>
    <x v="1"/>
    <x v="0"/>
    <x v="0"/>
    <x v="0"/>
    <x v="8"/>
    <x v="0"/>
    <x v="0"/>
    <x v="1"/>
    <x v="9"/>
    <x v="12"/>
    <x v="0"/>
    <x v="0"/>
    <x v="1"/>
    <x v="18"/>
    <x v="4"/>
    <x v="201"/>
    <x v="78"/>
    <x v="138"/>
    <x v="138"/>
    <x v="3"/>
    <x v="3"/>
    <x v="0"/>
    <x v="0"/>
    <x v="0"/>
    <x v="38"/>
    <x v="0"/>
    <x v="0"/>
    <x v="1"/>
    <x v="0"/>
    <x v="201"/>
    <x v="0"/>
    <x v="0"/>
    <x v="0"/>
    <x v="0"/>
    <x v="2"/>
    <x v="0"/>
    <x v="0"/>
  </r>
  <r>
    <x v="18"/>
    <x v="1"/>
    <x v="18"/>
    <x v="8"/>
    <x v="3"/>
    <x v="235"/>
    <x v="1"/>
    <x v="1"/>
    <x v="137"/>
    <x v="1"/>
    <x v="0"/>
    <x v="0"/>
    <x v="0"/>
    <x v="8"/>
    <x v="0"/>
    <x v="1"/>
    <x v="0"/>
    <x v="4"/>
    <x v="2"/>
    <x v="14"/>
    <x v="19"/>
    <x v="1"/>
    <x v="34"/>
    <x v="4"/>
    <x v="202"/>
    <x v="78"/>
    <x v="138"/>
    <x v="138"/>
    <x v="104"/>
    <x v="162"/>
    <x v="0"/>
    <x v="0"/>
    <x v="2"/>
    <x v="0"/>
    <x v="0"/>
    <x v="0"/>
    <x v="1"/>
    <x v="19"/>
    <x v="202"/>
    <x v="1"/>
    <x v="0"/>
    <x v="0"/>
    <x v="0"/>
    <x v="0"/>
    <x v="0"/>
    <x v="0"/>
  </r>
  <r>
    <x v="18"/>
    <x v="19"/>
    <x v="18"/>
    <x v="13"/>
    <x v="3"/>
    <x v="236"/>
    <x v="1"/>
    <x v="0"/>
    <x v="5"/>
    <x v="0"/>
    <x v="10"/>
    <x v="8"/>
    <x v="0"/>
    <x v="2"/>
    <x v="0"/>
    <x v="1"/>
    <x v="0"/>
    <x v="9"/>
    <x v="12"/>
    <x v="0"/>
    <x v="0"/>
    <x v="1"/>
    <x v="33"/>
    <x v="4"/>
    <x v="203"/>
    <x v="14"/>
    <x v="5"/>
    <x v="5"/>
    <x v="53"/>
    <x v="47"/>
    <x v="8"/>
    <x v="0"/>
    <x v="0"/>
    <x v="0"/>
    <x v="0"/>
    <x v="0"/>
    <x v="1"/>
    <x v="0"/>
    <x v="203"/>
    <x v="0"/>
    <x v="0"/>
    <x v="0"/>
    <x v="0"/>
    <x v="0"/>
    <x v="0"/>
    <x v="0"/>
  </r>
  <r>
    <x v="18"/>
    <x v="19"/>
    <x v="18"/>
    <x v="8"/>
    <x v="1"/>
    <x v="236"/>
    <x v="1"/>
    <x v="0"/>
    <x v="93"/>
    <x v="1"/>
    <x v="0"/>
    <x v="0"/>
    <x v="0"/>
    <x v="8"/>
    <x v="0"/>
    <x v="0"/>
    <x v="1"/>
    <x v="9"/>
    <x v="12"/>
    <x v="0"/>
    <x v="0"/>
    <x v="1"/>
    <x v="33"/>
    <x v="4"/>
    <x v="204"/>
    <x v="14"/>
    <x v="78"/>
    <x v="78"/>
    <x v="53"/>
    <x v="115"/>
    <x v="0"/>
    <x v="0"/>
    <x v="0"/>
    <x v="7"/>
    <x v="0"/>
    <x v="0"/>
    <x v="1"/>
    <x v="0"/>
    <x v="204"/>
    <x v="0"/>
    <x v="0"/>
    <x v="0"/>
    <x v="0"/>
    <x v="0"/>
    <x v="0"/>
    <x v="0"/>
  </r>
  <r>
    <x v="18"/>
    <x v="19"/>
    <x v="18"/>
    <x v="8"/>
    <x v="4"/>
    <x v="236"/>
    <x v="1"/>
    <x v="0"/>
    <x v="93"/>
    <x v="1"/>
    <x v="0"/>
    <x v="0"/>
    <x v="0"/>
    <x v="8"/>
    <x v="0"/>
    <x v="0"/>
    <x v="1"/>
    <x v="9"/>
    <x v="12"/>
    <x v="0"/>
    <x v="0"/>
    <x v="1"/>
    <x v="18"/>
    <x v="4"/>
    <x v="204"/>
    <x v="14"/>
    <x v="78"/>
    <x v="78"/>
    <x v="33"/>
    <x v="33"/>
    <x v="0"/>
    <x v="0"/>
    <x v="0"/>
    <x v="7"/>
    <x v="0"/>
    <x v="0"/>
    <x v="1"/>
    <x v="0"/>
    <x v="204"/>
    <x v="0"/>
    <x v="0"/>
    <x v="0"/>
    <x v="0"/>
    <x v="2"/>
    <x v="0"/>
    <x v="0"/>
  </r>
  <r>
    <x v="18"/>
    <x v="1"/>
    <x v="18"/>
    <x v="8"/>
    <x v="3"/>
    <x v="237"/>
    <x v="1"/>
    <x v="0"/>
    <x v="93"/>
    <x v="1"/>
    <x v="0"/>
    <x v="0"/>
    <x v="0"/>
    <x v="8"/>
    <x v="0"/>
    <x v="1"/>
    <x v="0"/>
    <x v="8"/>
    <x v="6"/>
    <x v="14"/>
    <x v="21"/>
    <x v="1"/>
    <x v="34"/>
    <x v="4"/>
    <x v="205"/>
    <x v="14"/>
    <x v="78"/>
    <x v="78"/>
    <x v="53"/>
    <x v="115"/>
    <x v="0"/>
    <x v="0"/>
    <x v="2"/>
    <x v="0"/>
    <x v="0"/>
    <x v="0"/>
    <x v="1"/>
    <x v="21"/>
    <x v="205"/>
    <x v="1"/>
    <x v="0"/>
    <x v="0"/>
    <x v="0"/>
    <x v="0"/>
    <x v="0"/>
    <x v="0"/>
  </r>
  <r>
    <x v="18"/>
    <x v="2"/>
    <x v="18"/>
    <x v="19"/>
    <x v="3"/>
    <x v="203"/>
    <x v="1"/>
    <x v="1"/>
    <x v="147"/>
    <x v="2"/>
    <x v="0"/>
    <x v="0"/>
    <x v="0"/>
    <x v="4"/>
    <x v="1"/>
    <x v="1"/>
    <x v="0"/>
    <x v="0"/>
    <x v="12"/>
    <x v="0"/>
    <x v="0"/>
    <x v="1"/>
    <x v="3"/>
    <x v="4"/>
    <x v="207"/>
    <x v="126"/>
    <x v="149"/>
    <x v="149"/>
    <x v="149"/>
    <x v="170"/>
    <x v="0"/>
    <x v="0"/>
    <x v="2"/>
    <x v="0"/>
    <x v="0"/>
    <x v="0"/>
    <x v="1"/>
    <x v="0"/>
    <x v="206"/>
    <x v="1"/>
    <x v="0"/>
    <x v="0"/>
    <x v="0"/>
    <x v="0"/>
    <x v="0"/>
    <x v="0"/>
  </r>
  <r>
    <x v="18"/>
    <x v="2"/>
    <x v="18"/>
    <x v="19"/>
    <x v="3"/>
    <x v="203"/>
    <x v="1"/>
    <x v="1"/>
    <x v="146"/>
    <x v="2"/>
    <x v="0"/>
    <x v="0"/>
    <x v="0"/>
    <x v="5"/>
    <x v="1"/>
    <x v="1"/>
    <x v="0"/>
    <x v="0"/>
    <x v="12"/>
    <x v="0"/>
    <x v="0"/>
    <x v="1"/>
    <x v="13"/>
    <x v="4"/>
    <x v="208"/>
    <x v="125"/>
    <x v="148"/>
    <x v="148"/>
    <x v="148"/>
    <x v="169"/>
    <x v="0"/>
    <x v="0"/>
    <x v="2"/>
    <x v="0"/>
    <x v="0"/>
    <x v="0"/>
    <x v="1"/>
    <x v="0"/>
    <x v="207"/>
    <x v="1"/>
    <x v="0"/>
    <x v="0"/>
    <x v="0"/>
    <x v="0"/>
    <x v="0"/>
    <x v="0"/>
  </r>
  <r>
    <x v="18"/>
    <x v="2"/>
    <x v="18"/>
    <x v="19"/>
    <x v="3"/>
    <x v="203"/>
    <x v="1"/>
    <x v="1"/>
    <x v="145"/>
    <x v="2"/>
    <x v="0"/>
    <x v="0"/>
    <x v="0"/>
    <x v="1"/>
    <x v="1"/>
    <x v="1"/>
    <x v="0"/>
    <x v="0"/>
    <x v="12"/>
    <x v="0"/>
    <x v="0"/>
    <x v="1"/>
    <x v="12"/>
    <x v="4"/>
    <x v="209"/>
    <x v="124"/>
    <x v="147"/>
    <x v="147"/>
    <x v="147"/>
    <x v="168"/>
    <x v="0"/>
    <x v="0"/>
    <x v="2"/>
    <x v="0"/>
    <x v="0"/>
    <x v="0"/>
    <x v="1"/>
    <x v="0"/>
    <x v="208"/>
    <x v="1"/>
    <x v="0"/>
    <x v="0"/>
    <x v="0"/>
    <x v="0"/>
    <x v="0"/>
    <x v="0"/>
  </r>
  <r>
    <x v="19"/>
    <x v="19"/>
    <x v="19"/>
    <x v="5"/>
    <x v="3"/>
    <x v="174"/>
    <x v="1"/>
    <x v="1"/>
    <x v="2"/>
    <x v="0"/>
    <x v="11"/>
    <x v="6"/>
    <x v="0"/>
    <x v="2"/>
    <x v="1"/>
    <x v="1"/>
    <x v="0"/>
    <x v="9"/>
    <x v="12"/>
    <x v="0"/>
    <x v="0"/>
    <x v="1"/>
    <x v="47"/>
    <x v="4"/>
    <x v="185"/>
    <x v="6"/>
    <x v="2"/>
    <x v="2"/>
    <x v="47"/>
    <x v="44"/>
    <x v="6"/>
    <x v="0"/>
    <x v="0"/>
    <x v="0"/>
    <x v="0"/>
    <x v="0"/>
    <x v="1"/>
    <x v="0"/>
    <x v="209"/>
    <x v="0"/>
    <x v="0"/>
    <x v="0"/>
    <x v="0"/>
    <x v="0"/>
    <x v="0"/>
    <x v="0"/>
  </r>
  <r>
    <x v="20"/>
    <x v="8"/>
    <x v="20"/>
    <x v="7"/>
    <x v="0"/>
    <x v="49"/>
    <x v="1"/>
    <x v="2"/>
    <x v="34"/>
    <x v="1"/>
    <x v="0"/>
    <x v="0"/>
    <x v="0"/>
    <x v="8"/>
    <x v="0"/>
    <x v="1"/>
    <x v="0"/>
    <x v="8"/>
    <x v="6"/>
    <x v="1"/>
    <x v="4"/>
    <x v="1"/>
    <x v="33"/>
    <x v="1"/>
    <x v="206"/>
    <x v="2"/>
    <x v="33"/>
    <x v="33"/>
    <x v="41"/>
    <x v="41"/>
    <x v="0"/>
    <x v="0"/>
    <x v="2"/>
    <x v="0"/>
    <x v="1"/>
    <x v="0"/>
    <x v="1"/>
    <x v="4"/>
    <x v="210"/>
    <x v="1"/>
    <x v="0"/>
    <x v="0"/>
    <x v="0"/>
    <x v="0"/>
    <x v="0"/>
    <x v="0"/>
  </r>
  <r>
    <x v="20"/>
    <x v="19"/>
    <x v="20"/>
    <x v="13"/>
    <x v="3"/>
    <x v="239"/>
    <x v="1"/>
    <x v="0"/>
    <x v="25"/>
    <x v="0"/>
    <x v="10"/>
    <x v="19"/>
    <x v="0"/>
    <x v="2"/>
    <x v="0"/>
    <x v="1"/>
    <x v="0"/>
    <x v="9"/>
    <x v="12"/>
    <x v="0"/>
    <x v="0"/>
    <x v="1"/>
    <x v="34"/>
    <x v="4"/>
    <x v="215"/>
    <x v="63"/>
    <x v="24"/>
    <x v="24"/>
    <x v="90"/>
    <x v="65"/>
    <x v="19"/>
    <x v="0"/>
    <x v="0"/>
    <x v="0"/>
    <x v="1"/>
    <x v="0"/>
    <x v="1"/>
    <x v="0"/>
    <x v="211"/>
    <x v="0"/>
    <x v="0"/>
    <x v="0"/>
    <x v="0"/>
    <x v="0"/>
    <x v="0"/>
    <x v="0"/>
  </r>
  <r>
    <x v="20"/>
    <x v="19"/>
    <x v="20"/>
    <x v="8"/>
    <x v="1"/>
    <x v="238"/>
    <x v="1"/>
    <x v="0"/>
    <x v="126"/>
    <x v="1"/>
    <x v="0"/>
    <x v="0"/>
    <x v="0"/>
    <x v="8"/>
    <x v="0"/>
    <x v="0"/>
    <x v="1"/>
    <x v="9"/>
    <x v="12"/>
    <x v="0"/>
    <x v="0"/>
    <x v="1"/>
    <x v="34"/>
    <x v="4"/>
    <x v="216"/>
    <x v="63"/>
    <x v="123"/>
    <x v="123"/>
    <x v="90"/>
    <x v="148"/>
    <x v="0"/>
    <x v="0"/>
    <x v="0"/>
    <x v="28"/>
    <x v="1"/>
    <x v="0"/>
    <x v="1"/>
    <x v="0"/>
    <x v="212"/>
    <x v="0"/>
    <x v="0"/>
    <x v="0"/>
    <x v="0"/>
    <x v="0"/>
    <x v="0"/>
    <x v="0"/>
  </r>
  <r>
    <x v="20"/>
    <x v="19"/>
    <x v="20"/>
    <x v="8"/>
    <x v="4"/>
    <x v="238"/>
    <x v="1"/>
    <x v="0"/>
    <x v="126"/>
    <x v="1"/>
    <x v="0"/>
    <x v="0"/>
    <x v="0"/>
    <x v="8"/>
    <x v="0"/>
    <x v="0"/>
    <x v="1"/>
    <x v="9"/>
    <x v="12"/>
    <x v="0"/>
    <x v="0"/>
    <x v="1"/>
    <x v="18"/>
    <x v="4"/>
    <x v="216"/>
    <x v="63"/>
    <x v="123"/>
    <x v="123"/>
    <x v="12"/>
    <x v="12"/>
    <x v="0"/>
    <x v="0"/>
    <x v="0"/>
    <x v="28"/>
    <x v="1"/>
    <x v="0"/>
    <x v="1"/>
    <x v="0"/>
    <x v="212"/>
    <x v="0"/>
    <x v="0"/>
    <x v="0"/>
    <x v="0"/>
    <x v="2"/>
    <x v="0"/>
    <x v="0"/>
  </r>
  <r>
    <x v="20"/>
    <x v="1"/>
    <x v="20"/>
    <x v="8"/>
    <x v="3"/>
    <x v="238"/>
    <x v="1"/>
    <x v="0"/>
    <x v="126"/>
    <x v="1"/>
    <x v="0"/>
    <x v="0"/>
    <x v="0"/>
    <x v="8"/>
    <x v="0"/>
    <x v="1"/>
    <x v="0"/>
    <x v="7"/>
    <x v="7"/>
    <x v="14"/>
    <x v="19"/>
    <x v="1"/>
    <x v="34"/>
    <x v="4"/>
    <x v="217"/>
    <x v="63"/>
    <x v="123"/>
    <x v="123"/>
    <x v="90"/>
    <x v="148"/>
    <x v="0"/>
    <x v="0"/>
    <x v="2"/>
    <x v="0"/>
    <x v="1"/>
    <x v="0"/>
    <x v="1"/>
    <x v="19"/>
    <x v="213"/>
    <x v="1"/>
    <x v="0"/>
    <x v="0"/>
    <x v="0"/>
    <x v="0"/>
    <x v="0"/>
    <x v="0"/>
  </r>
  <r>
    <x v="20"/>
    <x v="19"/>
    <x v="20"/>
    <x v="13"/>
    <x v="3"/>
    <x v="241"/>
    <x v="1"/>
    <x v="0"/>
    <x v="25"/>
    <x v="0"/>
    <x v="10"/>
    <x v="19"/>
    <x v="0"/>
    <x v="2"/>
    <x v="0"/>
    <x v="1"/>
    <x v="0"/>
    <x v="9"/>
    <x v="12"/>
    <x v="0"/>
    <x v="0"/>
    <x v="1"/>
    <x v="33"/>
    <x v="4"/>
    <x v="218"/>
    <x v="63"/>
    <x v="24"/>
    <x v="24"/>
    <x v="90"/>
    <x v="65"/>
    <x v="19"/>
    <x v="0"/>
    <x v="0"/>
    <x v="0"/>
    <x v="1"/>
    <x v="0"/>
    <x v="1"/>
    <x v="0"/>
    <x v="214"/>
    <x v="0"/>
    <x v="0"/>
    <x v="0"/>
    <x v="0"/>
    <x v="0"/>
    <x v="0"/>
    <x v="0"/>
  </r>
  <r>
    <x v="20"/>
    <x v="19"/>
    <x v="20"/>
    <x v="8"/>
    <x v="1"/>
    <x v="240"/>
    <x v="1"/>
    <x v="0"/>
    <x v="126"/>
    <x v="1"/>
    <x v="0"/>
    <x v="0"/>
    <x v="0"/>
    <x v="8"/>
    <x v="0"/>
    <x v="0"/>
    <x v="1"/>
    <x v="9"/>
    <x v="12"/>
    <x v="0"/>
    <x v="0"/>
    <x v="1"/>
    <x v="34"/>
    <x v="4"/>
    <x v="219"/>
    <x v="63"/>
    <x v="123"/>
    <x v="123"/>
    <x v="90"/>
    <x v="148"/>
    <x v="0"/>
    <x v="0"/>
    <x v="0"/>
    <x v="28"/>
    <x v="1"/>
    <x v="0"/>
    <x v="1"/>
    <x v="0"/>
    <x v="215"/>
    <x v="0"/>
    <x v="0"/>
    <x v="0"/>
    <x v="0"/>
    <x v="0"/>
    <x v="0"/>
    <x v="0"/>
  </r>
  <r>
    <x v="20"/>
    <x v="19"/>
    <x v="20"/>
    <x v="8"/>
    <x v="4"/>
    <x v="240"/>
    <x v="1"/>
    <x v="0"/>
    <x v="126"/>
    <x v="1"/>
    <x v="0"/>
    <x v="0"/>
    <x v="0"/>
    <x v="8"/>
    <x v="0"/>
    <x v="0"/>
    <x v="1"/>
    <x v="9"/>
    <x v="12"/>
    <x v="0"/>
    <x v="0"/>
    <x v="1"/>
    <x v="18"/>
    <x v="4"/>
    <x v="219"/>
    <x v="63"/>
    <x v="123"/>
    <x v="123"/>
    <x v="12"/>
    <x v="12"/>
    <x v="0"/>
    <x v="0"/>
    <x v="0"/>
    <x v="28"/>
    <x v="1"/>
    <x v="0"/>
    <x v="1"/>
    <x v="0"/>
    <x v="215"/>
    <x v="0"/>
    <x v="0"/>
    <x v="0"/>
    <x v="0"/>
    <x v="2"/>
    <x v="0"/>
    <x v="0"/>
  </r>
  <r>
    <x v="20"/>
    <x v="1"/>
    <x v="20"/>
    <x v="8"/>
    <x v="3"/>
    <x v="240"/>
    <x v="1"/>
    <x v="0"/>
    <x v="126"/>
    <x v="1"/>
    <x v="0"/>
    <x v="0"/>
    <x v="0"/>
    <x v="8"/>
    <x v="0"/>
    <x v="1"/>
    <x v="0"/>
    <x v="5"/>
    <x v="8"/>
    <x v="14"/>
    <x v="19"/>
    <x v="1"/>
    <x v="34"/>
    <x v="4"/>
    <x v="220"/>
    <x v="63"/>
    <x v="123"/>
    <x v="123"/>
    <x v="90"/>
    <x v="148"/>
    <x v="0"/>
    <x v="0"/>
    <x v="2"/>
    <x v="0"/>
    <x v="1"/>
    <x v="0"/>
    <x v="1"/>
    <x v="19"/>
    <x v="216"/>
    <x v="1"/>
    <x v="0"/>
    <x v="0"/>
    <x v="0"/>
    <x v="0"/>
    <x v="0"/>
    <x v="0"/>
  </r>
  <r>
    <x v="20"/>
    <x v="19"/>
    <x v="20"/>
    <x v="13"/>
    <x v="3"/>
    <x v="242"/>
    <x v="1"/>
    <x v="0"/>
    <x v="15"/>
    <x v="0"/>
    <x v="10"/>
    <x v="13"/>
    <x v="0"/>
    <x v="2"/>
    <x v="0"/>
    <x v="1"/>
    <x v="0"/>
    <x v="9"/>
    <x v="12"/>
    <x v="0"/>
    <x v="0"/>
    <x v="1"/>
    <x v="34"/>
    <x v="4"/>
    <x v="221"/>
    <x v="33"/>
    <x v="15"/>
    <x v="15"/>
    <x v="66"/>
    <x v="57"/>
    <x v="13"/>
    <x v="0"/>
    <x v="0"/>
    <x v="0"/>
    <x v="1"/>
    <x v="0"/>
    <x v="1"/>
    <x v="0"/>
    <x v="217"/>
    <x v="0"/>
    <x v="0"/>
    <x v="0"/>
    <x v="0"/>
    <x v="0"/>
    <x v="0"/>
    <x v="0"/>
  </r>
  <r>
    <x v="20"/>
    <x v="19"/>
    <x v="20"/>
    <x v="8"/>
    <x v="1"/>
    <x v="242"/>
    <x v="1"/>
    <x v="0"/>
    <x v="107"/>
    <x v="1"/>
    <x v="0"/>
    <x v="0"/>
    <x v="0"/>
    <x v="8"/>
    <x v="0"/>
    <x v="0"/>
    <x v="1"/>
    <x v="9"/>
    <x v="12"/>
    <x v="0"/>
    <x v="0"/>
    <x v="1"/>
    <x v="34"/>
    <x v="4"/>
    <x v="222"/>
    <x v="33"/>
    <x v="93"/>
    <x v="93"/>
    <x v="66"/>
    <x v="124"/>
    <x v="0"/>
    <x v="0"/>
    <x v="0"/>
    <x v="15"/>
    <x v="1"/>
    <x v="0"/>
    <x v="1"/>
    <x v="0"/>
    <x v="218"/>
    <x v="0"/>
    <x v="0"/>
    <x v="0"/>
    <x v="0"/>
    <x v="0"/>
    <x v="0"/>
    <x v="0"/>
  </r>
  <r>
    <x v="20"/>
    <x v="19"/>
    <x v="20"/>
    <x v="8"/>
    <x v="4"/>
    <x v="242"/>
    <x v="1"/>
    <x v="0"/>
    <x v="107"/>
    <x v="1"/>
    <x v="0"/>
    <x v="0"/>
    <x v="0"/>
    <x v="8"/>
    <x v="0"/>
    <x v="0"/>
    <x v="1"/>
    <x v="9"/>
    <x v="12"/>
    <x v="0"/>
    <x v="0"/>
    <x v="1"/>
    <x v="18"/>
    <x v="4"/>
    <x v="223"/>
    <x v="33"/>
    <x v="93"/>
    <x v="93"/>
    <x v="24"/>
    <x v="24"/>
    <x v="0"/>
    <x v="0"/>
    <x v="0"/>
    <x v="15"/>
    <x v="1"/>
    <x v="0"/>
    <x v="1"/>
    <x v="0"/>
    <x v="218"/>
    <x v="0"/>
    <x v="0"/>
    <x v="0"/>
    <x v="0"/>
    <x v="2"/>
    <x v="0"/>
    <x v="0"/>
  </r>
  <r>
    <x v="20"/>
    <x v="1"/>
    <x v="20"/>
    <x v="8"/>
    <x v="3"/>
    <x v="242"/>
    <x v="1"/>
    <x v="0"/>
    <x v="107"/>
    <x v="1"/>
    <x v="0"/>
    <x v="0"/>
    <x v="0"/>
    <x v="8"/>
    <x v="0"/>
    <x v="1"/>
    <x v="0"/>
    <x v="4"/>
    <x v="5"/>
    <x v="14"/>
    <x v="19"/>
    <x v="1"/>
    <x v="34"/>
    <x v="4"/>
    <x v="224"/>
    <x v="33"/>
    <x v="93"/>
    <x v="93"/>
    <x v="66"/>
    <x v="124"/>
    <x v="0"/>
    <x v="0"/>
    <x v="2"/>
    <x v="0"/>
    <x v="1"/>
    <x v="0"/>
    <x v="1"/>
    <x v="19"/>
    <x v="219"/>
    <x v="1"/>
    <x v="0"/>
    <x v="0"/>
    <x v="0"/>
    <x v="0"/>
    <x v="0"/>
    <x v="0"/>
  </r>
  <r>
    <x v="21"/>
    <x v="19"/>
    <x v="21"/>
    <x v="16"/>
    <x v="3"/>
    <x v="244"/>
    <x v="1"/>
    <x v="0"/>
    <x v="14"/>
    <x v="0"/>
    <x v="10"/>
    <x v="12"/>
    <x v="0"/>
    <x v="2"/>
    <x v="0"/>
    <x v="1"/>
    <x v="0"/>
    <x v="9"/>
    <x v="12"/>
    <x v="0"/>
    <x v="0"/>
    <x v="1"/>
    <x v="34"/>
    <x v="4"/>
    <x v="225"/>
    <x v="32"/>
    <x v="14"/>
    <x v="14"/>
    <x v="65"/>
    <x v="56"/>
    <x v="12"/>
    <x v="0"/>
    <x v="0"/>
    <x v="0"/>
    <x v="1"/>
    <x v="0"/>
    <x v="1"/>
    <x v="0"/>
    <x v="220"/>
    <x v="0"/>
    <x v="0"/>
    <x v="0"/>
    <x v="0"/>
    <x v="0"/>
    <x v="0"/>
    <x v="0"/>
  </r>
  <r>
    <x v="21"/>
    <x v="19"/>
    <x v="21"/>
    <x v="8"/>
    <x v="1"/>
    <x v="243"/>
    <x v="1"/>
    <x v="0"/>
    <x v="106"/>
    <x v="1"/>
    <x v="0"/>
    <x v="0"/>
    <x v="0"/>
    <x v="8"/>
    <x v="0"/>
    <x v="0"/>
    <x v="1"/>
    <x v="9"/>
    <x v="12"/>
    <x v="0"/>
    <x v="0"/>
    <x v="1"/>
    <x v="34"/>
    <x v="4"/>
    <x v="226"/>
    <x v="32"/>
    <x v="92"/>
    <x v="92"/>
    <x v="65"/>
    <x v="123"/>
    <x v="0"/>
    <x v="0"/>
    <x v="0"/>
    <x v="14"/>
    <x v="1"/>
    <x v="0"/>
    <x v="1"/>
    <x v="0"/>
    <x v="221"/>
    <x v="0"/>
    <x v="0"/>
    <x v="0"/>
    <x v="0"/>
    <x v="0"/>
    <x v="0"/>
    <x v="0"/>
  </r>
  <r>
    <x v="21"/>
    <x v="19"/>
    <x v="21"/>
    <x v="8"/>
    <x v="4"/>
    <x v="243"/>
    <x v="1"/>
    <x v="0"/>
    <x v="106"/>
    <x v="1"/>
    <x v="0"/>
    <x v="0"/>
    <x v="0"/>
    <x v="8"/>
    <x v="0"/>
    <x v="0"/>
    <x v="1"/>
    <x v="9"/>
    <x v="12"/>
    <x v="0"/>
    <x v="0"/>
    <x v="1"/>
    <x v="18"/>
    <x v="4"/>
    <x v="226"/>
    <x v="32"/>
    <x v="92"/>
    <x v="92"/>
    <x v="25"/>
    <x v="25"/>
    <x v="0"/>
    <x v="0"/>
    <x v="0"/>
    <x v="14"/>
    <x v="1"/>
    <x v="0"/>
    <x v="1"/>
    <x v="0"/>
    <x v="221"/>
    <x v="0"/>
    <x v="0"/>
    <x v="0"/>
    <x v="0"/>
    <x v="2"/>
    <x v="0"/>
    <x v="0"/>
  </r>
  <r>
    <x v="21"/>
    <x v="13"/>
    <x v="21"/>
    <x v="8"/>
    <x v="3"/>
    <x v="243"/>
    <x v="1"/>
    <x v="0"/>
    <x v="106"/>
    <x v="1"/>
    <x v="0"/>
    <x v="0"/>
    <x v="0"/>
    <x v="8"/>
    <x v="0"/>
    <x v="1"/>
    <x v="0"/>
    <x v="7"/>
    <x v="7"/>
    <x v="4"/>
    <x v="7"/>
    <x v="1"/>
    <x v="34"/>
    <x v="4"/>
    <x v="227"/>
    <x v="32"/>
    <x v="92"/>
    <x v="92"/>
    <x v="65"/>
    <x v="123"/>
    <x v="0"/>
    <x v="0"/>
    <x v="2"/>
    <x v="0"/>
    <x v="1"/>
    <x v="0"/>
    <x v="1"/>
    <x v="7"/>
    <x v="222"/>
    <x v="1"/>
    <x v="0"/>
    <x v="0"/>
    <x v="0"/>
    <x v="0"/>
    <x v="0"/>
    <x v="0"/>
  </r>
  <r>
    <x v="21"/>
    <x v="19"/>
    <x v="21"/>
    <x v="16"/>
    <x v="3"/>
    <x v="246"/>
    <x v="1"/>
    <x v="0"/>
    <x v="16"/>
    <x v="0"/>
    <x v="10"/>
    <x v="14"/>
    <x v="0"/>
    <x v="2"/>
    <x v="0"/>
    <x v="1"/>
    <x v="0"/>
    <x v="9"/>
    <x v="12"/>
    <x v="0"/>
    <x v="0"/>
    <x v="1"/>
    <x v="33"/>
    <x v="4"/>
    <x v="228"/>
    <x v="35"/>
    <x v="16"/>
    <x v="16"/>
    <x v="67"/>
    <x v="58"/>
    <x v="14"/>
    <x v="0"/>
    <x v="0"/>
    <x v="0"/>
    <x v="1"/>
    <x v="0"/>
    <x v="1"/>
    <x v="0"/>
    <x v="223"/>
    <x v="0"/>
    <x v="0"/>
    <x v="0"/>
    <x v="0"/>
    <x v="0"/>
    <x v="0"/>
    <x v="0"/>
  </r>
  <r>
    <x v="21"/>
    <x v="19"/>
    <x v="21"/>
    <x v="8"/>
    <x v="1"/>
    <x v="245"/>
    <x v="1"/>
    <x v="0"/>
    <x v="109"/>
    <x v="1"/>
    <x v="0"/>
    <x v="0"/>
    <x v="0"/>
    <x v="8"/>
    <x v="0"/>
    <x v="0"/>
    <x v="1"/>
    <x v="9"/>
    <x v="12"/>
    <x v="0"/>
    <x v="0"/>
    <x v="1"/>
    <x v="33"/>
    <x v="4"/>
    <x v="229"/>
    <x v="35"/>
    <x v="95"/>
    <x v="95"/>
    <x v="67"/>
    <x v="125"/>
    <x v="0"/>
    <x v="0"/>
    <x v="0"/>
    <x v="16"/>
    <x v="1"/>
    <x v="0"/>
    <x v="1"/>
    <x v="0"/>
    <x v="224"/>
    <x v="0"/>
    <x v="0"/>
    <x v="0"/>
    <x v="0"/>
    <x v="0"/>
    <x v="0"/>
    <x v="0"/>
  </r>
  <r>
    <x v="21"/>
    <x v="19"/>
    <x v="21"/>
    <x v="8"/>
    <x v="4"/>
    <x v="245"/>
    <x v="1"/>
    <x v="0"/>
    <x v="109"/>
    <x v="1"/>
    <x v="0"/>
    <x v="0"/>
    <x v="0"/>
    <x v="8"/>
    <x v="0"/>
    <x v="0"/>
    <x v="1"/>
    <x v="9"/>
    <x v="12"/>
    <x v="0"/>
    <x v="0"/>
    <x v="1"/>
    <x v="18"/>
    <x v="4"/>
    <x v="229"/>
    <x v="35"/>
    <x v="95"/>
    <x v="95"/>
    <x v="23"/>
    <x v="23"/>
    <x v="0"/>
    <x v="0"/>
    <x v="0"/>
    <x v="16"/>
    <x v="1"/>
    <x v="0"/>
    <x v="1"/>
    <x v="0"/>
    <x v="224"/>
    <x v="0"/>
    <x v="0"/>
    <x v="0"/>
    <x v="0"/>
    <x v="2"/>
    <x v="0"/>
    <x v="0"/>
  </r>
  <r>
    <x v="21"/>
    <x v="13"/>
    <x v="21"/>
    <x v="8"/>
    <x v="3"/>
    <x v="245"/>
    <x v="1"/>
    <x v="0"/>
    <x v="109"/>
    <x v="1"/>
    <x v="0"/>
    <x v="0"/>
    <x v="0"/>
    <x v="8"/>
    <x v="0"/>
    <x v="1"/>
    <x v="0"/>
    <x v="5"/>
    <x v="8"/>
    <x v="4"/>
    <x v="7"/>
    <x v="1"/>
    <x v="34"/>
    <x v="4"/>
    <x v="230"/>
    <x v="35"/>
    <x v="95"/>
    <x v="95"/>
    <x v="67"/>
    <x v="125"/>
    <x v="0"/>
    <x v="0"/>
    <x v="2"/>
    <x v="0"/>
    <x v="1"/>
    <x v="0"/>
    <x v="1"/>
    <x v="7"/>
    <x v="225"/>
    <x v="1"/>
    <x v="0"/>
    <x v="0"/>
    <x v="0"/>
    <x v="0"/>
    <x v="0"/>
    <x v="0"/>
  </r>
  <r>
    <x v="21"/>
    <x v="19"/>
    <x v="21"/>
    <x v="16"/>
    <x v="3"/>
    <x v="248"/>
    <x v="1"/>
    <x v="0"/>
    <x v="12"/>
    <x v="0"/>
    <x v="10"/>
    <x v="10"/>
    <x v="0"/>
    <x v="2"/>
    <x v="0"/>
    <x v="1"/>
    <x v="0"/>
    <x v="9"/>
    <x v="12"/>
    <x v="0"/>
    <x v="0"/>
    <x v="1"/>
    <x v="34"/>
    <x v="4"/>
    <x v="231"/>
    <x v="28"/>
    <x v="12"/>
    <x v="12"/>
    <x v="62"/>
    <x v="54"/>
    <x v="10"/>
    <x v="0"/>
    <x v="0"/>
    <x v="0"/>
    <x v="1"/>
    <x v="0"/>
    <x v="1"/>
    <x v="0"/>
    <x v="226"/>
    <x v="0"/>
    <x v="0"/>
    <x v="0"/>
    <x v="0"/>
    <x v="0"/>
    <x v="0"/>
    <x v="0"/>
  </r>
  <r>
    <x v="21"/>
    <x v="19"/>
    <x v="21"/>
    <x v="8"/>
    <x v="1"/>
    <x v="247"/>
    <x v="1"/>
    <x v="0"/>
    <x v="102"/>
    <x v="1"/>
    <x v="0"/>
    <x v="0"/>
    <x v="0"/>
    <x v="8"/>
    <x v="0"/>
    <x v="0"/>
    <x v="1"/>
    <x v="9"/>
    <x v="12"/>
    <x v="0"/>
    <x v="0"/>
    <x v="1"/>
    <x v="33"/>
    <x v="4"/>
    <x v="232"/>
    <x v="28"/>
    <x v="88"/>
    <x v="88"/>
    <x v="62"/>
    <x v="120"/>
    <x v="0"/>
    <x v="0"/>
    <x v="0"/>
    <x v="11"/>
    <x v="1"/>
    <x v="0"/>
    <x v="1"/>
    <x v="0"/>
    <x v="227"/>
    <x v="0"/>
    <x v="0"/>
    <x v="0"/>
    <x v="0"/>
    <x v="0"/>
    <x v="0"/>
    <x v="0"/>
  </r>
  <r>
    <x v="21"/>
    <x v="19"/>
    <x v="21"/>
    <x v="8"/>
    <x v="4"/>
    <x v="247"/>
    <x v="1"/>
    <x v="0"/>
    <x v="102"/>
    <x v="1"/>
    <x v="0"/>
    <x v="0"/>
    <x v="0"/>
    <x v="8"/>
    <x v="0"/>
    <x v="0"/>
    <x v="1"/>
    <x v="9"/>
    <x v="12"/>
    <x v="0"/>
    <x v="0"/>
    <x v="1"/>
    <x v="18"/>
    <x v="4"/>
    <x v="232"/>
    <x v="28"/>
    <x v="88"/>
    <x v="88"/>
    <x v="28"/>
    <x v="28"/>
    <x v="0"/>
    <x v="0"/>
    <x v="0"/>
    <x v="11"/>
    <x v="1"/>
    <x v="0"/>
    <x v="1"/>
    <x v="0"/>
    <x v="227"/>
    <x v="0"/>
    <x v="0"/>
    <x v="0"/>
    <x v="0"/>
    <x v="2"/>
    <x v="0"/>
    <x v="0"/>
  </r>
  <r>
    <x v="21"/>
    <x v="13"/>
    <x v="21"/>
    <x v="8"/>
    <x v="3"/>
    <x v="247"/>
    <x v="1"/>
    <x v="0"/>
    <x v="102"/>
    <x v="1"/>
    <x v="0"/>
    <x v="0"/>
    <x v="0"/>
    <x v="8"/>
    <x v="0"/>
    <x v="1"/>
    <x v="0"/>
    <x v="8"/>
    <x v="6"/>
    <x v="4"/>
    <x v="12"/>
    <x v="1"/>
    <x v="34"/>
    <x v="4"/>
    <x v="233"/>
    <x v="28"/>
    <x v="88"/>
    <x v="88"/>
    <x v="62"/>
    <x v="120"/>
    <x v="0"/>
    <x v="0"/>
    <x v="2"/>
    <x v="0"/>
    <x v="1"/>
    <x v="0"/>
    <x v="1"/>
    <x v="12"/>
    <x v="228"/>
    <x v="1"/>
    <x v="0"/>
    <x v="0"/>
    <x v="0"/>
    <x v="0"/>
    <x v="0"/>
    <x v="0"/>
  </r>
  <r>
    <x v="21"/>
    <x v="19"/>
    <x v="21"/>
    <x v="16"/>
    <x v="3"/>
    <x v="251"/>
    <x v="1"/>
    <x v="0"/>
    <x v="14"/>
    <x v="0"/>
    <x v="10"/>
    <x v="12"/>
    <x v="0"/>
    <x v="2"/>
    <x v="0"/>
    <x v="1"/>
    <x v="0"/>
    <x v="9"/>
    <x v="12"/>
    <x v="0"/>
    <x v="0"/>
    <x v="1"/>
    <x v="34"/>
    <x v="4"/>
    <x v="234"/>
    <x v="32"/>
    <x v="14"/>
    <x v="14"/>
    <x v="65"/>
    <x v="56"/>
    <x v="12"/>
    <x v="0"/>
    <x v="0"/>
    <x v="0"/>
    <x v="1"/>
    <x v="0"/>
    <x v="1"/>
    <x v="0"/>
    <x v="229"/>
    <x v="0"/>
    <x v="0"/>
    <x v="0"/>
    <x v="0"/>
    <x v="0"/>
    <x v="0"/>
    <x v="0"/>
  </r>
  <r>
    <x v="21"/>
    <x v="19"/>
    <x v="21"/>
    <x v="8"/>
    <x v="1"/>
    <x v="251"/>
    <x v="1"/>
    <x v="0"/>
    <x v="106"/>
    <x v="1"/>
    <x v="0"/>
    <x v="0"/>
    <x v="0"/>
    <x v="8"/>
    <x v="0"/>
    <x v="0"/>
    <x v="1"/>
    <x v="9"/>
    <x v="12"/>
    <x v="0"/>
    <x v="0"/>
    <x v="1"/>
    <x v="34"/>
    <x v="4"/>
    <x v="235"/>
    <x v="32"/>
    <x v="92"/>
    <x v="92"/>
    <x v="65"/>
    <x v="123"/>
    <x v="0"/>
    <x v="0"/>
    <x v="0"/>
    <x v="14"/>
    <x v="1"/>
    <x v="0"/>
    <x v="1"/>
    <x v="0"/>
    <x v="230"/>
    <x v="0"/>
    <x v="0"/>
    <x v="0"/>
    <x v="0"/>
    <x v="0"/>
    <x v="0"/>
    <x v="0"/>
  </r>
  <r>
    <x v="21"/>
    <x v="19"/>
    <x v="21"/>
    <x v="8"/>
    <x v="4"/>
    <x v="251"/>
    <x v="1"/>
    <x v="0"/>
    <x v="106"/>
    <x v="1"/>
    <x v="0"/>
    <x v="0"/>
    <x v="0"/>
    <x v="8"/>
    <x v="0"/>
    <x v="0"/>
    <x v="1"/>
    <x v="9"/>
    <x v="12"/>
    <x v="0"/>
    <x v="0"/>
    <x v="1"/>
    <x v="18"/>
    <x v="4"/>
    <x v="235"/>
    <x v="32"/>
    <x v="92"/>
    <x v="92"/>
    <x v="25"/>
    <x v="25"/>
    <x v="0"/>
    <x v="0"/>
    <x v="0"/>
    <x v="14"/>
    <x v="1"/>
    <x v="0"/>
    <x v="1"/>
    <x v="0"/>
    <x v="230"/>
    <x v="0"/>
    <x v="0"/>
    <x v="0"/>
    <x v="0"/>
    <x v="2"/>
    <x v="0"/>
    <x v="0"/>
  </r>
  <r>
    <x v="21"/>
    <x v="13"/>
    <x v="21"/>
    <x v="8"/>
    <x v="3"/>
    <x v="251"/>
    <x v="1"/>
    <x v="0"/>
    <x v="106"/>
    <x v="1"/>
    <x v="0"/>
    <x v="0"/>
    <x v="0"/>
    <x v="8"/>
    <x v="0"/>
    <x v="1"/>
    <x v="0"/>
    <x v="4"/>
    <x v="5"/>
    <x v="4"/>
    <x v="7"/>
    <x v="1"/>
    <x v="33"/>
    <x v="4"/>
    <x v="236"/>
    <x v="32"/>
    <x v="92"/>
    <x v="92"/>
    <x v="65"/>
    <x v="123"/>
    <x v="0"/>
    <x v="0"/>
    <x v="2"/>
    <x v="0"/>
    <x v="1"/>
    <x v="0"/>
    <x v="1"/>
    <x v="7"/>
    <x v="231"/>
    <x v="1"/>
    <x v="0"/>
    <x v="0"/>
    <x v="0"/>
    <x v="0"/>
    <x v="0"/>
    <x v="0"/>
  </r>
  <r>
    <x v="21"/>
    <x v="19"/>
    <x v="21"/>
    <x v="16"/>
    <x v="3"/>
    <x v="253"/>
    <x v="1"/>
    <x v="0"/>
    <x v="16"/>
    <x v="0"/>
    <x v="10"/>
    <x v="14"/>
    <x v="0"/>
    <x v="2"/>
    <x v="0"/>
    <x v="1"/>
    <x v="0"/>
    <x v="9"/>
    <x v="12"/>
    <x v="0"/>
    <x v="0"/>
    <x v="1"/>
    <x v="34"/>
    <x v="4"/>
    <x v="237"/>
    <x v="35"/>
    <x v="16"/>
    <x v="16"/>
    <x v="67"/>
    <x v="58"/>
    <x v="14"/>
    <x v="0"/>
    <x v="0"/>
    <x v="0"/>
    <x v="1"/>
    <x v="0"/>
    <x v="1"/>
    <x v="0"/>
    <x v="232"/>
    <x v="0"/>
    <x v="0"/>
    <x v="0"/>
    <x v="0"/>
    <x v="0"/>
    <x v="0"/>
    <x v="0"/>
  </r>
  <r>
    <x v="21"/>
    <x v="19"/>
    <x v="21"/>
    <x v="8"/>
    <x v="1"/>
    <x v="252"/>
    <x v="1"/>
    <x v="0"/>
    <x v="109"/>
    <x v="1"/>
    <x v="0"/>
    <x v="0"/>
    <x v="0"/>
    <x v="8"/>
    <x v="0"/>
    <x v="0"/>
    <x v="1"/>
    <x v="9"/>
    <x v="12"/>
    <x v="0"/>
    <x v="0"/>
    <x v="1"/>
    <x v="34"/>
    <x v="4"/>
    <x v="238"/>
    <x v="35"/>
    <x v="95"/>
    <x v="95"/>
    <x v="67"/>
    <x v="125"/>
    <x v="0"/>
    <x v="0"/>
    <x v="0"/>
    <x v="16"/>
    <x v="1"/>
    <x v="0"/>
    <x v="1"/>
    <x v="0"/>
    <x v="233"/>
    <x v="0"/>
    <x v="0"/>
    <x v="0"/>
    <x v="0"/>
    <x v="0"/>
    <x v="0"/>
    <x v="0"/>
  </r>
  <r>
    <x v="21"/>
    <x v="19"/>
    <x v="21"/>
    <x v="8"/>
    <x v="4"/>
    <x v="252"/>
    <x v="1"/>
    <x v="0"/>
    <x v="109"/>
    <x v="1"/>
    <x v="0"/>
    <x v="0"/>
    <x v="0"/>
    <x v="8"/>
    <x v="0"/>
    <x v="0"/>
    <x v="1"/>
    <x v="9"/>
    <x v="12"/>
    <x v="0"/>
    <x v="0"/>
    <x v="1"/>
    <x v="18"/>
    <x v="4"/>
    <x v="239"/>
    <x v="35"/>
    <x v="95"/>
    <x v="95"/>
    <x v="23"/>
    <x v="23"/>
    <x v="0"/>
    <x v="0"/>
    <x v="0"/>
    <x v="16"/>
    <x v="1"/>
    <x v="0"/>
    <x v="1"/>
    <x v="0"/>
    <x v="233"/>
    <x v="0"/>
    <x v="0"/>
    <x v="0"/>
    <x v="0"/>
    <x v="2"/>
    <x v="0"/>
    <x v="0"/>
  </r>
  <r>
    <x v="21"/>
    <x v="13"/>
    <x v="21"/>
    <x v="8"/>
    <x v="3"/>
    <x v="252"/>
    <x v="1"/>
    <x v="0"/>
    <x v="109"/>
    <x v="1"/>
    <x v="0"/>
    <x v="0"/>
    <x v="0"/>
    <x v="8"/>
    <x v="0"/>
    <x v="1"/>
    <x v="0"/>
    <x v="7"/>
    <x v="7"/>
    <x v="4"/>
    <x v="7"/>
    <x v="1"/>
    <x v="35"/>
    <x v="4"/>
    <x v="240"/>
    <x v="35"/>
    <x v="95"/>
    <x v="95"/>
    <x v="67"/>
    <x v="125"/>
    <x v="0"/>
    <x v="0"/>
    <x v="2"/>
    <x v="0"/>
    <x v="1"/>
    <x v="0"/>
    <x v="1"/>
    <x v="7"/>
    <x v="234"/>
    <x v="1"/>
    <x v="0"/>
    <x v="0"/>
    <x v="0"/>
    <x v="0"/>
    <x v="0"/>
    <x v="0"/>
  </r>
  <r>
    <x v="21"/>
    <x v="19"/>
    <x v="21"/>
    <x v="16"/>
    <x v="3"/>
    <x v="255"/>
    <x v="1"/>
    <x v="0"/>
    <x v="16"/>
    <x v="0"/>
    <x v="10"/>
    <x v="14"/>
    <x v="0"/>
    <x v="2"/>
    <x v="0"/>
    <x v="1"/>
    <x v="0"/>
    <x v="9"/>
    <x v="12"/>
    <x v="0"/>
    <x v="0"/>
    <x v="1"/>
    <x v="34"/>
    <x v="4"/>
    <x v="241"/>
    <x v="35"/>
    <x v="16"/>
    <x v="16"/>
    <x v="67"/>
    <x v="58"/>
    <x v="14"/>
    <x v="0"/>
    <x v="0"/>
    <x v="0"/>
    <x v="1"/>
    <x v="0"/>
    <x v="1"/>
    <x v="0"/>
    <x v="235"/>
    <x v="0"/>
    <x v="0"/>
    <x v="0"/>
    <x v="0"/>
    <x v="0"/>
    <x v="0"/>
    <x v="0"/>
  </r>
  <r>
    <x v="21"/>
    <x v="19"/>
    <x v="21"/>
    <x v="8"/>
    <x v="1"/>
    <x v="254"/>
    <x v="1"/>
    <x v="0"/>
    <x v="109"/>
    <x v="1"/>
    <x v="0"/>
    <x v="0"/>
    <x v="0"/>
    <x v="8"/>
    <x v="0"/>
    <x v="0"/>
    <x v="1"/>
    <x v="9"/>
    <x v="12"/>
    <x v="0"/>
    <x v="0"/>
    <x v="1"/>
    <x v="34"/>
    <x v="4"/>
    <x v="242"/>
    <x v="35"/>
    <x v="95"/>
    <x v="95"/>
    <x v="67"/>
    <x v="125"/>
    <x v="0"/>
    <x v="0"/>
    <x v="0"/>
    <x v="16"/>
    <x v="1"/>
    <x v="0"/>
    <x v="1"/>
    <x v="0"/>
    <x v="236"/>
    <x v="0"/>
    <x v="0"/>
    <x v="0"/>
    <x v="0"/>
    <x v="0"/>
    <x v="0"/>
    <x v="0"/>
  </r>
  <r>
    <x v="21"/>
    <x v="19"/>
    <x v="21"/>
    <x v="8"/>
    <x v="4"/>
    <x v="254"/>
    <x v="1"/>
    <x v="0"/>
    <x v="109"/>
    <x v="1"/>
    <x v="0"/>
    <x v="0"/>
    <x v="0"/>
    <x v="8"/>
    <x v="0"/>
    <x v="0"/>
    <x v="1"/>
    <x v="9"/>
    <x v="12"/>
    <x v="0"/>
    <x v="0"/>
    <x v="1"/>
    <x v="18"/>
    <x v="4"/>
    <x v="242"/>
    <x v="35"/>
    <x v="95"/>
    <x v="95"/>
    <x v="23"/>
    <x v="23"/>
    <x v="0"/>
    <x v="0"/>
    <x v="0"/>
    <x v="16"/>
    <x v="1"/>
    <x v="0"/>
    <x v="1"/>
    <x v="0"/>
    <x v="236"/>
    <x v="0"/>
    <x v="0"/>
    <x v="0"/>
    <x v="0"/>
    <x v="2"/>
    <x v="0"/>
    <x v="0"/>
  </r>
  <r>
    <x v="21"/>
    <x v="13"/>
    <x v="21"/>
    <x v="8"/>
    <x v="3"/>
    <x v="254"/>
    <x v="1"/>
    <x v="0"/>
    <x v="109"/>
    <x v="1"/>
    <x v="0"/>
    <x v="0"/>
    <x v="0"/>
    <x v="8"/>
    <x v="0"/>
    <x v="1"/>
    <x v="0"/>
    <x v="5"/>
    <x v="8"/>
    <x v="4"/>
    <x v="7"/>
    <x v="1"/>
    <x v="33"/>
    <x v="4"/>
    <x v="243"/>
    <x v="35"/>
    <x v="95"/>
    <x v="95"/>
    <x v="67"/>
    <x v="125"/>
    <x v="0"/>
    <x v="0"/>
    <x v="2"/>
    <x v="0"/>
    <x v="1"/>
    <x v="0"/>
    <x v="1"/>
    <x v="7"/>
    <x v="237"/>
    <x v="1"/>
    <x v="0"/>
    <x v="0"/>
    <x v="0"/>
    <x v="0"/>
    <x v="0"/>
    <x v="0"/>
  </r>
  <r>
    <x v="21"/>
    <x v="19"/>
    <x v="21"/>
    <x v="16"/>
    <x v="3"/>
    <x v="133"/>
    <x v="1"/>
    <x v="0"/>
    <x v="14"/>
    <x v="0"/>
    <x v="0"/>
    <x v="0"/>
    <x v="0"/>
    <x v="2"/>
    <x v="1"/>
    <x v="1"/>
    <x v="2"/>
    <x v="9"/>
    <x v="12"/>
    <x v="0"/>
    <x v="0"/>
    <x v="1"/>
    <x v="37"/>
    <x v="4"/>
    <x v="485"/>
    <x v="32"/>
    <x v="14"/>
    <x v="14"/>
    <x v="65"/>
    <x v="56"/>
    <x v="0"/>
    <x v="0"/>
    <x v="0"/>
    <x v="0"/>
    <x v="1"/>
    <x v="0"/>
    <x v="1"/>
    <x v="0"/>
    <x v="238"/>
    <x v="0"/>
    <x v="0"/>
    <x v="0"/>
    <x v="0"/>
    <x v="0"/>
    <x v="0"/>
    <x v="0"/>
  </r>
  <r>
    <x v="21"/>
    <x v="19"/>
    <x v="21"/>
    <x v="8"/>
    <x v="1"/>
    <x v="132"/>
    <x v="1"/>
    <x v="0"/>
    <x v="106"/>
    <x v="1"/>
    <x v="0"/>
    <x v="0"/>
    <x v="0"/>
    <x v="8"/>
    <x v="0"/>
    <x v="0"/>
    <x v="1"/>
    <x v="9"/>
    <x v="12"/>
    <x v="0"/>
    <x v="0"/>
    <x v="1"/>
    <x v="36"/>
    <x v="4"/>
    <x v="486"/>
    <x v="32"/>
    <x v="92"/>
    <x v="92"/>
    <x v="65"/>
    <x v="123"/>
    <x v="0"/>
    <x v="0"/>
    <x v="0"/>
    <x v="14"/>
    <x v="1"/>
    <x v="0"/>
    <x v="1"/>
    <x v="0"/>
    <x v="239"/>
    <x v="0"/>
    <x v="0"/>
    <x v="0"/>
    <x v="0"/>
    <x v="0"/>
    <x v="0"/>
    <x v="0"/>
  </r>
  <r>
    <x v="21"/>
    <x v="19"/>
    <x v="21"/>
    <x v="8"/>
    <x v="4"/>
    <x v="132"/>
    <x v="1"/>
    <x v="0"/>
    <x v="106"/>
    <x v="1"/>
    <x v="0"/>
    <x v="0"/>
    <x v="0"/>
    <x v="10"/>
    <x v="0"/>
    <x v="0"/>
    <x v="1"/>
    <x v="9"/>
    <x v="12"/>
    <x v="0"/>
    <x v="0"/>
    <x v="1"/>
    <x v="18"/>
    <x v="4"/>
    <x v="487"/>
    <x v="32"/>
    <x v="92"/>
    <x v="92"/>
    <x v="25"/>
    <x v="25"/>
    <x v="0"/>
    <x v="0"/>
    <x v="0"/>
    <x v="14"/>
    <x v="1"/>
    <x v="0"/>
    <x v="1"/>
    <x v="0"/>
    <x v="239"/>
    <x v="0"/>
    <x v="0"/>
    <x v="0"/>
    <x v="0"/>
    <x v="2"/>
    <x v="0"/>
    <x v="0"/>
  </r>
  <r>
    <x v="21"/>
    <x v="13"/>
    <x v="21"/>
    <x v="8"/>
    <x v="3"/>
    <x v="132"/>
    <x v="1"/>
    <x v="0"/>
    <x v="106"/>
    <x v="1"/>
    <x v="0"/>
    <x v="0"/>
    <x v="0"/>
    <x v="8"/>
    <x v="0"/>
    <x v="1"/>
    <x v="0"/>
    <x v="6"/>
    <x v="1"/>
    <x v="4"/>
    <x v="7"/>
    <x v="1"/>
    <x v="36"/>
    <x v="4"/>
    <x v="488"/>
    <x v="32"/>
    <x v="92"/>
    <x v="92"/>
    <x v="65"/>
    <x v="123"/>
    <x v="0"/>
    <x v="0"/>
    <x v="1"/>
    <x v="0"/>
    <x v="1"/>
    <x v="0"/>
    <x v="1"/>
    <x v="7"/>
    <x v="240"/>
    <x v="1"/>
    <x v="0"/>
    <x v="0"/>
    <x v="0"/>
    <x v="0"/>
    <x v="0"/>
    <x v="0"/>
  </r>
  <r>
    <x v="22"/>
    <x v="19"/>
    <x v="22"/>
    <x v="5"/>
    <x v="3"/>
    <x v="177"/>
    <x v="1"/>
    <x v="1"/>
    <x v="61"/>
    <x v="0"/>
    <x v="11"/>
    <x v="55"/>
    <x v="0"/>
    <x v="2"/>
    <x v="1"/>
    <x v="1"/>
    <x v="0"/>
    <x v="9"/>
    <x v="12"/>
    <x v="0"/>
    <x v="0"/>
    <x v="1"/>
    <x v="48"/>
    <x v="4"/>
    <x v="213"/>
    <x v="98"/>
    <x v="46"/>
    <x v="46"/>
    <x v="122"/>
    <x v="85"/>
    <x v="55"/>
    <x v="0"/>
    <x v="0"/>
    <x v="0"/>
    <x v="1"/>
    <x v="0"/>
    <x v="1"/>
    <x v="0"/>
    <x v="241"/>
    <x v="0"/>
    <x v="0"/>
    <x v="0"/>
    <x v="0"/>
    <x v="0"/>
    <x v="0"/>
    <x v="0"/>
  </r>
  <r>
    <x v="22"/>
    <x v="19"/>
    <x v="22"/>
    <x v="5"/>
    <x v="3"/>
    <x v="182"/>
    <x v="1"/>
    <x v="1"/>
    <x v="76"/>
    <x v="0"/>
    <x v="11"/>
    <x v="79"/>
    <x v="0"/>
    <x v="2"/>
    <x v="1"/>
    <x v="1"/>
    <x v="0"/>
    <x v="9"/>
    <x v="12"/>
    <x v="0"/>
    <x v="0"/>
    <x v="1"/>
    <x v="47"/>
    <x v="4"/>
    <x v="214"/>
    <x v="112"/>
    <x v="61"/>
    <x v="61"/>
    <x v="136"/>
    <x v="100"/>
    <x v="79"/>
    <x v="0"/>
    <x v="0"/>
    <x v="0"/>
    <x v="1"/>
    <x v="0"/>
    <x v="1"/>
    <x v="0"/>
    <x v="242"/>
    <x v="0"/>
    <x v="0"/>
    <x v="0"/>
    <x v="0"/>
    <x v="0"/>
    <x v="0"/>
    <x v="0"/>
  </r>
  <r>
    <x v="22"/>
    <x v="9"/>
    <x v="22"/>
    <x v="8"/>
    <x v="0"/>
    <x v="50"/>
    <x v="1"/>
    <x v="2"/>
    <x v="142"/>
    <x v="1"/>
    <x v="0"/>
    <x v="0"/>
    <x v="0"/>
    <x v="8"/>
    <x v="0"/>
    <x v="1"/>
    <x v="0"/>
    <x v="5"/>
    <x v="8"/>
    <x v="1"/>
    <x v="3"/>
    <x v="0"/>
    <x v="34"/>
    <x v="2"/>
    <x v="244"/>
    <x v="84"/>
    <x v="143"/>
    <x v="143"/>
    <x v="41"/>
    <x v="41"/>
    <x v="0"/>
    <x v="0"/>
    <x v="2"/>
    <x v="0"/>
    <x v="1"/>
    <x v="0"/>
    <x v="1"/>
    <x v="3"/>
    <x v="243"/>
    <x v="1"/>
    <x v="0"/>
    <x v="0"/>
    <x v="0"/>
    <x v="0"/>
    <x v="0"/>
    <x v="0"/>
  </r>
  <r>
    <x v="22"/>
    <x v="8"/>
    <x v="22"/>
    <x v="7"/>
    <x v="2"/>
    <x v="317"/>
    <x v="1"/>
    <x v="1"/>
    <x v="142"/>
    <x v="1"/>
    <x v="0"/>
    <x v="0"/>
    <x v="0"/>
    <x v="8"/>
    <x v="0"/>
    <x v="1"/>
    <x v="0"/>
    <x v="5"/>
    <x v="8"/>
    <x v="5"/>
    <x v="8"/>
    <x v="2"/>
    <x v="34"/>
    <x v="4"/>
    <x v="245"/>
    <x v="84"/>
    <x v="143"/>
    <x v="143"/>
    <x v="0"/>
    <x v="0"/>
    <x v="0"/>
    <x v="0"/>
    <x v="2"/>
    <x v="0"/>
    <x v="1"/>
    <x v="0"/>
    <x v="1"/>
    <x v="8"/>
    <x v="244"/>
    <x v="1"/>
    <x v="0"/>
    <x v="0"/>
    <x v="0"/>
    <x v="0"/>
    <x v="0"/>
    <x v="0"/>
  </r>
  <r>
    <x v="22"/>
    <x v="9"/>
    <x v="22"/>
    <x v="8"/>
    <x v="0"/>
    <x v="51"/>
    <x v="1"/>
    <x v="2"/>
    <x v="142"/>
    <x v="1"/>
    <x v="0"/>
    <x v="0"/>
    <x v="0"/>
    <x v="8"/>
    <x v="0"/>
    <x v="1"/>
    <x v="0"/>
    <x v="7"/>
    <x v="7"/>
    <x v="1"/>
    <x v="3"/>
    <x v="0"/>
    <x v="34"/>
    <x v="2"/>
    <x v="246"/>
    <x v="84"/>
    <x v="143"/>
    <x v="143"/>
    <x v="41"/>
    <x v="41"/>
    <x v="0"/>
    <x v="0"/>
    <x v="2"/>
    <x v="0"/>
    <x v="1"/>
    <x v="0"/>
    <x v="1"/>
    <x v="3"/>
    <x v="245"/>
    <x v="1"/>
    <x v="0"/>
    <x v="0"/>
    <x v="0"/>
    <x v="0"/>
    <x v="0"/>
    <x v="0"/>
  </r>
  <r>
    <x v="22"/>
    <x v="8"/>
    <x v="22"/>
    <x v="7"/>
    <x v="2"/>
    <x v="328"/>
    <x v="1"/>
    <x v="1"/>
    <x v="142"/>
    <x v="1"/>
    <x v="0"/>
    <x v="0"/>
    <x v="0"/>
    <x v="8"/>
    <x v="0"/>
    <x v="1"/>
    <x v="0"/>
    <x v="7"/>
    <x v="7"/>
    <x v="5"/>
    <x v="8"/>
    <x v="2"/>
    <x v="34"/>
    <x v="4"/>
    <x v="247"/>
    <x v="84"/>
    <x v="143"/>
    <x v="143"/>
    <x v="0"/>
    <x v="0"/>
    <x v="0"/>
    <x v="0"/>
    <x v="2"/>
    <x v="0"/>
    <x v="1"/>
    <x v="0"/>
    <x v="1"/>
    <x v="8"/>
    <x v="246"/>
    <x v="1"/>
    <x v="0"/>
    <x v="0"/>
    <x v="0"/>
    <x v="0"/>
    <x v="0"/>
    <x v="0"/>
  </r>
  <r>
    <x v="22"/>
    <x v="9"/>
    <x v="22"/>
    <x v="8"/>
    <x v="0"/>
    <x v="52"/>
    <x v="1"/>
    <x v="2"/>
    <x v="142"/>
    <x v="1"/>
    <x v="0"/>
    <x v="0"/>
    <x v="0"/>
    <x v="8"/>
    <x v="0"/>
    <x v="1"/>
    <x v="0"/>
    <x v="4"/>
    <x v="5"/>
    <x v="1"/>
    <x v="3"/>
    <x v="0"/>
    <x v="34"/>
    <x v="2"/>
    <x v="248"/>
    <x v="84"/>
    <x v="143"/>
    <x v="143"/>
    <x v="41"/>
    <x v="41"/>
    <x v="0"/>
    <x v="0"/>
    <x v="2"/>
    <x v="0"/>
    <x v="1"/>
    <x v="0"/>
    <x v="1"/>
    <x v="3"/>
    <x v="247"/>
    <x v="1"/>
    <x v="0"/>
    <x v="0"/>
    <x v="0"/>
    <x v="0"/>
    <x v="0"/>
    <x v="0"/>
  </r>
  <r>
    <x v="22"/>
    <x v="8"/>
    <x v="22"/>
    <x v="7"/>
    <x v="2"/>
    <x v="331"/>
    <x v="1"/>
    <x v="1"/>
    <x v="142"/>
    <x v="1"/>
    <x v="0"/>
    <x v="0"/>
    <x v="0"/>
    <x v="8"/>
    <x v="0"/>
    <x v="1"/>
    <x v="0"/>
    <x v="4"/>
    <x v="5"/>
    <x v="5"/>
    <x v="8"/>
    <x v="2"/>
    <x v="34"/>
    <x v="4"/>
    <x v="249"/>
    <x v="84"/>
    <x v="143"/>
    <x v="143"/>
    <x v="0"/>
    <x v="0"/>
    <x v="0"/>
    <x v="0"/>
    <x v="2"/>
    <x v="0"/>
    <x v="1"/>
    <x v="0"/>
    <x v="1"/>
    <x v="8"/>
    <x v="248"/>
    <x v="1"/>
    <x v="0"/>
    <x v="0"/>
    <x v="0"/>
    <x v="0"/>
    <x v="0"/>
    <x v="0"/>
  </r>
  <r>
    <x v="22"/>
    <x v="9"/>
    <x v="22"/>
    <x v="8"/>
    <x v="0"/>
    <x v="53"/>
    <x v="1"/>
    <x v="2"/>
    <x v="142"/>
    <x v="1"/>
    <x v="0"/>
    <x v="0"/>
    <x v="0"/>
    <x v="8"/>
    <x v="0"/>
    <x v="1"/>
    <x v="0"/>
    <x v="5"/>
    <x v="8"/>
    <x v="1"/>
    <x v="3"/>
    <x v="0"/>
    <x v="33"/>
    <x v="2"/>
    <x v="250"/>
    <x v="84"/>
    <x v="143"/>
    <x v="143"/>
    <x v="41"/>
    <x v="41"/>
    <x v="0"/>
    <x v="0"/>
    <x v="2"/>
    <x v="0"/>
    <x v="1"/>
    <x v="0"/>
    <x v="1"/>
    <x v="3"/>
    <x v="249"/>
    <x v="1"/>
    <x v="0"/>
    <x v="0"/>
    <x v="0"/>
    <x v="0"/>
    <x v="0"/>
    <x v="0"/>
  </r>
  <r>
    <x v="22"/>
    <x v="8"/>
    <x v="22"/>
    <x v="7"/>
    <x v="2"/>
    <x v="332"/>
    <x v="1"/>
    <x v="1"/>
    <x v="142"/>
    <x v="1"/>
    <x v="0"/>
    <x v="0"/>
    <x v="0"/>
    <x v="8"/>
    <x v="0"/>
    <x v="1"/>
    <x v="0"/>
    <x v="5"/>
    <x v="8"/>
    <x v="5"/>
    <x v="8"/>
    <x v="2"/>
    <x v="34"/>
    <x v="4"/>
    <x v="251"/>
    <x v="84"/>
    <x v="143"/>
    <x v="143"/>
    <x v="0"/>
    <x v="0"/>
    <x v="0"/>
    <x v="0"/>
    <x v="2"/>
    <x v="0"/>
    <x v="1"/>
    <x v="0"/>
    <x v="1"/>
    <x v="8"/>
    <x v="250"/>
    <x v="1"/>
    <x v="0"/>
    <x v="0"/>
    <x v="0"/>
    <x v="0"/>
    <x v="0"/>
    <x v="0"/>
  </r>
  <r>
    <x v="22"/>
    <x v="9"/>
    <x v="22"/>
    <x v="8"/>
    <x v="0"/>
    <x v="54"/>
    <x v="1"/>
    <x v="2"/>
    <x v="142"/>
    <x v="1"/>
    <x v="0"/>
    <x v="0"/>
    <x v="0"/>
    <x v="8"/>
    <x v="0"/>
    <x v="1"/>
    <x v="0"/>
    <x v="7"/>
    <x v="7"/>
    <x v="1"/>
    <x v="3"/>
    <x v="0"/>
    <x v="34"/>
    <x v="2"/>
    <x v="252"/>
    <x v="84"/>
    <x v="143"/>
    <x v="143"/>
    <x v="41"/>
    <x v="41"/>
    <x v="0"/>
    <x v="0"/>
    <x v="2"/>
    <x v="0"/>
    <x v="1"/>
    <x v="0"/>
    <x v="1"/>
    <x v="3"/>
    <x v="251"/>
    <x v="1"/>
    <x v="0"/>
    <x v="0"/>
    <x v="0"/>
    <x v="0"/>
    <x v="0"/>
    <x v="0"/>
  </r>
  <r>
    <x v="22"/>
    <x v="8"/>
    <x v="22"/>
    <x v="7"/>
    <x v="2"/>
    <x v="333"/>
    <x v="1"/>
    <x v="1"/>
    <x v="142"/>
    <x v="1"/>
    <x v="0"/>
    <x v="0"/>
    <x v="0"/>
    <x v="8"/>
    <x v="0"/>
    <x v="1"/>
    <x v="0"/>
    <x v="7"/>
    <x v="7"/>
    <x v="5"/>
    <x v="8"/>
    <x v="2"/>
    <x v="34"/>
    <x v="4"/>
    <x v="253"/>
    <x v="84"/>
    <x v="143"/>
    <x v="143"/>
    <x v="0"/>
    <x v="0"/>
    <x v="0"/>
    <x v="0"/>
    <x v="2"/>
    <x v="0"/>
    <x v="1"/>
    <x v="0"/>
    <x v="1"/>
    <x v="8"/>
    <x v="252"/>
    <x v="1"/>
    <x v="0"/>
    <x v="0"/>
    <x v="0"/>
    <x v="0"/>
    <x v="0"/>
    <x v="0"/>
  </r>
  <r>
    <x v="22"/>
    <x v="9"/>
    <x v="22"/>
    <x v="8"/>
    <x v="0"/>
    <x v="56"/>
    <x v="1"/>
    <x v="2"/>
    <x v="142"/>
    <x v="1"/>
    <x v="0"/>
    <x v="0"/>
    <x v="0"/>
    <x v="8"/>
    <x v="0"/>
    <x v="1"/>
    <x v="0"/>
    <x v="4"/>
    <x v="4"/>
    <x v="1"/>
    <x v="3"/>
    <x v="0"/>
    <x v="34"/>
    <x v="2"/>
    <x v="254"/>
    <x v="84"/>
    <x v="143"/>
    <x v="143"/>
    <x v="41"/>
    <x v="41"/>
    <x v="0"/>
    <x v="0"/>
    <x v="2"/>
    <x v="0"/>
    <x v="1"/>
    <x v="0"/>
    <x v="1"/>
    <x v="3"/>
    <x v="253"/>
    <x v="1"/>
    <x v="0"/>
    <x v="0"/>
    <x v="0"/>
    <x v="0"/>
    <x v="0"/>
    <x v="0"/>
  </r>
  <r>
    <x v="22"/>
    <x v="8"/>
    <x v="22"/>
    <x v="7"/>
    <x v="2"/>
    <x v="334"/>
    <x v="1"/>
    <x v="1"/>
    <x v="142"/>
    <x v="1"/>
    <x v="0"/>
    <x v="0"/>
    <x v="0"/>
    <x v="8"/>
    <x v="0"/>
    <x v="1"/>
    <x v="0"/>
    <x v="4"/>
    <x v="5"/>
    <x v="5"/>
    <x v="8"/>
    <x v="2"/>
    <x v="34"/>
    <x v="4"/>
    <x v="255"/>
    <x v="84"/>
    <x v="143"/>
    <x v="143"/>
    <x v="0"/>
    <x v="0"/>
    <x v="0"/>
    <x v="0"/>
    <x v="2"/>
    <x v="0"/>
    <x v="1"/>
    <x v="0"/>
    <x v="1"/>
    <x v="8"/>
    <x v="254"/>
    <x v="1"/>
    <x v="0"/>
    <x v="0"/>
    <x v="0"/>
    <x v="0"/>
    <x v="0"/>
    <x v="0"/>
  </r>
  <r>
    <x v="23"/>
    <x v="9"/>
    <x v="23"/>
    <x v="8"/>
    <x v="0"/>
    <x v="57"/>
    <x v="1"/>
    <x v="2"/>
    <x v="142"/>
    <x v="1"/>
    <x v="0"/>
    <x v="0"/>
    <x v="0"/>
    <x v="8"/>
    <x v="0"/>
    <x v="1"/>
    <x v="0"/>
    <x v="5"/>
    <x v="8"/>
    <x v="1"/>
    <x v="3"/>
    <x v="0"/>
    <x v="34"/>
    <x v="2"/>
    <x v="256"/>
    <x v="84"/>
    <x v="143"/>
    <x v="143"/>
    <x v="41"/>
    <x v="41"/>
    <x v="0"/>
    <x v="0"/>
    <x v="2"/>
    <x v="0"/>
    <x v="1"/>
    <x v="0"/>
    <x v="1"/>
    <x v="3"/>
    <x v="255"/>
    <x v="1"/>
    <x v="0"/>
    <x v="0"/>
    <x v="0"/>
    <x v="0"/>
    <x v="0"/>
    <x v="0"/>
  </r>
  <r>
    <x v="23"/>
    <x v="8"/>
    <x v="23"/>
    <x v="7"/>
    <x v="2"/>
    <x v="335"/>
    <x v="1"/>
    <x v="1"/>
    <x v="142"/>
    <x v="1"/>
    <x v="0"/>
    <x v="0"/>
    <x v="0"/>
    <x v="8"/>
    <x v="0"/>
    <x v="1"/>
    <x v="0"/>
    <x v="5"/>
    <x v="8"/>
    <x v="5"/>
    <x v="8"/>
    <x v="2"/>
    <x v="34"/>
    <x v="4"/>
    <x v="257"/>
    <x v="84"/>
    <x v="143"/>
    <x v="143"/>
    <x v="0"/>
    <x v="0"/>
    <x v="0"/>
    <x v="0"/>
    <x v="2"/>
    <x v="0"/>
    <x v="1"/>
    <x v="0"/>
    <x v="1"/>
    <x v="8"/>
    <x v="256"/>
    <x v="1"/>
    <x v="0"/>
    <x v="0"/>
    <x v="0"/>
    <x v="0"/>
    <x v="0"/>
    <x v="0"/>
  </r>
  <r>
    <x v="23"/>
    <x v="9"/>
    <x v="23"/>
    <x v="8"/>
    <x v="0"/>
    <x v="58"/>
    <x v="1"/>
    <x v="2"/>
    <x v="142"/>
    <x v="1"/>
    <x v="0"/>
    <x v="0"/>
    <x v="0"/>
    <x v="8"/>
    <x v="0"/>
    <x v="1"/>
    <x v="0"/>
    <x v="7"/>
    <x v="7"/>
    <x v="1"/>
    <x v="3"/>
    <x v="0"/>
    <x v="33"/>
    <x v="4"/>
    <x v="258"/>
    <x v="84"/>
    <x v="143"/>
    <x v="143"/>
    <x v="41"/>
    <x v="41"/>
    <x v="0"/>
    <x v="0"/>
    <x v="2"/>
    <x v="0"/>
    <x v="1"/>
    <x v="0"/>
    <x v="1"/>
    <x v="3"/>
    <x v="257"/>
    <x v="1"/>
    <x v="0"/>
    <x v="0"/>
    <x v="0"/>
    <x v="0"/>
    <x v="0"/>
    <x v="0"/>
  </r>
  <r>
    <x v="23"/>
    <x v="8"/>
    <x v="23"/>
    <x v="7"/>
    <x v="2"/>
    <x v="336"/>
    <x v="1"/>
    <x v="1"/>
    <x v="142"/>
    <x v="1"/>
    <x v="0"/>
    <x v="0"/>
    <x v="0"/>
    <x v="8"/>
    <x v="0"/>
    <x v="1"/>
    <x v="0"/>
    <x v="7"/>
    <x v="7"/>
    <x v="5"/>
    <x v="8"/>
    <x v="2"/>
    <x v="34"/>
    <x v="4"/>
    <x v="259"/>
    <x v="84"/>
    <x v="143"/>
    <x v="143"/>
    <x v="0"/>
    <x v="0"/>
    <x v="0"/>
    <x v="0"/>
    <x v="2"/>
    <x v="0"/>
    <x v="1"/>
    <x v="0"/>
    <x v="1"/>
    <x v="8"/>
    <x v="258"/>
    <x v="1"/>
    <x v="0"/>
    <x v="0"/>
    <x v="0"/>
    <x v="0"/>
    <x v="0"/>
    <x v="0"/>
  </r>
  <r>
    <x v="23"/>
    <x v="9"/>
    <x v="23"/>
    <x v="8"/>
    <x v="0"/>
    <x v="59"/>
    <x v="1"/>
    <x v="2"/>
    <x v="142"/>
    <x v="1"/>
    <x v="0"/>
    <x v="0"/>
    <x v="0"/>
    <x v="8"/>
    <x v="0"/>
    <x v="1"/>
    <x v="0"/>
    <x v="4"/>
    <x v="5"/>
    <x v="1"/>
    <x v="3"/>
    <x v="0"/>
    <x v="34"/>
    <x v="4"/>
    <x v="260"/>
    <x v="84"/>
    <x v="143"/>
    <x v="143"/>
    <x v="41"/>
    <x v="41"/>
    <x v="0"/>
    <x v="0"/>
    <x v="2"/>
    <x v="0"/>
    <x v="1"/>
    <x v="0"/>
    <x v="1"/>
    <x v="3"/>
    <x v="259"/>
    <x v="1"/>
    <x v="0"/>
    <x v="0"/>
    <x v="0"/>
    <x v="0"/>
    <x v="0"/>
    <x v="0"/>
  </r>
  <r>
    <x v="23"/>
    <x v="8"/>
    <x v="23"/>
    <x v="7"/>
    <x v="2"/>
    <x v="337"/>
    <x v="1"/>
    <x v="1"/>
    <x v="142"/>
    <x v="1"/>
    <x v="0"/>
    <x v="0"/>
    <x v="0"/>
    <x v="8"/>
    <x v="0"/>
    <x v="1"/>
    <x v="0"/>
    <x v="4"/>
    <x v="5"/>
    <x v="5"/>
    <x v="8"/>
    <x v="2"/>
    <x v="34"/>
    <x v="4"/>
    <x v="261"/>
    <x v="84"/>
    <x v="143"/>
    <x v="143"/>
    <x v="0"/>
    <x v="0"/>
    <x v="0"/>
    <x v="0"/>
    <x v="2"/>
    <x v="0"/>
    <x v="1"/>
    <x v="0"/>
    <x v="1"/>
    <x v="8"/>
    <x v="260"/>
    <x v="1"/>
    <x v="0"/>
    <x v="0"/>
    <x v="0"/>
    <x v="0"/>
    <x v="0"/>
    <x v="0"/>
  </r>
  <r>
    <x v="23"/>
    <x v="9"/>
    <x v="23"/>
    <x v="8"/>
    <x v="0"/>
    <x v="60"/>
    <x v="1"/>
    <x v="2"/>
    <x v="142"/>
    <x v="1"/>
    <x v="0"/>
    <x v="0"/>
    <x v="0"/>
    <x v="8"/>
    <x v="0"/>
    <x v="1"/>
    <x v="0"/>
    <x v="7"/>
    <x v="7"/>
    <x v="1"/>
    <x v="3"/>
    <x v="0"/>
    <x v="34"/>
    <x v="4"/>
    <x v="262"/>
    <x v="84"/>
    <x v="143"/>
    <x v="143"/>
    <x v="41"/>
    <x v="41"/>
    <x v="0"/>
    <x v="0"/>
    <x v="2"/>
    <x v="0"/>
    <x v="1"/>
    <x v="0"/>
    <x v="1"/>
    <x v="3"/>
    <x v="261"/>
    <x v="1"/>
    <x v="0"/>
    <x v="0"/>
    <x v="0"/>
    <x v="0"/>
    <x v="0"/>
    <x v="0"/>
  </r>
  <r>
    <x v="23"/>
    <x v="8"/>
    <x v="23"/>
    <x v="7"/>
    <x v="2"/>
    <x v="318"/>
    <x v="1"/>
    <x v="1"/>
    <x v="142"/>
    <x v="1"/>
    <x v="0"/>
    <x v="0"/>
    <x v="0"/>
    <x v="8"/>
    <x v="0"/>
    <x v="1"/>
    <x v="0"/>
    <x v="7"/>
    <x v="7"/>
    <x v="5"/>
    <x v="8"/>
    <x v="2"/>
    <x v="34"/>
    <x v="4"/>
    <x v="263"/>
    <x v="84"/>
    <x v="143"/>
    <x v="143"/>
    <x v="0"/>
    <x v="0"/>
    <x v="0"/>
    <x v="0"/>
    <x v="2"/>
    <x v="0"/>
    <x v="1"/>
    <x v="0"/>
    <x v="1"/>
    <x v="8"/>
    <x v="262"/>
    <x v="1"/>
    <x v="0"/>
    <x v="0"/>
    <x v="0"/>
    <x v="0"/>
    <x v="0"/>
    <x v="0"/>
  </r>
  <r>
    <x v="23"/>
    <x v="9"/>
    <x v="23"/>
    <x v="8"/>
    <x v="0"/>
    <x v="61"/>
    <x v="1"/>
    <x v="2"/>
    <x v="142"/>
    <x v="1"/>
    <x v="0"/>
    <x v="0"/>
    <x v="0"/>
    <x v="8"/>
    <x v="0"/>
    <x v="1"/>
    <x v="0"/>
    <x v="4"/>
    <x v="5"/>
    <x v="1"/>
    <x v="3"/>
    <x v="0"/>
    <x v="34"/>
    <x v="4"/>
    <x v="264"/>
    <x v="84"/>
    <x v="143"/>
    <x v="143"/>
    <x v="41"/>
    <x v="41"/>
    <x v="0"/>
    <x v="0"/>
    <x v="2"/>
    <x v="0"/>
    <x v="1"/>
    <x v="0"/>
    <x v="1"/>
    <x v="3"/>
    <x v="263"/>
    <x v="1"/>
    <x v="0"/>
    <x v="0"/>
    <x v="0"/>
    <x v="0"/>
    <x v="0"/>
    <x v="0"/>
  </r>
  <r>
    <x v="23"/>
    <x v="8"/>
    <x v="23"/>
    <x v="7"/>
    <x v="2"/>
    <x v="319"/>
    <x v="1"/>
    <x v="1"/>
    <x v="142"/>
    <x v="1"/>
    <x v="0"/>
    <x v="0"/>
    <x v="0"/>
    <x v="8"/>
    <x v="0"/>
    <x v="1"/>
    <x v="0"/>
    <x v="4"/>
    <x v="5"/>
    <x v="5"/>
    <x v="8"/>
    <x v="2"/>
    <x v="34"/>
    <x v="4"/>
    <x v="265"/>
    <x v="84"/>
    <x v="143"/>
    <x v="143"/>
    <x v="0"/>
    <x v="0"/>
    <x v="0"/>
    <x v="0"/>
    <x v="2"/>
    <x v="0"/>
    <x v="1"/>
    <x v="0"/>
    <x v="1"/>
    <x v="8"/>
    <x v="264"/>
    <x v="1"/>
    <x v="0"/>
    <x v="0"/>
    <x v="0"/>
    <x v="0"/>
    <x v="0"/>
    <x v="0"/>
  </r>
  <r>
    <x v="24"/>
    <x v="9"/>
    <x v="24"/>
    <x v="8"/>
    <x v="0"/>
    <x v="62"/>
    <x v="1"/>
    <x v="2"/>
    <x v="142"/>
    <x v="1"/>
    <x v="0"/>
    <x v="0"/>
    <x v="0"/>
    <x v="8"/>
    <x v="0"/>
    <x v="1"/>
    <x v="0"/>
    <x v="5"/>
    <x v="8"/>
    <x v="1"/>
    <x v="3"/>
    <x v="0"/>
    <x v="33"/>
    <x v="4"/>
    <x v="266"/>
    <x v="84"/>
    <x v="143"/>
    <x v="143"/>
    <x v="41"/>
    <x v="41"/>
    <x v="0"/>
    <x v="0"/>
    <x v="2"/>
    <x v="0"/>
    <x v="1"/>
    <x v="0"/>
    <x v="1"/>
    <x v="3"/>
    <x v="265"/>
    <x v="1"/>
    <x v="0"/>
    <x v="0"/>
    <x v="0"/>
    <x v="0"/>
    <x v="0"/>
    <x v="0"/>
  </r>
  <r>
    <x v="24"/>
    <x v="8"/>
    <x v="24"/>
    <x v="7"/>
    <x v="2"/>
    <x v="320"/>
    <x v="1"/>
    <x v="1"/>
    <x v="142"/>
    <x v="1"/>
    <x v="0"/>
    <x v="0"/>
    <x v="0"/>
    <x v="8"/>
    <x v="0"/>
    <x v="1"/>
    <x v="0"/>
    <x v="5"/>
    <x v="8"/>
    <x v="5"/>
    <x v="8"/>
    <x v="2"/>
    <x v="33"/>
    <x v="4"/>
    <x v="267"/>
    <x v="84"/>
    <x v="143"/>
    <x v="143"/>
    <x v="0"/>
    <x v="0"/>
    <x v="0"/>
    <x v="0"/>
    <x v="2"/>
    <x v="0"/>
    <x v="1"/>
    <x v="0"/>
    <x v="1"/>
    <x v="8"/>
    <x v="266"/>
    <x v="1"/>
    <x v="0"/>
    <x v="0"/>
    <x v="0"/>
    <x v="0"/>
    <x v="0"/>
    <x v="0"/>
  </r>
  <r>
    <x v="24"/>
    <x v="9"/>
    <x v="24"/>
    <x v="8"/>
    <x v="0"/>
    <x v="63"/>
    <x v="1"/>
    <x v="2"/>
    <x v="142"/>
    <x v="1"/>
    <x v="0"/>
    <x v="0"/>
    <x v="0"/>
    <x v="8"/>
    <x v="0"/>
    <x v="1"/>
    <x v="0"/>
    <x v="7"/>
    <x v="7"/>
    <x v="1"/>
    <x v="3"/>
    <x v="0"/>
    <x v="34"/>
    <x v="4"/>
    <x v="268"/>
    <x v="84"/>
    <x v="143"/>
    <x v="143"/>
    <x v="41"/>
    <x v="41"/>
    <x v="0"/>
    <x v="0"/>
    <x v="2"/>
    <x v="0"/>
    <x v="1"/>
    <x v="0"/>
    <x v="1"/>
    <x v="3"/>
    <x v="267"/>
    <x v="1"/>
    <x v="0"/>
    <x v="0"/>
    <x v="0"/>
    <x v="0"/>
    <x v="0"/>
    <x v="0"/>
  </r>
  <r>
    <x v="24"/>
    <x v="8"/>
    <x v="24"/>
    <x v="7"/>
    <x v="2"/>
    <x v="321"/>
    <x v="1"/>
    <x v="1"/>
    <x v="142"/>
    <x v="1"/>
    <x v="0"/>
    <x v="0"/>
    <x v="0"/>
    <x v="8"/>
    <x v="0"/>
    <x v="1"/>
    <x v="0"/>
    <x v="7"/>
    <x v="7"/>
    <x v="5"/>
    <x v="8"/>
    <x v="2"/>
    <x v="34"/>
    <x v="4"/>
    <x v="269"/>
    <x v="84"/>
    <x v="143"/>
    <x v="143"/>
    <x v="0"/>
    <x v="0"/>
    <x v="0"/>
    <x v="0"/>
    <x v="2"/>
    <x v="0"/>
    <x v="1"/>
    <x v="0"/>
    <x v="1"/>
    <x v="8"/>
    <x v="268"/>
    <x v="1"/>
    <x v="0"/>
    <x v="0"/>
    <x v="0"/>
    <x v="0"/>
    <x v="0"/>
    <x v="0"/>
  </r>
  <r>
    <x v="24"/>
    <x v="9"/>
    <x v="24"/>
    <x v="8"/>
    <x v="0"/>
    <x v="64"/>
    <x v="1"/>
    <x v="2"/>
    <x v="142"/>
    <x v="1"/>
    <x v="0"/>
    <x v="0"/>
    <x v="0"/>
    <x v="8"/>
    <x v="0"/>
    <x v="1"/>
    <x v="0"/>
    <x v="7"/>
    <x v="7"/>
    <x v="1"/>
    <x v="3"/>
    <x v="0"/>
    <x v="34"/>
    <x v="4"/>
    <x v="277"/>
    <x v="84"/>
    <x v="143"/>
    <x v="143"/>
    <x v="41"/>
    <x v="41"/>
    <x v="0"/>
    <x v="0"/>
    <x v="2"/>
    <x v="0"/>
    <x v="1"/>
    <x v="0"/>
    <x v="1"/>
    <x v="3"/>
    <x v="269"/>
    <x v="1"/>
    <x v="0"/>
    <x v="0"/>
    <x v="0"/>
    <x v="0"/>
    <x v="0"/>
    <x v="0"/>
  </r>
  <r>
    <x v="24"/>
    <x v="8"/>
    <x v="24"/>
    <x v="7"/>
    <x v="2"/>
    <x v="322"/>
    <x v="1"/>
    <x v="1"/>
    <x v="142"/>
    <x v="1"/>
    <x v="0"/>
    <x v="0"/>
    <x v="0"/>
    <x v="8"/>
    <x v="0"/>
    <x v="1"/>
    <x v="0"/>
    <x v="7"/>
    <x v="7"/>
    <x v="5"/>
    <x v="8"/>
    <x v="2"/>
    <x v="34"/>
    <x v="4"/>
    <x v="278"/>
    <x v="84"/>
    <x v="143"/>
    <x v="143"/>
    <x v="0"/>
    <x v="0"/>
    <x v="0"/>
    <x v="0"/>
    <x v="2"/>
    <x v="0"/>
    <x v="1"/>
    <x v="0"/>
    <x v="1"/>
    <x v="8"/>
    <x v="270"/>
    <x v="1"/>
    <x v="0"/>
    <x v="0"/>
    <x v="0"/>
    <x v="0"/>
    <x v="0"/>
    <x v="0"/>
  </r>
  <r>
    <x v="24"/>
    <x v="9"/>
    <x v="24"/>
    <x v="8"/>
    <x v="0"/>
    <x v="65"/>
    <x v="1"/>
    <x v="2"/>
    <x v="142"/>
    <x v="1"/>
    <x v="0"/>
    <x v="0"/>
    <x v="0"/>
    <x v="8"/>
    <x v="0"/>
    <x v="1"/>
    <x v="0"/>
    <x v="5"/>
    <x v="8"/>
    <x v="1"/>
    <x v="3"/>
    <x v="0"/>
    <x v="33"/>
    <x v="4"/>
    <x v="279"/>
    <x v="84"/>
    <x v="143"/>
    <x v="143"/>
    <x v="41"/>
    <x v="41"/>
    <x v="0"/>
    <x v="0"/>
    <x v="2"/>
    <x v="0"/>
    <x v="1"/>
    <x v="0"/>
    <x v="1"/>
    <x v="3"/>
    <x v="271"/>
    <x v="1"/>
    <x v="0"/>
    <x v="0"/>
    <x v="0"/>
    <x v="0"/>
    <x v="0"/>
    <x v="0"/>
  </r>
  <r>
    <x v="24"/>
    <x v="8"/>
    <x v="24"/>
    <x v="7"/>
    <x v="2"/>
    <x v="323"/>
    <x v="1"/>
    <x v="1"/>
    <x v="142"/>
    <x v="1"/>
    <x v="0"/>
    <x v="0"/>
    <x v="0"/>
    <x v="8"/>
    <x v="0"/>
    <x v="1"/>
    <x v="0"/>
    <x v="5"/>
    <x v="8"/>
    <x v="5"/>
    <x v="8"/>
    <x v="2"/>
    <x v="34"/>
    <x v="4"/>
    <x v="280"/>
    <x v="84"/>
    <x v="143"/>
    <x v="143"/>
    <x v="0"/>
    <x v="0"/>
    <x v="0"/>
    <x v="0"/>
    <x v="2"/>
    <x v="0"/>
    <x v="1"/>
    <x v="0"/>
    <x v="1"/>
    <x v="8"/>
    <x v="272"/>
    <x v="1"/>
    <x v="0"/>
    <x v="0"/>
    <x v="0"/>
    <x v="0"/>
    <x v="0"/>
    <x v="0"/>
  </r>
  <r>
    <x v="24"/>
    <x v="9"/>
    <x v="24"/>
    <x v="8"/>
    <x v="0"/>
    <x v="67"/>
    <x v="1"/>
    <x v="2"/>
    <x v="142"/>
    <x v="1"/>
    <x v="0"/>
    <x v="0"/>
    <x v="0"/>
    <x v="8"/>
    <x v="0"/>
    <x v="1"/>
    <x v="0"/>
    <x v="4"/>
    <x v="5"/>
    <x v="1"/>
    <x v="3"/>
    <x v="0"/>
    <x v="34"/>
    <x v="4"/>
    <x v="281"/>
    <x v="84"/>
    <x v="143"/>
    <x v="143"/>
    <x v="41"/>
    <x v="41"/>
    <x v="0"/>
    <x v="0"/>
    <x v="2"/>
    <x v="0"/>
    <x v="1"/>
    <x v="0"/>
    <x v="1"/>
    <x v="3"/>
    <x v="273"/>
    <x v="1"/>
    <x v="0"/>
    <x v="0"/>
    <x v="0"/>
    <x v="0"/>
    <x v="0"/>
    <x v="0"/>
  </r>
  <r>
    <x v="24"/>
    <x v="8"/>
    <x v="24"/>
    <x v="7"/>
    <x v="2"/>
    <x v="324"/>
    <x v="1"/>
    <x v="1"/>
    <x v="142"/>
    <x v="1"/>
    <x v="0"/>
    <x v="0"/>
    <x v="0"/>
    <x v="8"/>
    <x v="0"/>
    <x v="1"/>
    <x v="0"/>
    <x v="4"/>
    <x v="5"/>
    <x v="5"/>
    <x v="8"/>
    <x v="2"/>
    <x v="34"/>
    <x v="4"/>
    <x v="282"/>
    <x v="84"/>
    <x v="143"/>
    <x v="143"/>
    <x v="0"/>
    <x v="0"/>
    <x v="0"/>
    <x v="0"/>
    <x v="2"/>
    <x v="0"/>
    <x v="1"/>
    <x v="0"/>
    <x v="1"/>
    <x v="8"/>
    <x v="274"/>
    <x v="1"/>
    <x v="0"/>
    <x v="0"/>
    <x v="0"/>
    <x v="0"/>
    <x v="0"/>
    <x v="0"/>
  </r>
  <r>
    <x v="23"/>
    <x v="2"/>
    <x v="25"/>
    <x v="19"/>
    <x v="3"/>
    <x v="229"/>
    <x v="1"/>
    <x v="1"/>
    <x v="150"/>
    <x v="2"/>
    <x v="0"/>
    <x v="0"/>
    <x v="0"/>
    <x v="0"/>
    <x v="1"/>
    <x v="1"/>
    <x v="0"/>
    <x v="0"/>
    <x v="12"/>
    <x v="0"/>
    <x v="0"/>
    <x v="1"/>
    <x v="5"/>
    <x v="4"/>
    <x v="333"/>
    <x v="129"/>
    <x v="152"/>
    <x v="152"/>
    <x v="152"/>
    <x v="173"/>
    <x v="0"/>
    <x v="0"/>
    <x v="2"/>
    <x v="0"/>
    <x v="1"/>
    <x v="0"/>
    <x v="1"/>
    <x v="0"/>
    <x v="275"/>
    <x v="1"/>
    <x v="0"/>
    <x v="0"/>
    <x v="0"/>
    <x v="0"/>
    <x v="0"/>
    <x v="0"/>
  </r>
  <r>
    <x v="25"/>
    <x v="9"/>
    <x v="26"/>
    <x v="8"/>
    <x v="0"/>
    <x v="68"/>
    <x v="1"/>
    <x v="2"/>
    <x v="142"/>
    <x v="1"/>
    <x v="0"/>
    <x v="0"/>
    <x v="0"/>
    <x v="8"/>
    <x v="0"/>
    <x v="1"/>
    <x v="0"/>
    <x v="5"/>
    <x v="8"/>
    <x v="1"/>
    <x v="3"/>
    <x v="0"/>
    <x v="32"/>
    <x v="2"/>
    <x v="270"/>
    <x v="84"/>
    <x v="143"/>
    <x v="143"/>
    <x v="41"/>
    <x v="41"/>
    <x v="0"/>
    <x v="0"/>
    <x v="2"/>
    <x v="0"/>
    <x v="1"/>
    <x v="0"/>
    <x v="1"/>
    <x v="3"/>
    <x v="276"/>
    <x v="1"/>
    <x v="0"/>
    <x v="0"/>
    <x v="0"/>
    <x v="0"/>
    <x v="0"/>
    <x v="0"/>
  </r>
  <r>
    <x v="25"/>
    <x v="8"/>
    <x v="26"/>
    <x v="7"/>
    <x v="2"/>
    <x v="325"/>
    <x v="1"/>
    <x v="1"/>
    <x v="142"/>
    <x v="1"/>
    <x v="0"/>
    <x v="0"/>
    <x v="0"/>
    <x v="8"/>
    <x v="0"/>
    <x v="1"/>
    <x v="0"/>
    <x v="5"/>
    <x v="8"/>
    <x v="5"/>
    <x v="8"/>
    <x v="2"/>
    <x v="32"/>
    <x v="4"/>
    <x v="271"/>
    <x v="84"/>
    <x v="143"/>
    <x v="143"/>
    <x v="0"/>
    <x v="0"/>
    <x v="0"/>
    <x v="0"/>
    <x v="2"/>
    <x v="0"/>
    <x v="1"/>
    <x v="0"/>
    <x v="1"/>
    <x v="8"/>
    <x v="277"/>
    <x v="1"/>
    <x v="0"/>
    <x v="0"/>
    <x v="0"/>
    <x v="0"/>
    <x v="0"/>
    <x v="0"/>
  </r>
  <r>
    <x v="25"/>
    <x v="9"/>
    <x v="26"/>
    <x v="8"/>
    <x v="0"/>
    <x v="69"/>
    <x v="1"/>
    <x v="2"/>
    <x v="142"/>
    <x v="1"/>
    <x v="0"/>
    <x v="0"/>
    <x v="0"/>
    <x v="8"/>
    <x v="0"/>
    <x v="1"/>
    <x v="0"/>
    <x v="7"/>
    <x v="7"/>
    <x v="1"/>
    <x v="3"/>
    <x v="0"/>
    <x v="32"/>
    <x v="2"/>
    <x v="272"/>
    <x v="84"/>
    <x v="143"/>
    <x v="143"/>
    <x v="41"/>
    <x v="41"/>
    <x v="0"/>
    <x v="0"/>
    <x v="2"/>
    <x v="0"/>
    <x v="1"/>
    <x v="0"/>
    <x v="1"/>
    <x v="3"/>
    <x v="278"/>
    <x v="1"/>
    <x v="0"/>
    <x v="0"/>
    <x v="0"/>
    <x v="0"/>
    <x v="0"/>
    <x v="0"/>
  </r>
  <r>
    <x v="25"/>
    <x v="8"/>
    <x v="26"/>
    <x v="7"/>
    <x v="2"/>
    <x v="326"/>
    <x v="1"/>
    <x v="1"/>
    <x v="142"/>
    <x v="1"/>
    <x v="0"/>
    <x v="0"/>
    <x v="0"/>
    <x v="8"/>
    <x v="0"/>
    <x v="1"/>
    <x v="0"/>
    <x v="7"/>
    <x v="7"/>
    <x v="5"/>
    <x v="8"/>
    <x v="2"/>
    <x v="32"/>
    <x v="4"/>
    <x v="273"/>
    <x v="84"/>
    <x v="143"/>
    <x v="143"/>
    <x v="0"/>
    <x v="0"/>
    <x v="0"/>
    <x v="0"/>
    <x v="2"/>
    <x v="0"/>
    <x v="1"/>
    <x v="0"/>
    <x v="1"/>
    <x v="8"/>
    <x v="279"/>
    <x v="1"/>
    <x v="0"/>
    <x v="0"/>
    <x v="0"/>
    <x v="0"/>
    <x v="0"/>
    <x v="0"/>
  </r>
  <r>
    <x v="25"/>
    <x v="9"/>
    <x v="26"/>
    <x v="8"/>
    <x v="0"/>
    <x v="70"/>
    <x v="1"/>
    <x v="2"/>
    <x v="142"/>
    <x v="1"/>
    <x v="0"/>
    <x v="0"/>
    <x v="0"/>
    <x v="8"/>
    <x v="0"/>
    <x v="1"/>
    <x v="0"/>
    <x v="7"/>
    <x v="7"/>
    <x v="1"/>
    <x v="3"/>
    <x v="0"/>
    <x v="32"/>
    <x v="2"/>
    <x v="274"/>
    <x v="84"/>
    <x v="143"/>
    <x v="143"/>
    <x v="41"/>
    <x v="41"/>
    <x v="0"/>
    <x v="0"/>
    <x v="2"/>
    <x v="0"/>
    <x v="1"/>
    <x v="0"/>
    <x v="1"/>
    <x v="3"/>
    <x v="280"/>
    <x v="1"/>
    <x v="0"/>
    <x v="0"/>
    <x v="0"/>
    <x v="0"/>
    <x v="0"/>
    <x v="0"/>
  </r>
  <r>
    <x v="25"/>
    <x v="8"/>
    <x v="26"/>
    <x v="7"/>
    <x v="2"/>
    <x v="327"/>
    <x v="1"/>
    <x v="1"/>
    <x v="142"/>
    <x v="1"/>
    <x v="0"/>
    <x v="0"/>
    <x v="0"/>
    <x v="8"/>
    <x v="0"/>
    <x v="1"/>
    <x v="0"/>
    <x v="7"/>
    <x v="7"/>
    <x v="5"/>
    <x v="8"/>
    <x v="2"/>
    <x v="32"/>
    <x v="4"/>
    <x v="275"/>
    <x v="84"/>
    <x v="143"/>
    <x v="143"/>
    <x v="0"/>
    <x v="0"/>
    <x v="0"/>
    <x v="0"/>
    <x v="2"/>
    <x v="0"/>
    <x v="1"/>
    <x v="0"/>
    <x v="1"/>
    <x v="8"/>
    <x v="281"/>
    <x v="1"/>
    <x v="0"/>
    <x v="0"/>
    <x v="0"/>
    <x v="0"/>
    <x v="0"/>
    <x v="0"/>
  </r>
  <r>
    <x v="25"/>
    <x v="7"/>
    <x v="26"/>
    <x v="6"/>
    <x v="0"/>
    <x v="71"/>
    <x v="1"/>
    <x v="2"/>
    <x v="122"/>
    <x v="1"/>
    <x v="0"/>
    <x v="0"/>
    <x v="0"/>
    <x v="6"/>
    <x v="0"/>
    <x v="1"/>
    <x v="0"/>
    <x v="4"/>
    <x v="5"/>
    <x v="16"/>
    <x v="22"/>
    <x v="1"/>
    <x v="32"/>
    <x v="0"/>
    <x v="276"/>
    <x v="59"/>
    <x v="119"/>
    <x v="119"/>
    <x v="41"/>
    <x v="41"/>
    <x v="0"/>
    <x v="0"/>
    <x v="2"/>
    <x v="0"/>
    <x v="1"/>
    <x v="0"/>
    <x v="1"/>
    <x v="22"/>
    <x v="282"/>
    <x v="1"/>
    <x v="0"/>
    <x v="0"/>
    <x v="0"/>
    <x v="0"/>
    <x v="0"/>
    <x v="0"/>
  </r>
  <r>
    <x v="25"/>
    <x v="19"/>
    <x v="26"/>
    <x v="5"/>
    <x v="3"/>
    <x v="184"/>
    <x v="1"/>
    <x v="1"/>
    <x v="79"/>
    <x v="0"/>
    <x v="11"/>
    <x v="83"/>
    <x v="0"/>
    <x v="2"/>
    <x v="1"/>
    <x v="1"/>
    <x v="0"/>
    <x v="9"/>
    <x v="12"/>
    <x v="0"/>
    <x v="0"/>
    <x v="1"/>
    <x v="48"/>
    <x v="4"/>
    <x v="283"/>
    <x v="115"/>
    <x v="64"/>
    <x v="64"/>
    <x v="139"/>
    <x v="103"/>
    <x v="83"/>
    <x v="0"/>
    <x v="0"/>
    <x v="0"/>
    <x v="1"/>
    <x v="0"/>
    <x v="1"/>
    <x v="0"/>
    <x v="283"/>
    <x v="0"/>
    <x v="0"/>
    <x v="0"/>
    <x v="0"/>
    <x v="0"/>
    <x v="0"/>
    <x v="0"/>
  </r>
  <r>
    <x v="25"/>
    <x v="19"/>
    <x v="26"/>
    <x v="5"/>
    <x v="3"/>
    <x v="186"/>
    <x v="1"/>
    <x v="1"/>
    <x v="62"/>
    <x v="0"/>
    <x v="11"/>
    <x v="56"/>
    <x v="0"/>
    <x v="2"/>
    <x v="1"/>
    <x v="1"/>
    <x v="0"/>
    <x v="9"/>
    <x v="12"/>
    <x v="0"/>
    <x v="0"/>
    <x v="1"/>
    <x v="63"/>
    <x v="4"/>
    <x v="346"/>
    <x v="99"/>
    <x v="47"/>
    <x v="47"/>
    <x v="123"/>
    <x v="86"/>
    <x v="56"/>
    <x v="0"/>
    <x v="0"/>
    <x v="0"/>
    <x v="1"/>
    <x v="0"/>
    <x v="1"/>
    <x v="0"/>
    <x v="284"/>
    <x v="0"/>
    <x v="0"/>
    <x v="0"/>
    <x v="0"/>
    <x v="0"/>
    <x v="0"/>
    <x v="0"/>
  </r>
  <r>
    <x v="26"/>
    <x v="19"/>
    <x v="27"/>
    <x v="11"/>
    <x v="3"/>
    <x v="257"/>
    <x v="1"/>
    <x v="0"/>
    <x v="17"/>
    <x v="0"/>
    <x v="10"/>
    <x v="16"/>
    <x v="0"/>
    <x v="2"/>
    <x v="0"/>
    <x v="1"/>
    <x v="0"/>
    <x v="9"/>
    <x v="12"/>
    <x v="0"/>
    <x v="0"/>
    <x v="1"/>
    <x v="77"/>
    <x v="2"/>
    <x v="288"/>
    <x v="42"/>
    <x v="17"/>
    <x v="17"/>
    <x v="71"/>
    <x v="59"/>
    <x v="16"/>
    <x v="0"/>
    <x v="0"/>
    <x v="0"/>
    <x v="1"/>
    <x v="0"/>
    <x v="1"/>
    <x v="0"/>
    <x v="285"/>
    <x v="0"/>
    <x v="0"/>
    <x v="0"/>
    <x v="0"/>
    <x v="0"/>
    <x v="0"/>
    <x v="0"/>
  </r>
  <r>
    <x v="26"/>
    <x v="19"/>
    <x v="27"/>
    <x v="8"/>
    <x v="1"/>
    <x v="256"/>
    <x v="1"/>
    <x v="0"/>
    <x v="113"/>
    <x v="1"/>
    <x v="0"/>
    <x v="0"/>
    <x v="0"/>
    <x v="8"/>
    <x v="0"/>
    <x v="0"/>
    <x v="1"/>
    <x v="9"/>
    <x v="12"/>
    <x v="0"/>
    <x v="0"/>
    <x v="1"/>
    <x v="27"/>
    <x v="2"/>
    <x v="289"/>
    <x v="42"/>
    <x v="102"/>
    <x v="102"/>
    <x v="71"/>
    <x v="129"/>
    <x v="0"/>
    <x v="0"/>
    <x v="0"/>
    <x v="17"/>
    <x v="1"/>
    <x v="0"/>
    <x v="1"/>
    <x v="0"/>
    <x v="286"/>
    <x v="0"/>
    <x v="0"/>
    <x v="0"/>
    <x v="0"/>
    <x v="0"/>
    <x v="0"/>
    <x v="0"/>
  </r>
  <r>
    <x v="26"/>
    <x v="19"/>
    <x v="27"/>
    <x v="8"/>
    <x v="4"/>
    <x v="256"/>
    <x v="1"/>
    <x v="0"/>
    <x v="113"/>
    <x v="1"/>
    <x v="0"/>
    <x v="0"/>
    <x v="0"/>
    <x v="8"/>
    <x v="0"/>
    <x v="0"/>
    <x v="1"/>
    <x v="9"/>
    <x v="12"/>
    <x v="0"/>
    <x v="0"/>
    <x v="1"/>
    <x v="18"/>
    <x v="2"/>
    <x v="290"/>
    <x v="42"/>
    <x v="102"/>
    <x v="102"/>
    <x v="22"/>
    <x v="22"/>
    <x v="0"/>
    <x v="0"/>
    <x v="0"/>
    <x v="17"/>
    <x v="1"/>
    <x v="0"/>
    <x v="1"/>
    <x v="0"/>
    <x v="286"/>
    <x v="0"/>
    <x v="0"/>
    <x v="0"/>
    <x v="0"/>
    <x v="2"/>
    <x v="0"/>
    <x v="0"/>
  </r>
  <r>
    <x v="26"/>
    <x v="10"/>
    <x v="27"/>
    <x v="8"/>
    <x v="3"/>
    <x v="256"/>
    <x v="1"/>
    <x v="0"/>
    <x v="113"/>
    <x v="1"/>
    <x v="0"/>
    <x v="0"/>
    <x v="0"/>
    <x v="8"/>
    <x v="0"/>
    <x v="1"/>
    <x v="0"/>
    <x v="7"/>
    <x v="7"/>
    <x v="9"/>
    <x v="14"/>
    <x v="1"/>
    <x v="31"/>
    <x v="2"/>
    <x v="291"/>
    <x v="42"/>
    <x v="102"/>
    <x v="102"/>
    <x v="71"/>
    <x v="129"/>
    <x v="0"/>
    <x v="0"/>
    <x v="2"/>
    <x v="0"/>
    <x v="1"/>
    <x v="0"/>
    <x v="1"/>
    <x v="14"/>
    <x v="287"/>
    <x v="1"/>
    <x v="0"/>
    <x v="0"/>
    <x v="0"/>
    <x v="0"/>
    <x v="0"/>
    <x v="0"/>
  </r>
  <r>
    <x v="26"/>
    <x v="19"/>
    <x v="27"/>
    <x v="11"/>
    <x v="3"/>
    <x v="259"/>
    <x v="1"/>
    <x v="0"/>
    <x v="17"/>
    <x v="0"/>
    <x v="10"/>
    <x v="16"/>
    <x v="0"/>
    <x v="2"/>
    <x v="0"/>
    <x v="1"/>
    <x v="0"/>
    <x v="9"/>
    <x v="12"/>
    <x v="0"/>
    <x v="0"/>
    <x v="1"/>
    <x v="65"/>
    <x v="2"/>
    <x v="292"/>
    <x v="42"/>
    <x v="17"/>
    <x v="17"/>
    <x v="71"/>
    <x v="59"/>
    <x v="16"/>
    <x v="0"/>
    <x v="0"/>
    <x v="0"/>
    <x v="1"/>
    <x v="0"/>
    <x v="1"/>
    <x v="0"/>
    <x v="288"/>
    <x v="0"/>
    <x v="0"/>
    <x v="0"/>
    <x v="0"/>
    <x v="0"/>
    <x v="0"/>
    <x v="0"/>
  </r>
  <r>
    <x v="26"/>
    <x v="19"/>
    <x v="27"/>
    <x v="8"/>
    <x v="1"/>
    <x v="258"/>
    <x v="1"/>
    <x v="0"/>
    <x v="113"/>
    <x v="1"/>
    <x v="0"/>
    <x v="0"/>
    <x v="0"/>
    <x v="8"/>
    <x v="0"/>
    <x v="0"/>
    <x v="1"/>
    <x v="9"/>
    <x v="12"/>
    <x v="0"/>
    <x v="0"/>
    <x v="1"/>
    <x v="27"/>
    <x v="2"/>
    <x v="293"/>
    <x v="42"/>
    <x v="102"/>
    <x v="102"/>
    <x v="71"/>
    <x v="129"/>
    <x v="0"/>
    <x v="0"/>
    <x v="0"/>
    <x v="17"/>
    <x v="1"/>
    <x v="0"/>
    <x v="1"/>
    <x v="0"/>
    <x v="289"/>
    <x v="0"/>
    <x v="0"/>
    <x v="0"/>
    <x v="0"/>
    <x v="0"/>
    <x v="0"/>
    <x v="0"/>
  </r>
  <r>
    <x v="26"/>
    <x v="19"/>
    <x v="27"/>
    <x v="8"/>
    <x v="4"/>
    <x v="258"/>
    <x v="1"/>
    <x v="0"/>
    <x v="113"/>
    <x v="1"/>
    <x v="0"/>
    <x v="0"/>
    <x v="0"/>
    <x v="8"/>
    <x v="0"/>
    <x v="0"/>
    <x v="1"/>
    <x v="9"/>
    <x v="12"/>
    <x v="0"/>
    <x v="0"/>
    <x v="1"/>
    <x v="18"/>
    <x v="2"/>
    <x v="293"/>
    <x v="42"/>
    <x v="102"/>
    <x v="102"/>
    <x v="22"/>
    <x v="22"/>
    <x v="0"/>
    <x v="0"/>
    <x v="0"/>
    <x v="17"/>
    <x v="1"/>
    <x v="0"/>
    <x v="1"/>
    <x v="0"/>
    <x v="289"/>
    <x v="0"/>
    <x v="0"/>
    <x v="0"/>
    <x v="0"/>
    <x v="2"/>
    <x v="0"/>
    <x v="0"/>
  </r>
  <r>
    <x v="26"/>
    <x v="10"/>
    <x v="27"/>
    <x v="8"/>
    <x v="3"/>
    <x v="258"/>
    <x v="1"/>
    <x v="0"/>
    <x v="113"/>
    <x v="1"/>
    <x v="0"/>
    <x v="0"/>
    <x v="0"/>
    <x v="8"/>
    <x v="0"/>
    <x v="1"/>
    <x v="0"/>
    <x v="7"/>
    <x v="7"/>
    <x v="9"/>
    <x v="14"/>
    <x v="1"/>
    <x v="32"/>
    <x v="2"/>
    <x v="294"/>
    <x v="42"/>
    <x v="102"/>
    <x v="102"/>
    <x v="71"/>
    <x v="129"/>
    <x v="0"/>
    <x v="0"/>
    <x v="2"/>
    <x v="0"/>
    <x v="1"/>
    <x v="0"/>
    <x v="1"/>
    <x v="14"/>
    <x v="290"/>
    <x v="1"/>
    <x v="0"/>
    <x v="0"/>
    <x v="0"/>
    <x v="0"/>
    <x v="0"/>
    <x v="0"/>
  </r>
  <r>
    <x v="26"/>
    <x v="19"/>
    <x v="27"/>
    <x v="11"/>
    <x v="3"/>
    <x v="261"/>
    <x v="1"/>
    <x v="0"/>
    <x v="17"/>
    <x v="0"/>
    <x v="10"/>
    <x v="16"/>
    <x v="0"/>
    <x v="2"/>
    <x v="1"/>
    <x v="1"/>
    <x v="0"/>
    <x v="9"/>
    <x v="12"/>
    <x v="0"/>
    <x v="0"/>
    <x v="1"/>
    <x v="93"/>
    <x v="2"/>
    <x v="295"/>
    <x v="42"/>
    <x v="17"/>
    <x v="17"/>
    <x v="71"/>
    <x v="59"/>
    <x v="16"/>
    <x v="0"/>
    <x v="0"/>
    <x v="0"/>
    <x v="1"/>
    <x v="0"/>
    <x v="1"/>
    <x v="0"/>
    <x v="291"/>
    <x v="0"/>
    <x v="0"/>
    <x v="0"/>
    <x v="0"/>
    <x v="0"/>
    <x v="0"/>
    <x v="0"/>
  </r>
  <r>
    <x v="26"/>
    <x v="19"/>
    <x v="27"/>
    <x v="8"/>
    <x v="1"/>
    <x v="260"/>
    <x v="1"/>
    <x v="0"/>
    <x v="113"/>
    <x v="1"/>
    <x v="0"/>
    <x v="0"/>
    <x v="0"/>
    <x v="8"/>
    <x v="0"/>
    <x v="0"/>
    <x v="1"/>
    <x v="9"/>
    <x v="12"/>
    <x v="0"/>
    <x v="0"/>
    <x v="1"/>
    <x v="27"/>
    <x v="2"/>
    <x v="296"/>
    <x v="42"/>
    <x v="102"/>
    <x v="102"/>
    <x v="71"/>
    <x v="129"/>
    <x v="0"/>
    <x v="0"/>
    <x v="0"/>
    <x v="17"/>
    <x v="1"/>
    <x v="0"/>
    <x v="1"/>
    <x v="0"/>
    <x v="292"/>
    <x v="0"/>
    <x v="0"/>
    <x v="0"/>
    <x v="0"/>
    <x v="0"/>
    <x v="0"/>
    <x v="0"/>
  </r>
  <r>
    <x v="26"/>
    <x v="19"/>
    <x v="27"/>
    <x v="8"/>
    <x v="4"/>
    <x v="260"/>
    <x v="1"/>
    <x v="0"/>
    <x v="113"/>
    <x v="1"/>
    <x v="0"/>
    <x v="0"/>
    <x v="0"/>
    <x v="8"/>
    <x v="0"/>
    <x v="0"/>
    <x v="1"/>
    <x v="9"/>
    <x v="12"/>
    <x v="0"/>
    <x v="0"/>
    <x v="1"/>
    <x v="18"/>
    <x v="2"/>
    <x v="296"/>
    <x v="42"/>
    <x v="102"/>
    <x v="102"/>
    <x v="22"/>
    <x v="22"/>
    <x v="0"/>
    <x v="0"/>
    <x v="0"/>
    <x v="17"/>
    <x v="1"/>
    <x v="0"/>
    <x v="1"/>
    <x v="0"/>
    <x v="292"/>
    <x v="0"/>
    <x v="0"/>
    <x v="0"/>
    <x v="0"/>
    <x v="2"/>
    <x v="0"/>
    <x v="0"/>
  </r>
  <r>
    <x v="26"/>
    <x v="10"/>
    <x v="27"/>
    <x v="8"/>
    <x v="3"/>
    <x v="260"/>
    <x v="1"/>
    <x v="0"/>
    <x v="113"/>
    <x v="1"/>
    <x v="0"/>
    <x v="0"/>
    <x v="0"/>
    <x v="8"/>
    <x v="0"/>
    <x v="1"/>
    <x v="0"/>
    <x v="4"/>
    <x v="5"/>
    <x v="9"/>
    <x v="14"/>
    <x v="1"/>
    <x v="32"/>
    <x v="2"/>
    <x v="297"/>
    <x v="42"/>
    <x v="102"/>
    <x v="102"/>
    <x v="71"/>
    <x v="129"/>
    <x v="0"/>
    <x v="0"/>
    <x v="2"/>
    <x v="0"/>
    <x v="1"/>
    <x v="0"/>
    <x v="1"/>
    <x v="14"/>
    <x v="293"/>
    <x v="1"/>
    <x v="0"/>
    <x v="0"/>
    <x v="0"/>
    <x v="0"/>
    <x v="0"/>
    <x v="0"/>
  </r>
  <r>
    <x v="26"/>
    <x v="19"/>
    <x v="27"/>
    <x v="11"/>
    <x v="3"/>
    <x v="263"/>
    <x v="1"/>
    <x v="0"/>
    <x v="17"/>
    <x v="0"/>
    <x v="10"/>
    <x v="16"/>
    <x v="0"/>
    <x v="2"/>
    <x v="1"/>
    <x v="1"/>
    <x v="0"/>
    <x v="9"/>
    <x v="12"/>
    <x v="0"/>
    <x v="0"/>
    <x v="1"/>
    <x v="81"/>
    <x v="2"/>
    <x v="298"/>
    <x v="42"/>
    <x v="17"/>
    <x v="17"/>
    <x v="71"/>
    <x v="59"/>
    <x v="16"/>
    <x v="0"/>
    <x v="0"/>
    <x v="0"/>
    <x v="1"/>
    <x v="0"/>
    <x v="1"/>
    <x v="0"/>
    <x v="294"/>
    <x v="0"/>
    <x v="0"/>
    <x v="0"/>
    <x v="0"/>
    <x v="0"/>
    <x v="0"/>
    <x v="0"/>
  </r>
  <r>
    <x v="26"/>
    <x v="19"/>
    <x v="27"/>
    <x v="8"/>
    <x v="1"/>
    <x v="262"/>
    <x v="1"/>
    <x v="0"/>
    <x v="113"/>
    <x v="1"/>
    <x v="0"/>
    <x v="0"/>
    <x v="0"/>
    <x v="8"/>
    <x v="0"/>
    <x v="0"/>
    <x v="1"/>
    <x v="9"/>
    <x v="12"/>
    <x v="0"/>
    <x v="0"/>
    <x v="1"/>
    <x v="27"/>
    <x v="2"/>
    <x v="299"/>
    <x v="42"/>
    <x v="102"/>
    <x v="102"/>
    <x v="71"/>
    <x v="129"/>
    <x v="0"/>
    <x v="0"/>
    <x v="0"/>
    <x v="17"/>
    <x v="1"/>
    <x v="0"/>
    <x v="1"/>
    <x v="0"/>
    <x v="295"/>
    <x v="0"/>
    <x v="0"/>
    <x v="0"/>
    <x v="0"/>
    <x v="0"/>
    <x v="0"/>
    <x v="0"/>
  </r>
  <r>
    <x v="26"/>
    <x v="19"/>
    <x v="27"/>
    <x v="8"/>
    <x v="4"/>
    <x v="262"/>
    <x v="1"/>
    <x v="0"/>
    <x v="113"/>
    <x v="1"/>
    <x v="0"/>
    <x v="0"/>
    <x v="0"/>
    <x v="8"/>
    <x v="0"/>
    <x v="0"/>
    <x v="1"/>
    <x v="9"/>
    <x v="12"/>
    <x v="0"/>
    <x v="0"/>
    <x v="1"/>
    <x v="18"/>
    <x v="2"/>
    <x v="299"/>
    <x v="42"/>
    <x v="102"/>
    <x v="102"/>
    <x v="22"/>
    <x v="22"/>
    <x v="0"/>
    <x v="0"/>
    <x v="0"/>
    <x v="17"/>
    <x v="1"/>
    <x v="0"/>
    <x v="1"/>
    <x v="0"/>
    <x v="295"/>
    <x v="0"/>
    <x v="0"/>
    <x v="0"/>
    <x v="0"/>
    <x v="2"/>
    <x v="0"/>
    <x v="0"/>
  </r>
  <r>
    <x v="26"/>
    <x v="10"/>
    <x v="27"/>
    <x v="8"/>
    <x v="3"/>
    <x v="262"/>
    <x v="1"/>
    <x v="0"/>
    <x v="113"/>
    <x v="1"/>
    <x v="0"/>
    <x v="0"/>
    <x v="0"/>
    <x v="8"/>
    <x v="0"/>
    <x v="1"/>
    <x v="0"/>
    <x v="4"/>
    <x v="5"/>
    <x v="9"/>
    <x v="14"/>
    <x v="1"/>
    <x v="32"/>
    <x v="2"/>
    <x v="300"/>
    <x v="42"/>
    <x v="102"/>
    <x v="102"/>
    <x v="71"/>
    <x v="129"/>
    <x v="0"/>
    <x v="0"/>
    <x v="2"/>
    <x v="0"/>
    <x v="1"/>
    <x v="0"/>
    <x v="1"/>
    <x v="14"/>
    <x v="296"/>
    <x v="1"/>
    <x v="0"/>
    <x v="0"/>
    <x v="0"/>
    <x v="0"/>
    <x v="0"/>
    <x v="0"/>
  </r>
  <r>
    <x v="26"/>
    <x v="19"/>
    <x v="27"/>
    <x v="11"/>
    <x v="3"/>
    <x v="265"/>
    <x v="1"/>
    <x v="0"/>
    <x v="17"/>
    <x v="0"/>
    <x v="10"/>
    <x v="16"/>
    <x v="0"/>
    <x v="2"/>
    <x v="1"/>
    <x v="1"/>
    <x v="0"/>
    <x v="9"/>
    <x v="12"/>
    <x v="0"/>
    <x v="0"/>
    <x v="1"/>
    <x v="78"/>
    <x v="2"/>
    <x v="301"/>
    <x v="42"/>
    <x v="17"/>
    <x v="17"/>
    <x v="71"/>
    <x v="59"/>
    <x v="16"/>
    <x v="0"/>
    <x v="0"/>
    <x v="0"/>
    <x v="1"/>
    <x v="0"/>
    <x v="1"/>
    <x v="0"/>
    <x v="297"/>
    <x v="0"/>
    <x v="0"/>
    <x v="0"/>
    <x v="0"/>
    <x v="0"/>
    <x v="0"/>
    <x v="0"/>
  </r>
  <r>
    <x v="26"/>
    <x v="19"/>
    <x v="27"/>
    <x v="8"/>
    <x v="1"/>
    <x v="264"/>
    <x v="1"/>
    <x v="0"/>
    <x v="113"/>
    <x v="1"/>
    <x v="0"/>
    <x v="0"/>
    <x v="0"/>
    <x v="8"/>
    <x v="0"/>
    <x v="0"/>
    <x v="1"/>
    <x v="9"/>
    <x v="12"/>
    <x v="0"/>
    <x v="0"/>
    <x v="1"/>
    <x v="28"/>
    <x v="2"/>
    <x v="302"/>
    <x v="42"/>
    <x v="102"/>
    <x v="102"/>
    <x v="71"/>
    <x v="129"/>
    <x v="0"/>
    <x v="0"/>
    <x v="0"/>
    <x v="17"/>
    <x v="1"/>
    <x v="0"/>
    <x v="1"/>
    <x v="0"/>
    <x v="298"/>
    <x v="0"/>
    <x v="0"/>
    <x v="0"/>
    <x v="0"/>
    <x v="0"/>
    <x v="0"/>
    <x v="0"/>
  </r>
  <r>
    <x v="26"/>
    <x v="19"/>
    <x v="27"/>
    <x v="8"/>
    <x v="4"/>
    <x v="264"/>
    <x v="1"/>
    <x v="0"/>
    <x v="113"/>
    <x v="1"/>
    <x v="0"/>
    <x v="0"/>
    <x v="0"/>
    <x v="8"/>
    <x v="0"/>
    <x v="0"/>
    <x v="1"/>
    <x v="9"/>
    <x v="12"/>
    <x v="0"/>
    <x v="0"/>
    <x v="1"/>
    <x v="18"/>
    <x v="2"/>
    <x v="302"/>
    <x v="42"/>
    <x v="102"/>
    <x v="102"/>
    <x v="22"/>
    <x v="22"/>
    <x v="0"/>
    <x v="0"/>
    <x v="0"/>
    <x v="17"/>
    <x v="1"/>
    <x v="0"/>
    <x v="1"/>
    <x v="0"/>
    <x v="298"/>
    <x v="0"/>
    <x v="0"/>
    <x v="0"/>
    <x v="0"/>
    <x v="2"/>
    <x v="0"/>
    <x v="0"/>
  </r>
  <r>
    <x v="26"/>
    <x v="10"/>
    <x v="27"/>
    <x v="8"/>
    <x v="3"/>
    <x v="264"/>
    <x v="1"/>
    <x v="0"/>
    <x v="113"/>
    <x v="1"/>
    <x v="0"/>
    <x v="0"/>
    <x v="0"/>
    <x v="8"/>
    <x v="0"/>
    <x v="1"/>
    <x v="0"/>
    <x v="5"/>
    <x v="8"/>
    <x v="9"/>
    <x v="14"/>
    <x v="1"/>
    <x v="32"/>
    <x v="2"/>
    <x v="303"/>
    <x v="42"/>
    <x v="102"/>
    <x v="102"/>
    <x v="71"/>
    <x v="129"/>
    <x v="0"/>
    <x v="0"/>
    <x v="2"/>
    <x v="0"/>
    <x v="1"/>
    <x v="0"/>
    <x v="1"/>
    <x v="14"/>
    <x v="299"/>
    <x v="1"/>
    <x v="0"/>
    <x v="0"/>
    <x v="0"/>
    <x v="0"/>
    <x v="0"/>
    <x v="0"/>
  </r>
  <r>
    <x v="26"/>
    <x v="19"/>
    <x v="27"/>
    <x v="11"/>
    <x v="3"/>
    <x v="267"/>
    <x v="1"/>
    <x v="0"/>
    <x v="17"/>
    <x v="0"/>
    <x v="10"/>
    <x v="16"/>
    <x v="0"/>
    <x v="2"/>
    <x v="1"/>
    <x v="1"/>
    <x v="0"/>
    <x v="9"/>
    <x v="12"/>
    <x v="0"/>
    <x v="0"/>
    <x v="1"/>
    <x v="66"/>
    <x v="2"/>
    <x v="304"/>
    <x v="42"/>
    <x v="17"/>
    <x v="17"/>
    <x v="71"/>
    <x v="59"/>
    <x v="16"/>
    <x v="0"/>
    <x v="0"/>
    <x v="0"/>
    <x v="1"/>
    <x v="0"/>
    <x v="1"/>
    <x v="0"/>
    <x v="300"/>
    <x v="0"/>
    <x v="0"/>
    <x v="0"/>
    <x v="0"/>
    <x v="0"/>
    <x v="0"/>
    <x v="0"/>
  </r>
  <r>
    <x v="26"/>
    <x v="19"/>
    <x v="27"/>
    <x v="8"/>
    <x v="1"/>
    <x v="266"/>
    <x v="1"/>
    <x v="0"/>
    <x v="113"/>
    <x v="1"/>
    <x v="0"/>
    <x v="0"/>
    <x v="0"/>
    <x v="8"/>
    <x v="0"/>
    <x v="0"/>
    <x v="1"/>
    <x v="9"/>
    <x v="12"/>
    <x v="0"/>
    <x v="0"/>
    <x v="1"/>
    <x v="27"/>
    <x v="2"/>
    <x v="305"/>
    <x v="42"/>
    <x v="102"/>
    <x v="102"/>
    <x v="71"/>
    <x v="129"/>
    <x v="0"/>
    <x v="0"/>
    <x v="0"/>
    <x v="17"/>
    <x v="1"/>
    <x v="0"/>
    <x v="1"/>
    <x v="0"/>
    <x v="301"/>
    <x v="0"/>
    <x v="0"/>
    <x v="0"/>
    <x v="0"/>
    <x v="0"/>
    <x v="0"/>
    <x v="0"/>
  </r>
  <r>
    <x v="26"/>
    <x v="19"/>
    <x v="27"/>
    <x v="8"/>
    <x v="4"/>
    <x v="266"/>
    <x v="1"/>
    <x v="0"/>
    <x v="113"/>
    <x v="1"/>
    <x v="0"/>
    <x v="0"/>
    <x v="0"/>
    <x v="8"/>
    <x v="0"/>
    <x v="0"/>
    <x v="1"/>
    <x v="9"/>
    <x v="12"/>
    <x v="0"/>
    <x v="0"/>
    <x v="1"/>
    <x v="18"/>
    <x v="2"/>
    <x v="305"/>
    <x v="42"/>
    <x v="102"/>
    <x v="102"/>
    <x v="22"/>
    <x v="22"/>
    <x v="0"/>
    <x v="0"/>
    <x v="0"/>
    <x v="17"/>
    <x v="1"/>
    <x v="0"/>
    <x v="1"/>
    <x v="0"/>
    <x v="301"/>
    <x v="0"/>
    <x v="0"/>
    <x v="0"/>
    <x v="0"/>
    <x v="2"/>
    <x v="0"/>
    <x v="0"/>
  </r>
  <r>
    <x v="26"/>
    <x v="10"/>
    <x v="27"/>
    <x v="8"/>
    <x v="3"/>
    <x v="266"/>
    <x v="1"/>
    <x v="0"/>
    <x v="113"/>
    <x v="1"/>
    <x v="0"/>
    <x v="0"/>
    <x v="0"/>
    <x v="8"/>
    <x v="0"/>
    <x v="1"/>
    <x v="0"/>
    <x v="5"/>
    <x v="8"/>
    <x v="9"/>
    <x v="14"/>
    <x v="1"/>
    <x v="32"/>
    <x v="2"/>
    <x v="306"/>
    <x v="42"/>
    <x v="102"/>
    <x v="102"/>
    <x v="71"/>
    <x v="129"/>
    <x v="0"/>
    <x v="0"/>
    <x v="2"/>
    <x v="0"/>
    <x v="1"/>
    <x v="0"/>
    <x v="1"/>
    <x v="14"/>
    <x v="302"/>
    <x v="1"/>
    <x v="0"/>
    <x v="0"/>
    <x v="0"/>
    <x v="0"/>
    <x v="0"/>
    <x v="0"/>
  </r>
  <r>
    <x v="26"/>
    <x v="19"/>
    <x v="27"/>
    <x v="4"/>
    <x v="3"/>
    <x v="268"/>
    <x v="1"/>
    <x v="0"/>
    <x v="143"/>
    <x v="1"/>
    <x v="9"/>
    <x v="99"/>
    <x v="0"/>
    <x v="9"/>
    <x v="0"/>
    <x v="1"/>
    <x v="0"/>
    <x v="9"/>
    <x v="12"/>
    <x v="0"/>
    <x v="0"/>
    <x v="1"/>
    <x v="32"/>
    <x v="4"/>
    <x v="307"/>
    <x v="86"/>
    <x v="144"/>
    <x v="144"/>
    <x v="110"/>
    <x v="166"/>
    <x v="99"/>
    <x v="0"/>
    <x v="0"/>
    <x v="0"/>
    <x v="1"/>
    <x v="0"/>
    <x v="1"/>
    <x v="0"/>
    <x v="303"/>
    <x v="0"/>
    <x v="0"/>
    <x v="0"/>
    <x v="0"/>
    <x v="0"/>
    <x v="0"/>
    <x v="0"/>
  </r>
  <r>
    <x v="27"/>
    <x v="19"/>
    <x v="28"/>
    <x v="18"/>
    <x v="3"/>
    <x v="272"/>
    <x v="1"/>
    <x v="0"/>
    <x v="15"/>
    <x v="0"/>
    <x v="8"/>
    <x v="7"/>
    <x v="0"/>
    <x v="2"/>
    <x v="1"/>
    <x v="1"/>
    <x v="0"/>
    <x v="9"/>
    <x v="12"/>
    <x v="0"/>
    <x v="0"/>
    <x v="1"/>
    <x v="76"/>
    <x v="4"/>
    <x v="308"/>
    <x v="33"/>
    <x v="15"/>
    <x v="15"/>
    <x v="66"/>
    <x v="57"/>
    <x v="7"/>
    <x v="0"/>
    <x v="0"/>
    <x v="0"/>
    <x v="1"/>
    <x v="0"/>
    <x v="1"/>
    <x v="0"/>
    <x v="304"/>
    <x v="0"/>
    <x v="0"/>
    <x v="0"/>
    <x v="0"/>
    <x v="0"/>
    <x v="0"/>
    <x v="0"/>
  </r>
  <r>
    <x v="27"/>
    <x v="19"/>
    <x v="28"/>
    <x v="8"/>
    <x v="1"/>
    <x v="271"/>
    <x v="1"/>
    <x v="0"/>
    <x v="107"/>
    <x v="1"/>
    <x v="0"/>
    <x v="0"/>
    <x v="0"/>
    <x v="8"/>
    <x v="0"/>
    <x v="0"/>
    <x v="1"/>
    <x v="9"/>
    <x v="12"/>
    <x v="0"/>
    <x v="0"/>
    <x v="1"/>
    <x v="27"/>
    <x v="2"/>
    <x v="309"/>
    <x v="33"/>
    <x v="93"/>
    <x v="93"/>
    <x v="66"/>
    <x v="124"/>
    <x v="0"/>
    <x v="0"/>
    <x v="0"/>
    <x v="15"/>
    <x v="1"/>
    <x v="0"/>
    <x v="1"/>
    <x v="0"/>
    <x v="305"/>
    <x v="0"/>
    <x v="0"/>
    <x v="0"/>
    <x v="0"/>
    <x v="0"/>
    <x v="0"/>
    <x v="0"/>
  </r>
  <r>
    <x v="27"/>
    <x v="19"/>
    <x v="28"/>
    <x v="8"/>
    <x v="4"/>
    <x v="271"/>
    <x v="1"/>
    <x v="0"/>
    <x v="107"/>
    <x v="1"/>
    <x v="0"/>
    <x v="0"/>
    <x v="0"/>
    <x v="8"/>
    <x v="0"/>
    <x v="0"/>
    <x v="1"/>
    <x v="9"/>
    <x v="12"/>
    <x v="0"/>
    <x v="0"/>
    <x v="1"/>
    <x v="18"/>
    <x v="2"/>
    <x v="309"/>
    <x v="33"/>
    <x v="93"/>
    <x v="93"/>
    <x v="24"/>
    <x v="24"/>
    <x v="0"/>
    <x v="0"/>
    <x v="0"/>
    <x v="15"/>
    <x v="1"/>
    <x v="0"/>
    <x v="1"/>
    <x v="0"/>
    <x v="305"/>
    <x v="0"/>
    <x v="0"/>
    <x v="0"/>
    <x v="0"/>
    <x v="2"/>
    <x v="0"/>
    <x v="0"/>
  </r>
  <r>
    <x v="27"/>
    <x v="12"/>
    <x v="28"/>
    <x v="8"/>
    <x v="3"/>
    <x v="271"/>
    <x v="1"/>
    <x v="0"/>
    <x v="107"/>
    <x v="1"/>
    <x v="0"/>
    <x v="0"/>
    <x v="0"/>
    <x v="8"/>
    <x v="0"/>
    <x v="1"/>
    <x v="0"/>
    <x v="4"/>
    <x v="5"/>
    <x v="2"/>
    <x v="5"/>
    <x v="1"/>
    <x v="32"/>
    <x v="2"/>
    <x v="310"/>
    <x v="33"/>
    <x v="93"/>
    <x v="93"/>
    <x v="66"/>
    <x v="124"/>
    <x v="0"/>
    <x v="0"/>
    <x v="2"/>
    <x v="0"/>
    <x v="1"/>
    <x v="0"/>
    <x v="1"/>
    <x v="5"/>
    <x v="306"/>
    <x v="1"/>
    <x v="0"/>
    <x v="0"/>
    <x v="0"/>
    <x v="0"/>
    <x v="0"/>
    <x v="0"/>
  </r>
  <r>
    <x v="27"/>
    <x v="19"/>
    <x v="28"/>
    <x v="18"/>
    <x v="3"/>
    <x v="274"/>
    <x v="1"/>
    <x v="0"/>
    <x v="15"/>
    <x v="1"/>
    <x v="8"/>
    <x v="7"/>
    <x v="0"/>
    <x v="2"/>
    <x v="1"/>
    <x v="1"/>
    <x v="0"/>
    <x v="9"/>
    <x v="12"/>
    <x v="0"/>
    <x v="0"/>
    <x v="1"/>
    <x v="85"/>
    <x v="2"/>
    <x v="311"/>
    <x v="1"/>
    <x v="15"/>
    <x v="15"/>
    <x v="43"/>
    <x v="57"/>
    <x v="7"/>
    <x v="0"/>
    <x v="0"/>
    <x v="0"/>
    <x v="1"/>
    <x v="0"/>
    <x v="1"/>
    <x v="0"/>
    <x v="307"/>
    <x v="0"/>
    <x v="0"/>
    <x v="0"/>
    <x v="0"/>
    <x v="0"/>
    <x v="0"/>
    <x v="0"/>
  </r>
  <r>
    <x v="27"/>
    <x v="19"/>
    <x v="28"/>
    <x v="8"/>
    <x v="1"/>
    <x v="273"/>
    <x v="1"/>
    <x v="0"/>
    <x v="107"/>
    <x v="1"/>
    <x v="0"/>
    <x v="0"/>
    <x v="0"/>
    <x v="8"/>
    <x v="0"/>
    <x v="0"/>
    <x v="1"/>
    <x v="9"/>
    <x v="12"/>
    <x v="0"/>
    <x v="0"/>
    <x v="1"/>
    <x v="27"/>
    <x v="2"/>
    <x v="312"/>
    <x v="33"/>
    <x v="93"/>
    <x v="93"/>
    <x v="66"/>
    <x v="124"/>
    <x v="0"/>
    <x v="0"/>
    <x v="0"/>
    <x v="15"/>
    <x v="1"/>
    <x v="0"/>
    <x v="1"/>
    <x v="0"/>
    <x v="308"/>
    <x v="0"/>
    <x v="0"/>
    <x v="0"/>
    <x v="0"/>
    <x v="0"/>
    <x v="0"/>
    <x v="0"/>
  </r>
  <r>
    <x v="27"/>
    <x v="19"/>
    <x v="28"/>
    <x v="8"/>
    <x v="4"/>
    <x v="273"/>
    <x v="1"/>
    <x v="0"/>
    <x v="107"/>
    <x v="1"/>
    <x v="0"/>
    <x v="0"/>
    <x v="0"/>
    <x v="8"/>
    <x v="0"/>
    <x v="0"/>
    <x v="1"/>
    <x v="9"/>
    <x v="12"/>
    <x v="0"/>
    <x v="0"/>
    <x v="1"/>
    <x v="18"/>
    <x v="2"/>
    <x v="312"/>
    <x v="33"/>
    <x v="93"/>
    <x v="93"/>
    <x v="24"/>
    <x v="24"/>
    <x v="0"/>
    <x v="0"/>
    <x v="0"/>
    <x v="15"/>
    <x v="1"/>
    <x v="0"/>
    <x v="1"/>
    <x v="0"/>
    <x v="308"/>
    <x v="0"/>
    <x v="0"/>
    <x v="0"/>
    <x v="0"/>
    <x v="2"/>
    <x v="0"/>
    <x v="0"/>
  </r>
  <r>
    <x v="27"/>
    <x v="12"/>
    <x v="28"/>
    <x v="8"/>
    <x v="3"/>
    <x v="273"/>
    <x v="1"/>
    <x v="0"/>
    <x v="107"/>
    <x v="1"/>
    <x v="0"/>
    <x v="0"/>
    <x v="0"/>
    <x v="8"/>
    <x v="0"/>
    <x v="1"/>
    <x v="0"/>
    <x v="7"/>
    <x v="7"/>
    <x v="2"/>
    <x v="5"/>
    <x v="1"/>
    <x v="32"/>
    <x v="4"/>
    <x v="313"/>
    <x v="33"/>
    <x v="93"/>
    <x v="93"/>
    <x v="66"/>
    <x v="124"/>
    <x v="0"/>
    <x v="0"/>
    <x v="2"/>
    <x v="0"/>
    <x v="1"/>
    <x v="0"/>
    <x v="1"/>
    <x v="5"/>
    <x v="309"/>
    <x v="1"/>
    <x v="0"/>
    <x v="0"/>
    <x v="0"/>
    <x v="0"/>
    <x v="0"/>
    <x v="0"/>
  </r>
  <r>
    <x v="27"/>
    <x v="19"/>
    <x v="28"/>
    <x v="18"/>
    <x v="3"/>
    <x v="276"/>
    <x v="1"/>
    <x v="0"/>
    <x v="15"/>
    <x v="0"/>
    <x v="8"/>
    <x v="7"/>
    <x v="0"/>
    <x v="2"/>
    <x v="0"/>
    <x v="1"/>
    <x v="0"/>
    <x v="9"/>
    <x v="12"/>
    <x v="0"/>
    <x v="0"/>
    <x v="1"/>
    <x v="73"/>
    <x v="2"/>
    <x v="314"/>
    <x v="33"/>
    <x v="15"/>
    <x v="15"/>
    <x v="66"/>
    <x v="57"/>
    <x v="7"/>
    <x v="0"/>
    <x v="0"/>
    <x v="0"/>
    <x v="1"/>
    <x v="0"/>
    <x v="1"/>
    <x v="0"/>
    <x v="310"/>
    <x v="0"/>
    <x v="0"/>
    <x v="0"/>
    <x v="0"/>
    <x v="0"/>
    <x v="0"/>
    <x v="0"/>
  </r>
  <r>
    <x v="27"/>
    <x v="19"/>
    <x v="28"/>
    <x v="8"/>
    <x v="1"/>
    <x v="275"/>
    <x v="1"/>
    <x v="0"/>
    <x v="107"/>
    <x v="1"/>
    <x v="0"/>
    <x v="0"/>
    <x v="0"/>
    <x v="8"/>
    <x v="0"/>
    <x v="0"/>
    <x v="1"/>
    <x v="9"/>
    <x v="12"/>
    <x v="0"/>
    <x v="0"/>
    <x v="1"/>
    <x v="27"/>
    <x v="2"/>
    <x v="315"/>
    <x v="33"/>
    <x v="93"/>
    <x v="93"/>
    <x v="66"/>
    <x v="124"/>
    <x v="0"/>
    <x v="0"/>
    <x v="0"/>
    <x v="15"/>
    <x v="1"/>
    <x v="0"/>
    <x v="1"/>
    <x v="0"/>
    <x v="311"/>
    <x v="0"/>
    <x v="0"/>
    <x v="0"/>
    <x v="0"/>
    <x v="0"/>
    <x v="0"/>
    <x v="0"/>
  </r>
  <r>
    <x v="27"/>
    <x v="19"/>
    <x v="28"/>
    <x v="8"/>
    <x v="4"/>
    <x v="275"/>
    <x v="1"/>
    <x v="0"/>
    <x v="107"/>
    <x v="1"/>
    <x v="0"/>
    <x v="0"/>
    <x v="0"/>
    <x v="8"/>
    <x v="0"/>
    <x v="0"/>
    <x v="1"/>
    <x v="9"/>
    <x v="12"/>
    <x v="0"/>
    <x v="0"/>
    <x v="1"/>
    <x v="18"/>
    <x v="2"/>
    <x v="315"/>
    <x v="33"/>
    <x v="93"/>
    <x v="93"/>
    <x v="24"/>
    <x v="24"/>
    <x v="0"/>
    <x v="0"/>
    <x v="0"/>
    <x v="15"/>
    <x v="1"/>
    <x v="0"/>
    <x v="1"/>
    <x v="0"/>
    <x v="311"/>
    <x v="0"/>
    <x v="0"/>
    <x v="0"/>
    <x v="0"/>
    <x v="2"/>
    <x v="0"/>
    <x v="0"/>
  </r>
  <r>
    <x v="27"/>
    <x v="12"/>
    <x v="28"/>
    <x v="8"/>
    <x v="3"/>
    <x v="275"/>
    <x v="1"/>
    <x v="0"/>
    <x v="107"/>
    <x v="1"/>
    <x v="0"/>
    <x v="0"/>
    <x v="0"/>
    <x v="8"/>
    <x v="0"/>
    <x v="1"/>
    <x v="0"/>
    <x v="5"/>
    <x v="8"/>
    <x v="2"/>
    <x v="5"/>
    <x v="1"/>
    <x v="32"/>
    <x v="2"/>
    <x v="316"/>
    <x v="33"/>
    <x v="93"/>
    <x v="93"/>
    <x v="66"/>
    <x v="124"/>
    <x v="0"/>
    <x v="0"/>
    <x v="2"/>
    <x v="0"/>
    <x v="1"/>
    <x v="0"/>
    <x v="1"/>
    <x v="5"/>
    <x v="312"/>
    <x v="1"/>
    <x v="0"/>
    <x v="0"/>
    <x v="0"/>
    <x v="0"/>
    <x v="0"/>
    <x v="0"/>
  </r>
  <r>
    <x v="27"/>
    <x v="19"/>
    <x v="28"/>
    <x v="18"/>
    <x v="3"/>
    <x v="278"/>
    <x v="1"/>
    <x v="0"/>
    <x v="15"/>
    <x v="0"/>
    <x v="8"/>
    <x v="7"/>
    <x v="0"/>
    <x v="2"/>
    <x v="1"/>
    <x v="1"/>
    <x v="0"/>
    <x v="9"/>
    <x v="12"/>
    <x v="0"/>
    <x v="0"/>
    <x v="1"/>
    <x v="70"/>
    <x v="2"/>
    <x v="317"/>
    <x v="33"/>
    <x v="15"/>
    <x v="15"/>
    <x v="66"/>
    <x v="57"/>
    <x v="7"/>
    <x v="0"/>
    <x v="0"/>
    <x v="0"/>
    <x v="1"/>
    <x v="0"/>
    <x v="1"/>
    <x v="0"/>
    <x v="313"/>
    <x v="0"/>
    <x v="0"/>
    <x v="0"/>
    <x v="0"/>
    <x v="0"/>
    <x v="0"/>
    <x v="0"/>
  </r>
  <r>
    <x v="27"/>
    <x v="19"/>
    <x v="28"/>
    <x v="8"/>
    <x v="1"/>
    <x v="277"/>
    <x v="1"/>
    <x v="0"/>
    <x v="107"/>
    <x v="1"/>
    <x v="0"/>
    <x v="0"/>
    <x v="0"/>
    <x v="8"/>
    <x v="0"/>
    <x v="0"/>
    <x v="1"/>
    <x v="9"/>
    <x v="12"/>
    <x v="0"/>
    <x v="0"/>
    <x v="1"/>
    <x v="27"/>
    <x v="2"/>
    <x v="318"/>
    <x v="33"/>
    <x v="93"/>
    <x v="93"/>
    <x v="66"/>
    <x v="124"/>
    <x v="0"/>
    <x v="0"/>
    <x v="0"/>
    <x v="15"/>
    <x v="1"/>
    <x v="0"/>
    <x v="1"/>
    <x v="0"/>
    <x v="314"/>
    <x v="0"/>
    <x v="0"/>
    <x v="0"/>
    <x v="0"/>
    <x v="0"/>
    <x v="0"/>
    <x v="0"/>
  </r>
  <r>
    <x v="27"/>
    <x v="19"/>
    <x v="28"/>
    <x v="8"/>
    <x v="4"/>
    <x v="277"/>
    <x v="1"/>
    <x v="0"/>
    <x v="107"/>
    <x v="1"/>
    <x v="0"/>
    <x v="0"/>
    <x v="0"/>
    <x v="8"/>
    <x v="0"/>
    <x v="0"/>
    <x v="1"/>
    <x v="9"/>
    <x v="12"/>
    <x v="0"/>
    <x v="0"/>
    <x v="1"/>
    <x v="18"/>
    <x v="2"/>
    <x v="318"/>
    <x v="33"/>
    <x v="93"/>
    <x v="93"/>
    <x v="24"/>
    <x v="24"/>
    <x v="0"/>
    <x v="0"/>
    <x v="0"/>
    <x v="15"/>
    <x v="1"/>
    <x v="0"/>
    <x v="1"/>
    <x v="0"/>
    <x v="314"/>
    <x v="0"/>
    <x v="0"/>
    <x v="0"/>
    <x v="0"/>
    <x v="2"/>
    <x v="0"/>
    <x v="0"/>
  </r>
  <r>
    <x v="27"/>
    <x v="12"/>
    <x v="28"/>
    <x v="8"/>
    <x v="3"/>
    <x v="277"/>
    <x v="1"/>
    <x v="0"/>
    <x v="107"/>
    <x v="1"/>
    <x v="0"/>
    <x v="0"/>
    <x v="0"/>
    <x v="8"/>
    <x v="0"/>
    <x v="1"/>
    <x v="0"/>
    <x v="7"/>
    <x v="7"/>
    <x v="2"/>
    <x v="5"/>
    <x v="1"/>
    <x v="32"/>
    <x v="4"/>
    <x v="319"/>
    <x v="33"/>
    <x v="93"/>
    <x v="93"/>
    <x v="66"/>
    <x v="124"/>
    <x v="0"/>
    <x v="0"/>
    <x v="2"/>
    <x v="0"/>
    <x v="1"/>
    <x v="0"/>
    <x v="1"/>
    <x v="5"/>
    <x v="315"/>
    <x v="1"/>
    <x v="0"/>
    <x v="0"/>
    <x v="0"/>
    <x v="0"/>
    <x v="0"/>
    <x v="0"/>
  </r>
  <r>
    <x v="27"/>
    <x v="19"/>
    <x v="28"/>
    <x v="5"/>
    <x v="3"/>
    <x v="188"/>
    <x v="1"/>
    <x v="1"/>
    <x v="81"/>
    <x v="0"/>
    <x v="11"/>
    <x v="85"/>
    <x v="0"/>
    <x v="2"/>
    <x v="1"/>
    <x v="1"/>
    <x v="0"/>
    <x v="9"/>
    <x v="12"/>
    <x v="0"/>
    <x v="0"/>
    <x v="1"/>
    <x v="47"/>
    <x v="4"/>
    <x v="284"/>
    <x v="117"/>
    <x v="66"/>
    <x v="66"/>
    <x v="141"/>
    <x v="105"/>
    <x v="85"/>
    <x v="0"/>
    <x v="0"/>
    <x v="0"/>
    <x v="1"/>
    <x v="0"/>
    <x v="1"/>
    <x v="0"/>
    <x v="316"/>
    <x v="0"/>
    <x v="0"/>
    <x v="0"/>
    <x v="0"/>
    <x v="0"/>
    <x v="0"/>
    <x v="0"/>
  </r>
  <r>
    <x v="27"/>
    <x v="19"/>
    <x v="28"/>
    <x v="5"/>
    <x v="3"/>
    <x v="190"/>
    <x v="1"/>
    <x v="1"/>
    <x v="35"/>
    <x v="0"/>
    <x v="11"/>
    <x v="42"/>
    <x v="0"/>
    <x v="2"/>
    <x v="1"/>
    <x v="1"/>
    <x v="0"/>
    <x v="9"/>
    <x v="12"/>
    <x v="0"/>
    <x v="0"/>
    <x v="1"/>
    <x v="48"/>
    <x v="4"/>
    <x v="285"/>
    <x v="88"/>
    <x v="34"/>
    <x v="34"/>
    <x v="112"/>
    <x v="73"/>
    <x v="42"/>
    <x v="0"/>
    <x v="0"/>
    <x v="0"/>
    <x v="1"/>
    <x v="0"/>
    <x v="1"/>
    <x v="0"/>
    <x v="317"/>
    <x v="0"/>
    <x v="0"/>
    <x v="0"/>
    <x v="0"/>
    <x v="0"/>
    <x v="0"/>
    <x v="0"/>
  </r>
  <r>
    <x v="27"/>
    <x v="19"/>
    <x v="28"/>
    <x v="5"/>
    <x v="3"/>
    <x v="192"/>
    <x v="1"/>
    <x v="1"/>
    <x v="59"/>
    <x v="0"/>
    <x v="11"/>
    <x v="52"/>
    <x v="0"/>
    <x v="2"/>
    <x v="1"/>
    <x v="1"/>
    <x v="0"/>
    <x v="9"/>
    <x v="12"/>
    <x v="0"/>
    <x v="0"/>
    <x v="1"/>
    <x v="47"/>
    <x v="4"/>
    <x v="287"/>
    <x v="96"/>
    <x v="44"/>
    <x v="44"/>
    <x v="120"/>
    <x v="83"/>
    <x v="52"/>
    <x v="0"/>
    <x v="0"/>
    <x v="0"/>
    <x v="1"/>
    <x v="0"/>
    <x v="1"/>
    <x v="0"/>
    <x v="318"/>
    <x v="0"/>
    <x v="0"/>
    <x v="0"/>
    <x v="0"/>
    <x v="0"/>
    <x v="0"/>
    <x v="0"/>
  </r>
  <r>
    <x v="28"/>
    <x v="19"/>
    <x v="29"/>
    <x v="20"/>
    <x v="3"/>
    <x v="279"/>
    <x v="1"/>
    <x v="1"/>
    <x v="51"/>
    <x v="2"/>
    <x v="13"/>
    <x v="94"/>
    <x v="0"/>
    <x v="9"/>
    <x v="0"/>
    <x v="1"/>
    <x v="0"/>
    <x v="9"/>
    <x v="12"/>
    <x v="0"/>
    <x v="0"/>
    <x v="1"/>
    <x v="11"/>
    <x v="4"/>
    <x v="320"/>
    <x v="64"/>
    <x v="124"/>
    <x v="124"/>
    <x v="91"/>
    <x v="149"/>
    <x v="94"/>
    <x v="0"/>
    <x v="0"/>
    <x v="0"/>
    <x v="1"/>
    <x v="0"/>
    <x v="1"/>
    <x v="0"/>
    <x v="319"/>
    <x v="0"/>
    <x v="0"/>
    <x v="0"/>
    <x v="0"/>
    <x v="0"/>
    <x v="0"/>
    <x v="0"/>
  </r>
  <r>
    <x v="28"/>
    <x v="19"/>
    <x v="29"/>
    <x v="20"/>
    <x v="3"/>
    <x v="280"/>
    <x v="1"/>
    <x v="1"/>
    <x v="38"/>
    <x v="2"/>
    <x v="13"/>
    <x v="57"/>
    <x v="0"/>
    <x v="9"/>
    <x v="0"/>
    <x v="1"/>
    <x v="0"/>
    <x v="9"/>
    <x v="12"/>
    <x v="0"/>
    <x v="0"/>
    <x v="1"/>
    <x v="7"/>
    <x v="4"/>
    <x v="321"/>
    <x v="41"/>
    <x v="101"/>
    <x v="101"/>
    <x v="70"/>
    <x v="128"/>
    <x v="57"/>
    <x v="0"/>
    <x v="0"/>
    <x v="0"/>
    <x v="1"/>
    <x v="0"/>
    <x v="1"/>
    <x v="0"/>
    <x v="320"/>
    <x v="0"/>
    <x v="0"/>
    <x v="0"/>
    <x v="0"/>
    <x v="0"/>
    <x v="0"/>
    <x v="0"/>
  </r>
  <r>
    <x v="29"/>
    <x v="19"/>
    <x v="30"/>
    <x v="5"/>
    <x v="3"/>
    <x v="194"/>
    <x v="1"/>
    <x v="1"/>
    <x v="72"/>
    <x v="0"/>
    <x v="11"/>
    <x v="72"/>
    <x v="0"/>
    <x v="2"/>
    <x v="1"/>
    <x v="1"/>
    <x v="0"/>
    <x v="9"/>
    <x v="12"/>
    <x v="0"/>
    <x v="0"/>
    <x v="1"/>
    <x v="48"/>
    <x v="4"/>
    <x v="286"/>
    <x v="109"/>
    <x v="57"/>
    <x v="57"/>
    <x v="133"/>
    <x v="96"/>
    <x v="72"/>
    <x v="0"/>
    <x v="0"/>
    <x v="0"/>
    <x v="1"/>
    <x v="0"/>
    <x v="1"/>
    <x v="0"/>
    <x v="321"/>
    <x v="0"/>
    <x v="0"/>
    <x v="0"/>
    <x v="0"/>
    <x v="0"/>
    <x v="0"/>
    <x v="0"/>
  </r>
  <r>
    <x v="29"/>
    <x v="19"/>
    <x v="30"/>
    <x v="5"/>
    <x v="3"/>
    <x v="196"/>
    <x v="1"/>
    <x v="1"/>
    <x v="86"/>
    <x v="0"/>
    <x v="11"/>
    <x v="92"/>
    <x v="0"/>
    <x v="2"/>
    <x v="1"/>
    <x v="1"/>
    <x v="0"/>
    <x v="9"/>
    <x v="12"/>
    <x v="0"/>
    <x v="0"/>
    <x v="1"/>
    <x v="58"/>
    <x v="4"/>
    <x v="340"/>
    <x v="121"/>
    <x v="70"/>
    <x v="70"/>
    <x v="145"/>
    <x v="109"/>
    <x v="92"/>
    <x v="0"/>
    <x v="0"/>
    <x v="0"/>
    <x v="1"/>
    <x v="0"/>
    <x v="1"/>
    <x v="0"/>
    <x v="322"/>
    <x v="0"/>
    <x v="0"/>
    <x v="0"/>
    <x v="0"/>
    <x v="0"/>
    <x v="0"/>
    <x v="0"/>
  </r>
  <r>
    <x v="30"/>
    <x v="0"/>
    <x v="31"/>
    <x v="6"/>
    <x v="0"/>
    <x v="72"/>
    <x v="1"/>
    <x v="2"/>
    <x v="128"/>
    <x v="1"/>
    <x v="0"/>
    <x v="0"/>
    <x v="0"/>
    <x v="6"/>
    <x v="0"/>
    <x v="1"/>
    <x v="0"/>
    <x v="4"/>
    <x v="5"/>
    <x v="16"/>
    <x v="22"/>
    <x v="1"/>
    <x v="83"/>
    <x v="4"/>
    <x v="322"/>
    <x v="68"/>
    <x v="128"/>
    <x v="128"/>
    <x v="41"/>
    <x v="41"/>
    <x v="0"/>
    <x v="0"/>
    <x v="2"/>
    <x v="0"/>
    <x v="1"/>
    <x v="0"/>
    <x v="1"/>
    <x v="22"/>
    <x v="323"/>
    <x v="1"/>
    <x v="0"/>
    <x v="0"/>
    <x v="0"/>
    <x v="0"/>
    <x v="0"/>
    <x v="0"/>
  </r>
  <r>
    <x v="30"/>
    <x v="0"/>
    <x v="31"/>
    <x v="6"/>
    <x v="0"/>
    <x v="73"/>
    <x v="1"/>
    <x v="2"/>
    <x v="135"/>
    <x v="1"/>
    <x v="0"/>
    <x v="0"/>
    <x v="0"/>
    <x v="6"/>
    <x v="0"/>
    <x v="1"/>
    <x v="0"/>
    <x v="3"/>
    <x v="3"/>
    <x v="16"/>
    <x v="22"/>
    <x v="1"/>
    <x v="21"/>
    <x v="4"/>
    <x v="323"/>
    <x v="76"/>
    <x v="136"/>
    <x v="136"/>
    <x v="41"/>
    <x v="41"/>
    <x v="0"/>
    <x v="0"/>
    <x v="1"/>
    <x v="0"/>
    <x v="1"/>
    <x v="0"/>
    <x v="1"/>
    <x v="22"/>
    <x v="324"/>
    <x v="1"/>
    <x v="0"/>
    <x v="0"/>
    <x v="0"/>
    <x v="0"/>
    <x v="0"/>
    <x v="0"/>
  </r>
  <r>
    <x v="30"/>
    <x v="19"/>
    <x v="31"/>
    <x v="18"/>
    <x v="3"/>
    <x v="282"/>
    <x v="1"/>
    <x v="0"/>
    <x v="22"/>
    <x v="0"/>
    <x v="8"/>
    <x v="9"/>
    <x v="0"/>
    <x v="2"/>
    <x v="1"/>
    <x v="1"/>
    <x v="0"/>
    <x v="9"/>
    <x v="12"/>
    <x v="0"/>
    <x v="0"/>
    <x v="1"/>
    <x v="74"/>
    <x v="4"/>
    <x v="324"/>
    <x v="59"/>
    <x v="21"/>
    <x v="21"/>
    <x v="86"/>
    <x v="63"/>
    <x v="9"/>
    <x v="0"/>
    <x v="0"/>
    <x v="0"/>
    <x v="1"/>
    <x v="0"/>
    <x v="1"/>
    <x v="0"/>
    <x v="325"/>
    <x v="0"/>
    <x v="0"/>
    <x v="0"/>
    <x v="0"/>
    <x v="0"/>
    <x v="0"/>
    <x v="0"/>
  </r>
  <r>
    <x v="30"/>
    <x v="19"/>
    <x v="31"/>
    <x v="8"/>
    <x v="1"/>
    <x v="281"/>
    <x v="1"/>
    <x v="0"/>
    <x v="122"/>
    <x v="1"/>
    <x v="0"/>
    <x v="0"/>
    <x v="0"/>
    <x v="8"/>
    <x v="0"/>
    <x v="0"/>
    <x v="1"/>
    <x v="9"/>
    <x v="12"/>
    <x v="0"/>
    <x v="0"/>
    <x v="1"/>
    <x v="27"/>
    <x v="2"/>
    <x v="325"/>
    <x v="59"/>
    <x v="119"/>
    <x v="119"/>
    <x v="86"/>
    <x v="144"/>
    <x v="0"/>
    <x v="0"/>
    <x v="0"/>
    <x v="24"/>
    <x v="1"/>
    <x v="0"/>
    <x v="1"/>
    <x v="0"/>
    <x v="326"/>
    <x v="0"/>
    <x v="0"/>
    <x v="0"/>
    <x v="0"/>
    <x v="0"/>
    <x v="0"/>
    <x v="0"/>
  </r>
  <r>
    <x v="30"/>
    <x v="19"/>
    <x v="31"/>
    <x v="8"/>
    <x v="4"/>
    <x v="281"/>
    <x v="1"/>
    <x v="0"/>
    <x v="122"/>
    <x v="1"/>
    <x v="0"/>
    <x v="0"/>
    <x v="0"/>
    <x v="8"/>
    <x v="0"/>
    <x v="0"/>
    <x v="1"/>
    <x v="9"/>
    <x v="12"/>
    <x v="0"/>
    <x v="0"/>
    <x v="1"/>
    <x v="18"/>
    <x v="2"/>
    <x v="325"/>
    <x v="59"/>
    <x v="119"/>
    <x v="119"/>
    <x v="15"/>
    <x v="15"/>
    <x v="0"/>
    <x v="0"/>
    <x v="0"/>
    <x v="24"/>
    <x v="1"/>
    <x v="0"/>
    <x v="1"/>
    <x v="0"/>
    <x v="326"/>
    <x v="0"/>
    <x v="0"/>
    <x v="0"/>
    <x v="0"/>
    <x v="2"/>
    <x v="0"/>
    <x v="0"/>
  </r>
  <r>
    <x v="30"/>
    <x v="12"/>
    <x v="31"/>
    <x v="8"/>
    <x v="3"/>
    <x v="281"/>
    <x v="1"/>
    <x v="0"/>
    <x v="122"/>
    <x v="1"/>
    <x v="0"/>
    <x v="0"/>
    <x v="0"/>
    <x v="8"/>
    <x v="0"/>
    <x v="1"/>
    <x v="0"/>
    <x v="5"/>
    <x v="8"/>
    <x v="2"/>
    <x v="5"/>
    <x v="1"/>
    <x v="32"/>
    <x v="4"/>
    <x v="326"/>
    <x v="59"/>
    <x v="119"/>
    <x v="119"/>
    <x v="86"/>
    <x v="144"/>
    <x v="0"/>
    <x v="0"/>
    <x v="2"/>
    <x v="0"/>
    <x v="1"/>
    <x v="0"/>
    <x v="1"/>
    <x v="5"/>
    <x v="327"/>
    <x v="1"/>
    <x v="0"/>
    <x v="0"/>
    <x v="0"/>
    <x v="0"/>
    <x v="0"/>
    <x v="0"/>
  </r>
  <r>
    <x v="30"/>
    <x v="19"/>
    <x v="31"/>
    <x v="18"/>
    <x v="3"/>
    <x v="284"/>
    <x v="1"/>
    <x v="0"/>
    <x v="22"/>
    <x v="0"/>
    <x v="8"/>
    <x v="9"/>
    <x v="0"/>
    <x v="2"/>
    <x v="1"/>
    <x v="1"/>
    <x v="0"/>
    <x v="9"/>
    <x v="12"/>
    <x v="0"/>
    <x v="0"/>
    <x v="1"/>
    <x v="54"/>
    <x v="4"/>
    <x v="327"/>
    <x v="59"/>
    <x v="21"/>
    <x v="21"/>
    <x v="86"/>
    <x v="63"/>
    <x v="9"/>
    <x v="0"/>
    <x v="0"/>
    <x v="0"/>
    <x v="1"/>
    <x v="0"/>
    <x v="1"/>
    <x v="0"/>
    <x v="328"/>
    <x v="0"/>
    <x v="0"/>
    <x v="0"/>
    <x v="0"/>
    <x v="0"/>
    <x v="0"/>
    <x v="0"/>
  </r>
  <r>
    <x v="30"/>
    <x v="19"/>
    <x v="31"/>
    <x v="8"/>
    <x v="1"/>
    <x v="283"/>
    <x v="1"/>
    <x v="0"/>
    <x v="122"/>
    <x v="1"/>
    <x v="0"/>
    <x v="0"/>
    <x v="0"/>
    <x v="8"/>
    <x v="0"/>
    <x v="0"/>
    <x v="1"/>
    <x v="9"/>
    <x v="12"/>
    <x v="0"/>
    <x v="0"/>
    <x v="1"/>
    <x v="27"/>
    <x v="2"/>
    <x v="328"/>
    <x v="59"/>
    <x v="119"/>
    <x v="119"/>
    <x v="86"/>
    <x v="144"/>
    <x v="0"/>
    <x v="0"/>
    <x v="0"/>
    <x v="24"/>
    <x v="1"/>
    <x v="0"/>
    <x v="1"/>
    <x v="0"/>
    <x v="329"/>
    <x v="0"/>
    <x v="0"/>
    <x v="0"/>
    <x v="0"/>
    <x v="0"/>
    <x v="0"/>
    <x v="0"/>
  </r>
  <r>
    <x v="30"/>
    <x v="19"/>
    <x v="31"/>
    <x v="8"/>
    <x v="4"/>
    <x v="283"/>
    <x v="1"/>
    <x v="0"/>
    <x v="122"/>
    <x v="1"/>
    <x v="0"/>
    <x v="0"/>
    <x v="0"/>
    <x v="8"/>
    <x v="0"/>
    <x v="0"/>
    <x v="1"/>
    <x v="9"/>
    <x v="12"/>
    <x v="0"/>
    <x v="0"/>
    <x v="1"/>
    <x v="18"/>
    <x v="2"/>
    <x v="328"/>
    <x v="59"/>
    <x v="119"/>
    <x v="119"/>
    <x v="15"/>
    <x v="15"/>
    <x v="0"/>
    <x v="0"/>
    <x v="0"/>
    <x v="24"/>
    <x v="1"/>
    <x v="0"/>
    <x v="1"/>
    <x v="0"/>
    <x v="329"/>
    <x v="0"/>
    <x v="0"/>
    <x v="0"/>
    <x v="0"/>
    <x v="2"/>
    <x v="0"/>
    <x v="0"/>
  </r>
  <r>
    <x v="30"/>
    <x v="12"/>
    <x v="31"/>
    <x v="8"/>
    <x v="3"/>
    <x v="283"/>
    <x v="1"/>
    <x v="0"/>
    <x v="122"/>
    <x v="1"/>
    <x v="0"/>
    <x v="0"/>
    <x v="0"/>
    <x v="8"/>
    <x v="0"/>
    <x v="1"/>
    <x v="0"/>
    <x v="7"/>
    <x v="7"/>
    <x v="2"/>
    <x v="5"/>
    <x v="1"/>
    <x v="32"/>
    <x v="4"/>
    <x v="329"/>
    <x v="59"/>
    <x v="119"/>
    <x v="119"/>
    <x v="86"/>
    <x v="144"/>
    <x v="0"/>
    <x v="0"/>
    <x v="2"/>
    <x v="0"/>
    <x v="1"/>
    <x v="0"/>
    <x v="1"/>
    <x v="5"/>
    <x v="330"/>
    <x v="1"/>
    <x v="0"/>
    <x v="0"/>
    <x v="0"/>
    <x v="0"/>
    <x v="0"/>
    <x v="0"/>
  </r>
  <r>
    <x v="30"/>
    <x v="19"/>
    <x v="31"/>
    <x v="18"/>
    <x v="3"/>
    <x v="286"/>
    <x v="1"/>
    <x v="0"/>
    <x v="22"/>
    <x v="0"/>
    <x v="8"/>
    <x v="9"/>
    <x v="0"/>
    <x v="2"/>
    <x v="1"/>
    <x v="1"/>
    <x v="0"/>
    <x v="9"/>
    <x v="12"/>
    <x v="0"/>
    <x v="0"/>
    <x v="1"/>
    <x v="60"/>
    <x v="4"/>
    <x v="330"/>
    <x v="59"/>
    <x v="21"/>
    <x v="21"/>
    <x v="86"/>
    <x v="63"/>
    <x v="9"/>
    <x v="0"/>
    <x v="0"/>
    <x v="0"/>
    <x v="1"/>
    <x v="0"/>
    <x v="1"/>
    <x v="0"/>
    <x v="331"/>
    <x v="0"/>
    <x v="0"/>
    <x v="0"/>
    <x v="0"/>
    <x v="0"/>
    <x v="0"/>
    <x v="0"/>
  </r>
  <r>
    <x v="30"/>
    <x v="19"/>
    <x v="31"/>
    <x v="8"/>
    <x v="1"/>
    <x v="285"/>
    <x v="1"/>
    <x v="0"/>
    <x v="122"/>
    <x v="1"/>
    <x v="0"/>
    <x v="0"/>
    <x v="0"/>
    <x v="8"/>
    <x v="0"/>
    <x v="0"/>
    <x v="1"/>
    <x v="9"/>
    <x v="12"/>
    <x v="0"/>
    <x v="0"/>
    <x v="1"/>
    <x v="27"/>
    <x v="2"/>
    <x v="331"/>
    <x v="59"/>
    <x v="119"/>
    <x v="119"/>
    <x v="86"/>
    <x v="144"/>
    <x v="0"/>
    <x v="0"/>
    <x v="0"/>
    <x v="24"/>
    <x v="1"/>
    <x v="0"/>
    <x v="1"/>
    <x v="0"/>
    <x v="332"/>
    <x v="0"/>
    <x v="0"/>
    <x v="0"/>
    <x v="0"/>
    <x v="0"/>
    <x v="0"/>
    <x v="0"/>
  </r>
  <r>
    <x v="30"/>
    <x v="19"/>
    <x v="31"/>
    <x v="8"/>
    <x v="4"/>
    <x v="285"/>
    <x v="1"/>
    <x v="0"/>
    <x v="122"/>
    <x v="1"/>
    <x v="0"/>
    <x v="0"/>
    <x v="0"/>
    <x v="8"/>
    <x v="0"/>
    <x v="0"/>
    <x v="1"/>
    <x v="9"/>
    <x v="12"/>
    <x v="0"/>
    <x v="0"/>
    <x v="1"/>
    <x v="18"/>
    <x v="2"/>
    <x v="331"/>
    <x v="59"/>
    <x v="119"/>
    <x v="119"/>
    <x v="15"/>
    <x v="15"/>
    <x v="0"/>
    <x v="0"/>
    <x v="0"/>
    <x v="24"/>
    <x v="1"/>
    <x v="0"/>
    <x v="1"/>
    <x v="0"/>
    <x v="332"/>
    <x v="0"/>
    <x v="0"/>
    <x v="0"/>
    <x v="0"/>
    <x v="2"/>
    <x v="0"/>
    <x v="0"/>
  </r>
  <r>
    <x v="30"/>
    <x v="12"/>
    <x v="31"/>
    <x v="8"/>
    <x v="3"/>
    <x v="285"/>
    <x v="1"/>
    <x v="0"/>
    <x v="122"/>
    <x v="1"/>
    <x v="0"/>
    <x v="0"/>
    <x v="0"/>
    <x v="8"/>
    <x v="0"/>
    <x v="1"/>
    <x v="0"/>
    <x v="4"/>
    <x v="5"/>
    <x v="2"/>
    <x v="5"/>
    <x v="1"/>
    <x v="32"/>
    <x v="4"/>
    <x v="332"/>
    <x v="59"/>
    <x v="119"/>
    <x v="119"/>
    <x v="86"/>
    <x v="144"/>
    <x v="0"/>
    <x v="0"/>
    <x v="2"/>
    <x v="0"/>
    <x v="1"/>
    <x v="0"/>
    <x v="1"/>
    <x v="5"/>
    <x v="333"/>
    <x v="1"/>
    <x v="0"/>
    <x v="0"/>
    <x v="0"/>
    <x v="0"/>
    <x v="0"/>
    <x v="0"/>
  </r>
  <r>
    <x v="30"/>
    <x v="19"/>
    <x v="31"/>
    <x v="18"/>
    <x v="3"/>
    <x v="288"/>
    <x v="1"/>
    <x v="0"/>
    <x v="22"/>
    <x v="0"/>
    <x v="8"/>
    <x v="9"/>
    <x v="0"/>
    <x v="2"/>
    <x v="1"/>
    <x v="1"/>
    <x v="0"/>
    <x v="9"/>
    <x v="12"/>
    <x v="0"/>
    <x v="0"/>
    <x v="1"/>
    <x v="55"/>
    <x v="4"/>
    <x v="334"/>
    <x v="59"/>
    <x v="21"/>
    <x v="21"/>
    <x v="86"/>
    <x v="63"/>
    <x v="9"/>
    <x v="0"/>
    <x v="0"/>
    <x v="0"/>
    <x v="1"/>
    <x v="0"/>
    <x v="1"/>
    <x v="0"/>
    <x v="334"/>
    <x v="0"/>
    <x v="0"/>
    <x v="0"/>
    <x v="0"/>
    <x v="0"/>
    <x v="0"/>
    <x v="0"/>
  </r>
  <r>
    <x v="30"/>
    <x v="19"/>
    <x v="31"/>
    <x v="8"/>
    <x v="1"/>
    <x v="287"/>
    <x v="1"/>
    <x v="0"/>
    <x v="122"/>
    <x v="1"/>
    <x v="0"/>
    <x v="0"/>
    <x v="0"/>
    <x v="8"/>
    <x v="0"/>
    <x v="0"/>
    <x v="1"/>
    <x v="9"/>
    <x v="12"/>
    <x v="0"/>
    <x v="0"/>
    <x v="1"/>
    <x v="27"/>
    <x v="2"/>
    <x v="335"/>
    <x v="59"/>
    <x v="119"/>
    <x v="119"/>
    <x v="86"/>
    <x v="144"/>
    <x v="0"/>
    <x v="0"/>
    <x v="0"/>
    <x v="24"/>
    <x v="1"/>
    <x v="0"/>
    <x v="1"/>
    <x v="0"/>
    <x v="335"/>
    <x v="0"/>
    <x v="0"/>
    <x v="0"/>
    <x v="0"/>
    <x v="0"/>
    <x v="0"/>
    <x v="0"/>
  </r>
  <r>
    <x v="30"/>
    <x v="19"/>
    <x v="31"/>
    <x v="8"/>
    <x v="4"/>
    <x v="287"/>
    <x v="1"/>
    <x v="0"/>
    <x v="122"/>
    <x v="1"/>
    <x v="0"/>
    <x v="0"/>
    <x v="0"/>
    <x v="8"/>
    <x v="0"/>
    <x v="0"/>
    <x v="1"/>
    <x v="9"/>
    <x v="12"/>
    <x v="0"/>
    <x v="0"/>
    <x v="1"/>
    <x v="18"/>
    <x v="2"/>
    <x v="335"/>
    <x v="59"/>
    <x v="119"/>
    <x v="119"/>
    <x v="15"/>
    <x v="15"/>
    <x v="0"/>
    <x v="0"/>
    <x v="0"/>
    <x v="24"/>
    <x v="1"/>
    <x v="0"/>
    <x v="1"/>
    <x v="0"/>
    <x v="335"/>
    <x v="0"/>
    <x v="0"/>
    <x v="0"/>
    <x v="0"/>
    <x v="2"/>
    <x v="0"/>
    <x v="0"/>
  </r>
  <r>
    <x v="30"/>
    <x v="12"/>
    <x v="31"/>
    <x v="8"/>
    <x v="3"/>
    <x v="287"/>
    <x v="1"/>
    <x v="0"/>
    <x v="122"/>
    <x v="1"/>
    <x v="0"/>
    <x v="0"/>
    <x v="0"/>
    <x v="8"/>
    <x v="0"/>
    <x v="1"/>
    <x v="0"/>
    <x v="3"/>
    <x v="3"/>
    <x v="2"/>
    <x v="5"/>
    <x v="1"/>
    <x v="20"/>
    <x v="4"/>
    <x v="336"/>
    <x v="59"/>
    <x v="119"/>
    <x v="119"/>
    <x v="86"/>
    <x v="144"/>
    <x v="0"/>
    <x v="0"/>
    <x v="1"/>
    <x v="0"/>
    <x v="1"/>
    <x v="0"/>
    <x v="1"/>
    <x v="5"/>
    <x v="336"/>
    <x v="1"/>
    <x v="0"/>
    <x v="0"/>
    <x v="0"/>
    <x v="0"/>
    <x v="0"/>
    <x v="0"/>
  </r>
  <r>
    <x v="30"/>
    <x v="19"/>
    <x v="31"/>
    <x v="18"/>
    <x v="3"/>
    <x v="292"/>
    <x v="1"/>
    <x v="0"/>
    <x v="3"/>
    <x v="0"/>
    <x v="8"/>
    <x v="2"/>
    <x v="0"/>
    <x v="2"/>
    <x v="1"/>
    <x v="1"/>
    <x v="0"/>
    <x v="9"/>
    <x v="12"/>
    <x v="0"/>
    <x v="0"/>
    <x v="1"/>
    <x v="51"/>
    <x v="4"/>
    <x v="337"/>
    <x v="9"/>
    <x v="3"/>
    <x v="3"/>
    <x v="50"/>
    <x v="45"/>
    <x v="2"/>
    <x v="0"/>
    <x v="0"/>
    <x v="0"/>
    <x v="1"/>
    <x v="0"/>
    <x v="1"/>
    <x v="0"/>
    <x v="337"/>
    <x v="0"/>
    <x v="0"/>
    <x v="0"/>
    <x v="0"/>
    <x v="0"/>
    <x v="0"/>
    <x v="0"/>
  </r>
  <r>
    <x v="30"/>
    <x v="19"/>
    <x v="31"/>
    <x v="8"/>
    <x v="1"/>
    <x v="291"/>
    <x v="1"/>
    <x v="0"/>
    <x v="89"/>
    <x v="1"/>
    <x v="0"/>
    <x v="0"/>
    <x v="0"/>
    <x v="8"/>
    <x v="0"/>
    <x v="0"/>
    <x v="1"/>
    <x v="9"/>
    <x v="12"/>
    <x v="0"/>
    <x v="0"/>
    <x v="1"/>
    <x v="27"/>
    <x v="2"/>
    <x v="338"/>
    <x v="9"/>
    <x v="73"/>
    <x v="73"/>
    <x v="50"/>
    <x v="112"/>
    <x v="0"/>
    <x v="0"/>
    <x v="0"/>
    <x v="4"/>
    <x v="1"/>
    <x v="0"/>
    <x v="1"/>
    <x v="0"/>
    <x v="338"/>
    <x v="0"/>
    <x v="0"/>
    <x v="0"/>
    <x v="0"/>
    <x v="0"/>
    <x v="0"/>
    <x v="0"/>
  </r>
  <r>
    <x v="30"/>
    <x v="19"/>
    <x v="31"/>
    <x v="8"/>
    <x v="4"/>
    <x v="291"/>
    <x v="1"/>
    <x v="0"/>
    <x v="89"/>
    <x v="1"/>
    <x v="0"/>
    <x v="0"/>
    <x v="0"/>
    <x v="8"/>
    <x v="0"/>
    <x v="0"/>
    <x v="1"/>
    <x v="9"/>
    <x v="12"/>
    <x v="0"/>
    <x v="0"/>
    <x v="1"/>
    <x v="18"/>
    <x v="2"/>
    <x v="338"/>
    <x v="9"/>
    <x v="73"/>
    <x v="73"/>
    <x v="37"/>
    <x v="37"/>
    <x v="0"/>
    <x v="0"/>
    <x v="0"/>
    <x v="4"/>
    <x v="1"/>
    <x v="0"/>
    <x v="1"/>
    <x v="0"/>
    <x v="338"/>
    <x v="0"/>
    <x v="0"/>
    <x v="0"/>
    <x v="0"/>
    <x v="2"/>
    <x v="0"/>
    <x v="0"/>
  </r>
  <r>
    <x v="30"/>
    <x v="12"/>
    <x v="31"/>
    <x v="8"/>
    <x v="3"/>
    <x v="291"/>
    <x v="1"/>
    <x v="0"/>
    <x v="89"/>
    <x v="1"/>
    <x v="0"/>
    <x v="0"/>
    <x v="0"/>
    <x v="8"/>
    <x v="0"/>
    <x v="1"/>
    <x v="0"/>
    <x v="5"/>
    <x v="8"/>
    <x v="2"/>
    <x v="5"/>
    <x v="1"/>
    <x v="32"/>
    <x v="4"/>
    <x v="339"/>
    <x v="9"/>
    <x v="73"/>
    <x v="73"/>
    <x v="50"/>
    <x v="112"/>
    <x v="0"/>
    <x v="0"/>
    <x v="2"/>
    <x v="0"/>
    <x v="1"/>
    <x v="0"/>
    <x v="1"/>
    <x v="5"/>
    <x v="339"/>
    <x v="1"/>
    <x v="0"/>
    <x v="0"/>
    <x v="0"/>
    <x v="0"/>
    <x v="0"/>
    <x v="0"/>
  </r>
  <r>
    <x v="31"/>
    <x v="19"/>
    <x v="32"/>
    <x v="5"/>
    <x v="3"/>
    <x v="198"/>
    <x v="1"/>
    <x v="1"/>
    <x v="75"/>
    <x v="1"/>
    <x v="11"/>
    <x v="78"/>
    <x v="0"/>
    <x v="2"/>
    <x v="1"/>
    <x v="1"/>
    <x v="0"/>
    <x v="9"/>
    <x v="12"/>
    <x v="0"/>
    <x v="0"/>
    <x v="1"/>
    <x v="67"/>
    <x v="4"/>
    <x v="341"/>
    <x v="7"/>
    <x v="60"/>
    <x v="60"/>
    <x v="48"/>
    <x v="99"/>
    <x v="78"/>
    <x v="0"/>
    <x v="0"/>
    <x v="0"/>
    <x v="1"/>
    <x v="0"/>
    <x v="1"/>
    <x v="0"/>
    <x v="340"/>
    <x v="0"/>
    <x v="0"/>
    <x v="0"/>
    <x v="0"/>
    <x v="0"/>
    <x v="0"/>
    <x v="0"/>
  </r>
  <r>
    <x v="31"/>
    <x v="19"/>
    <x v="32"/>
    <x v="5"/>
    <x v="3"/>
    <x v="200"/>
    <x v="1"/>
    <x v="1"/>
    <x v="76"/>
    <x v="0"/>
    <x v="11"/>
    <x v="79"/>
    <x v="0"/>
    <x v="2"/>
    <x v="1"/>
    <x v="1"/>
    <x v="0"/>
    <x v="9"/>
    <x v="12"/>
    <x v="0"/>
    <x v="0"/>
    <x v="1"/>
    <x v="68"/>
    <x v="4"/>
    <x v="342"/>
    <x v="112"/>
    <x v="61"/>
    <x v="61"/>
    <x v="136"/>
    <x v="100"/>
    <x v="79"/>
    <x v="0"/>
    <x v="0"/>
    <x v="0"/>
    <x v="1"/>
    <x v="0"/>
    <x v="1"/>
    <x v="0"/>
    <x v="341"/>
    <x v="0"/>
    <x v="0"/>
    <x v="0"/>
    <x v="0"/>
    <x v="0"/>
    <x v="0"/>
    <x v="0"/>
  </r>
  <r>
    <x v="31"/>
    <x v="19"/>
    <x v="32"/>
    <x v="3"/>
    <x v="3"/>
    <x v="293"/>
    <x v="0"/>
    <x v="1"/>
    <x v="116"/>
    <x v="1"/>
    <x v="3"/>
    <x v="24"/>
    <x v="0"/>
    <x v="3"/>
    <x v="1"/>
    <x v="1"/>
    <x v="0"/>
    <x v="9"/>
    <x v="12"/>
    <x v="0"/>
    <x v="0"/>
    <x v="1"/>
    <x v="82"/>
    <x v="4"/>
    <x v="343"/>
    <x v="50"/>
    <x v="110"/>
    <x v="110"/>
    <x v="41"/>
    <x v="41"/>
    <x v="24"/>
    <x v="0"/>
    <x v="0"/>
    <x v="0"/>
    <x v="1"/>
    <x v="0"/>
    <x v="1"/>
    <x v="0"/>
    <x v="342"/>
    <x v="0"/>
    <x v="0"/>
    <x v="0"/>
    <x v="0"/>
    <x v="0"/>
    <x v="0"/>
    <x v="0"/>
  </r>
  <r>
    <x v="31"/>
    <x v="19"/>
    <x v="32"/>
    <x v="8"/>
    <x v="1"/>
    <x v="293"/>
    <x v="1"/>
    <x v="1"/>
    <x v="116"/>
    <x v="1"/>
    <x v="0"/>
    <x v="0"/>
    <x v="0"/>
    <x v="7"/>
    <x v="0"/>
    <x v="0"/>
    <x v="1"/>
    <x v="9"/>
    <x v="12"/>
    <x v="0"/>
    <x v="0"/>
    <x v="1"/>
    <x v="27"/>
    <x v="2"/>
    <x v="344"/>
    <x v="50"/>
    <x v="110"/>
    <x v="110"/>
    <x v="79"/>
    <x v="137"/>
    <x v="0"/>
    <x v="0"/>
    <x v="0"/>
    <x v="20"/>
    <x v="1"/>
    <x v="0"/>
    <x v="1"/>
    <x v="0"/>
    <x v="343"/>
    <x v="0"/>
    <x v="0"/>
    <x v="0"/>
    <x v="0"/>
    <x v="0"/>
    <x v="0"/>
    <x v="0"/>
  </r>
  <r>
    <x v="31"/>
    <x v="19"/>
    <x v="32"/>
    <x v="8"/>
    <x v="4"/>
    <x v="293"/>
    <x v="1"/>
    <x v="1"/>
    <x v="116"/>
    <x v="1"/>
    <x v="0"/>
    <x v="0"/>
    <x v="0"/>
    <x v="7"/>
    <x v="0"/>
    <x v="0"/>
    <x v="1"/>
    <x v="9"/>
    <x v="12"/>
    <x v="0"/>
    <x v="0"/>
    <x v="1"/>
    <x v="18"/>
    <x v="2"/>
    <x v="344"/>
    <x v="50"/>
    <x v="110"/>
    <x v="110"/>
    <x v="19"/>
    <x v="19"/>
    <x v="0"/>
    <x v="0"/>
    <x v="0"/>
    <x v="20"/>
    <x v="1"/>
    <x v="0"/>
    <x v="1"/>
    <x v="0"/>
    <x v="343"/>
    <x v="0"/>
    <x v="0"/>
    <x v="0"/>
    <x v="0"/>
    <x v="2"/>
    <x v="0"/>
    <x v="0"/>
  </r>
  <r>
    <x v="31"/>
    <x v="17"/>
    <x v="32"/>
    <x v="8"/>
    <x v="3"/>
    <x v="293"/>
    <x v="1"/>
    <x v="1"/>
    <x v="116"/>
    <x v="1"/>
    <x v="0"/>
    <x v="0"/>
    <x v="0"/>
    <x v="7"/>
    <x v="0"/>
    <x v="1"/>
    <x v="0"/>
    <x v="4"/>
    <x v="5"/>
    <x v="15"/>
    <x v="20"/>
    <x v="1"/>
    <x v="32"/>
    <x v="4"/>
    <x v="345"/>
    <x v="50"/>
    <x v="110"/>
    <x v="110"/>
    <x v="79"/>
    <x v="137"/>
    <x v="0"/>
    <x v="0"/>
    <x v="2"/>
    <x v="0"/>
    <x v="1"/>
    <x v="0"/>
    <x v="1"/>
    <x v="20"/>
    <x v="344"/>
    <x v="1"/>
    <x v="0"/>
    <x v="0"/>
    <x v="0"/>
    <x v="0"/>
    <x v="0"/>
    <x v="0"/>
  </r>
  <r>
    <x v="31"/>
    <x v="19"/>
    <x v="32"/>
    <x v="3"/>
    <x v="3"/>
    <x v="294"/>
    <x v="0"/>
    <x v="1"/>
    <x v="120"/>
    <x v="1"/>
    <x v="3"/>
    <x v="26"/>
    <x v="0"/>
    <x v="3"/>
    <x v="1"/>
    <x v="1"/>
    <x v="0"/>
    <x v="9"/>
    <x v="12"/>
    <x v="0"/>
    <x v="0"/>
    <x v="1"/>
    <x v="69"/>
    <x v="4"/>
    <x v="347"/>
    <x v="55"/>
    <x v="115"/>
    <x v="115"/>
    <x v="41"/>
    <x v="41"/>
    <x v="26"/>
    <x v="0"/>
    <x v="0"/>
    <x v="0"/>
    <x v="1"/>
    <x v="0"/>
    <x v="1"/>
    <x v="0"/>
    <x v="345"/>
    <x v="0"/>
    <x v="0"/>
    <x v="0"/>
    <x v="0"/>
    <x v="0"/>
    <x v="0"/>
    <x v="0"/>
  </r>
  <r>
    <x v="31"/>
    <x v="19"/>
    <x v="32"/>
    <x v="8"/>
    <x v="1"/>
    <x v="294"/>
    <x v="1"/>
    <x v="1"/>
    <x v="120"/>
    <x v="1"/>
    <x v="0"/>
    <x v="0"/>
    <x v="0"/>
    <x v="7"/>
    <x v="0"/>
    <x v="0"/>
    <x v="1"/>
    <x v="9"/>
    <x v="12"/>
    <x v="0"/>
    <x v="0"/>
    <x v="1"/>
    <x v="27"/>
    <x v="2"/>
    <x v="348"/>
    <x v="55"/>
    <x v="115"/>
    <x v="115"/>
    <x v="83"/>
    <x v="141"/>
    <x v="0"/>
    <x v="0"/>
    <x v="0"/>
    <x v="23"/>
    <x v="1"/>
    <x v="0"/>
    <x v="1"/>
    <x v="0"/>
    <x v="346"/>
    <x v="0"/>
    <x v="0"/>
    <x v="0"/>
    <x v="0"/>
    <x v="0"/>
    <x v="0"/>
    <x v="0"/>
  </r>
  <r>
    <x v="31"/>
    <x v="19"/>
    <x v="32"/>
    <x v="8"/>
    <x v="4"/>
    <x v="294"/>
    <x v="1"/>
    <x v="1"/>
    <x v="120"/>
    <x v="1"/>
    <x v="0"/>
    <x v="0"/>
    <x v="0"/>
    <x v="7"/>
    <x v="0"/>
    <x v="0"/>
    <x v="1"/>
    <x v="9"/>
    <x v="12"/>
    <x v="0"/>
    <x v="0"/>
    <x v="1"/>
    <x v="18"/>
    <x v="2"/>
    <x v="348"/>
    <x v="55"/>
    <x v="115"/>
    <x v="115"/>
    <x v="16"/>
    <x v="16"/>
    <x v="0"/>
    <x v="0"/>
    <x v="0"/>
    <x v="23"/>
    <x v="1"/>
    <x v="0"/>
    <x v="1"/>
    <x v="0"/>
    <x v="346"/>
    <x v="0"/>
    <x v="0"/>
    <x v="0"/>
    <x v="0"/>
    <x v="2"/>
    <x v="0"/>
    <x v="0"/>
  </r>
  <r>
    <x v="31"/>
    <x v="17"/>
    <x v="32"/>
    <x v="8"/>
    <x v="3"/>
    <x v="294"/>
    <x v="1"/>
    <x v="1"/>
    <x v="120"/>
    <x v="1"/>
    <x v="0"/>
    <x v="0"/>
    <x v="0"/>
    <x v="7"/>
    <x v="0"/>
    <x v="1"/>
    <x v="0"/>
    <x v="7"/>
    <x v="7"/>
    <x v="15"/>
    <x v="20"/>
    <x v="1"/>
    <x v="32"/>
    <x v="4"/>
    <x v="349"/>
    <x v="55"/>
    <x v="115"/>
    <x v="115"/>
    <x v="83"/>
    <x v="141"/>
    <x v="0"/>
    <x v="0"/>
    <x v="2"/>
    <x v="0"/>
    <x v="1"/>
    <x v="0"/>
    <x v="1"/>
    <x v="20"/>
    <x v="347"/>
    <x v="1"/>
    <x v="0"/>
    <x v="0"/>
    <x v="0"/>
    <x v="0"/>
    <x v="0"/>
    <x v="0"/>
  </r>
  <r>
    <x v="31"/>
    <x v="19"/>
    <x v="32"/>
    <x v="3"/>
    <x v="3"/>
    <x v="295"/>
    <x v="0"/>
    <x v="1"/>
    <x v="117"/>
    <x v="1"/>
    <x v="3"/>
    <x v="25"/>
    <x v="0"/>
    <x v="3"/>
    <x v="1"/>
    <x v="1"/>
    <x v="0"/>
    <x v="9"/>
    <x v="12"/>
    <x v="0"/>
    <x v="0"/>
    <x v="1"/>
    <x v="64"/>
    <x v="4"/>
    <x v="350"/>
    <x v="52"/>
    <x v="112"/>
    <x v="112"/>
    <x v="41"/>
    <x v="41"/>
    <x v="25"/>
    <x v="0"/>
    <x v="0"/>
    <x v="0"/>
    <x v="1"/>
    <x v="0"/>
    <x v="1"/>
    <x v="0"/>
    <x v="348"/>
    <x v="0"/>
    <x v="0"/>
    <x v="0"/>
    <x v="0"/>
    <x v="0"/>
    <x v="0"/>
    <x v="0"/>
  </r>
  <r>
    <x v="31"/>
    <x v="19"/>
    <x v="32"/>
    <x v="8"/>
    <x v="1"/>
    <x v="295"/>
    <x v="1"/>
    <x v="1"/>
    <x v="117"/>
    <x v="1"/>
    <x v="0"/>
    <x v="0"/>
    <x v="0"/>
    <x v="7"/>
    <x v="0"/>
    <x v="0"/>
    <x v="1"/>
    <x v="9"/>
    <x v="12"/>
    <x v="0"/>
    <x v="0"/>
    <x v="1"/>
    <x v="27"/>
    <x v="2"/>
    <x v="351"/>
    <x v="52"/>
    <x v="112"/>
    <x v="112"/>
    <x v="81"/>
    <x v="139"/>
    <x v="0"/>
    <x v="0"/>
    <x v="0"/>
    <x v="21"/>
    <x v="1"/>
    <x v="0"/>
    <x v="1"/>
    <x v="0"/>
    <x v="349"/>
    <x v="0"/>
    <x v="0"/>
    <x v="0"/>
    <x v="0"/>
    <x v="0"/>
    <x v="0"/>
    <x v="0"/>
  </r>
  <r>
    <x v="31"/>
    <x v="19"/>
    <x v="32"/>
    <x v="8"/>
    <x v="4"/>
    <x v="295"/>
    <x v="1"/>
    <x v="1"/>
    <x v="117"/>
    <x v="1"/>
    <x v="0"/>
    <x v="0"/>
    <x v="0"/>
    <x v="7"/>
    <x v="0"/>
    <x v="0"/>
    <x v="1"/>
    <x v="9"/>
    <x v="12"/>
    <x v="0"/>
    <x v="0"/>
    <x v="1"/>
    <x v="18"/>
    <x v="2"/>
    <x v="352"/>
    <x v="52"/>
    <x v="112"/>
    <x v="112"/>
    <x v="18"/>
    <x v="18"/>
    <x v="0"/>
    <x v="0"/>
    <x v="0"/>
    <x v="21"/>
    <x v="1"/>
    <x v="0"/>
    <x v="1"/>
    <x v="0"/>
    <x v="349"/>
    <x v="0"/>
    <x v="0"/>
    <x v="0"/>
    <x v="0"/>
    <x v="2"/>
    <x v="0"/>
    <x v="0"/>
  </r>
  <r>
    <x v="31"/>
    <x v="17"/>
    <x v="32"/>
    <x v="8"/>
    <x v="3"/>
    <x v="295"/>
    <x v="1"/>
    <x v="1"/>
    <x v="117"/>
    <x v="1"/>
    <x v="0"/>
    <x v="0"/>
    <x v="0"/>
    <x v="7"/>
    <x v="0"/>
    <x v="1"/>
    <x v="0"/>
    <x v="3"/>
    <x v="3"/>
    <x v="15"/>
    <x v="20"/>
    <x v="1"/>
    <x v="20"/>
    <x v="4"/>
    <x v="353"/>
    <x v="52"/>
    <x v="112"/>
    <x v="112"/>
    <x v="81"/>
    <x v="139"/>
    <x v="0"/>
    <x v="0"/>
    <x v="1"/>
    <x v="0"/>
    <x v="1"/>
    <x v="0"/>
    <x v="1"/>
    <x v="20"/>
    <x v="350"/>
    <x v="1"/>
    <x v="0"/>
    <x v="0"/>
    <x v="0"/>
    <x v="0"/>
    <x v="0"/>
    <x v="0"/>
  </r>
  <r>
    <x v="31"/>
    <x v="19"/>
    <x v="32"/>
    <x v="3"/>
    <x v="3"/>
    <x v="296"/>
    <x v="0"/>
    <x v="1"/>
    <x v="117"/>
    <x v="1"/>
    <x v="3"/>
    <x v="25"/>
    <x v="0"/>
    <x v="3"/>
    <x v="1"/>
    <x v="1"/>
    <x v="0"/>
    <x v="9"/>
    <x v="12"/>
    <x v="0"/>
    <x v="0"/>
    <x v="1"/>
    <x v="72"/>
    <x v="4"/>
    <x v="354"/>
    <x v="52"/>
    <x v="112"/>
    <x v="112"/>
    <x v="41"/>
    <x v="41"/>
    <x v="25"/>
    <x v="0"/>
    <x v="0"/>
    <x v="0"/>
    <x v="1"/>
    <x v="0"/>
    <x v="1"/>
    <x v="0"/>
    <x v="351"/>
    <x v="0"/>
    <x v="0"/>
    <x v="0"/>
    <x v="0"/>
    <x v="0"/>
    <x v="0"/>
    <x v="0"/>
  </r>
  <r>
    <x v="31"/>
    <x v="19"/>
    <x v="32"/>
    <x v="8"/>
    <x v="1"/>
    <x v="296"/>
    <x v="1"/>
    <x v="1"/>
    <x v="117"/>
    <x v="1"/>
    <x v="0"/>
    <x v="0"/>
    <x v="0"/>
    <x v="7"/>
    <x v="0"/>
    <x v="0"/>
    <x v="1"/>
    <x v="9"/>
    <x v="12"/>
    <x v="0"/>
    <x v="0"/>
    <x v="1"/>
    <x v="27"/>
    <x v="2"/>
    <x v="355"/>
    <x v="52"/>
    <x v="112"/>
    <x v="112"/>
    <x v="81"/>
    <x v="139"/>
    <x v="0"/>
    <x v="0"/>
    <x v="0"/>
    <x v="21"/>
    <x v="1"/>
    <x v="0"/>
    <x v="1"/>
    <x v="0"/>
    <x v="352"/>
    <x v="0"/>
    <x v="0"/>
    <x v="0"/>
    <x v="0"/>
    <x v="0"/>
    <x v="0"/>
    <x v="0"/>
  </r>
  <r>
    <x v="31"/>
    <x v="19"/>
    <x v="32"/>
    <x v="8"/>
    <x v="4"/>
    <x v="296"/>
    <x v="1"/>
    <x v="1"/>
    <x v="117"/>
    <x v="1"/>
    <x v="0"/>
    <x v="0"/>
    <x v="0"/>
    <x v="7"/>
    <x v="0"/>
    <x v="0"/>
    <x v="1"/>
    <x v="9"/>
    <x v="12"/>
    <x v="0"/>
    <x v="0"/>
    <x v="1"/>
    <x v="18"/>
    <x v="2"/>
    <x v="355"/>
    <x v="52"/>
    <x v="112"/>
    <x v="112"/>
    <x v="18"/>
    <x v="18"/>
    <x v="0"/>
    <x v="0"/>
    <x v="0"/>
    <x v="21"/>
    <x v="1"/>
    <x v="0"/>
    <x v="1"/>
    <x v="0"/>
    <x v="352"/>
    <x v="0"/>
    <x v="0"/>
    <x v="0"/>
    <x v="0"/>
    <x v="2"/>
    <x v="0"/>
    <x v="0"/>
  </r>
  <r>
    <x v="31"/>
    <x v="17"/>
    <x v="32"/>
    <x v="8"/>
    <x v="3"/>
    <x v="296"/>
    <x v="1"/>
    <x v="1"/>
    <x v="117"/>
    <x v="1"/>
    <x v="0"/>
    <x v="0"/>
    <x v="0"/>
    <x v="7"/>
    <x v="0"/>
    <x v="1"/>
    <x v="0"/>
    <x v="6"/>
    <x v="8"/>
    <x v="15"/>
    <x v="20"/>
    <x v="1"/>
    <x v="23"/>
    <x v="4"/>
    <x v="356"/>
    <x v="52"/>
    <x v="112"/>
    <x v="112"/>
    <x v="81"/>
    <x v="139"/>
    <x v="0"/>
    <x v="0"/>
    <x v="1"/>
    <x v="0"/>
    <x v="1"/>
    <x v="0"/>
    <x v="1"/>
    <x v="20"/>
    <x v="353"/>
    <x v="1"/>
    <x v="0"/>
    <x v="0"/>
    <x v="0"/>
    <x v="0"/>
    <x v="0"/>
    <x v="0"/>
  </r>
  <r>
    <x v="31"/>
    <x v="19"/>
    <x v="32"/>
    <x v="3"/>
    <x v="3"/>
    <x v="297"/>
    <x v="0"/>
    <x v="1"/>
    <x v="127"/>
    <x v="1"/>
    <x v="3"/>
    <x v="33"/>
    <x v="0"/>
    <x v="3"/>
    <x v="1"/>
    <x v="1"/>
    <x v="0"/>
    <x v="9"/>
    <x v="12"/>
    <x v="0"/>
    <x v="0"/>
    <x v="1"/>
    <x v="59"/>
    <x v="4"/>
    <x v="357"/>
    <x v="65"/>
    <x v="125"/>
    <x v="125"/>
    <x v="41"/>
    <x v="41"/>
    <x v="33"/>
    <x v="0"/>
    <x v="0"/>
    <x v="0"/>
    <x v="1"/>
    <x v="0"/>
    <x v="1"/>
    <x v="0"/>
    <x v="354"/>
    <x v="0"/>
    <x v="0"/>
    <x v="0"/>
    <x v="0"/>
    <x v="0"/>
    <x v="0"/>
    <x v="0"/>
  </r>
  <r>
    <x v="31"/>
    <x v="19"/>
    <x v="32"/>
    <x v="8"/>
    <x v="1"/>
    <x v="297"/>
    <x v="1"/>
    <x v="1"/>
    <x v="127"/>
    <x v="1"/>
    <x v="0"/>
    <x v="0"/>
    <x v="0"/>
    <x v="7"/>
    <x v="0"/>
    <x v="0"/>
    <x v="1"/>
    <x v="9"/>
    <x v="12"/>
    <x v="0"/>
    <x v="0"/>
    <x v="1"/>
    <x v="27"/>
    <x v="2"/>
    <x v="358"/>
    <x v="65"/>
    <x v="125"/>
    <x v="125"/>
    <x v="92"/>
    <x v="150"/>
    <x v="0"/>
    <x v="0"/>
    <x v="0"/>
    <x v="29"/>
    <x v="1"/>
    <x v="0"/>
    <x v="1"/>
    <x v="0"/>
    <x v="355"/>
    <x v="0"/>
    <x v="0"/>
    <x v="0"/>
    <x v="0"/>
    <x v="0"/>
    <x v="0"/>
    <x v="0"/>
  </r>
  <r>
    <x v="31"/>
    <x v="19"/>
    <x v="32"/>
    <x v="8"/>
    <x v="4"/>
    <x v="297"/>
    <x v="1"/>
    <x v="1"/>
    <x v="127"/>
    <x v="1"/>
    <x v="0"/>
    <x v="0"/>
    <x v="0"/>
    <x v="7"/>
    <x v="0"/>
    <x v="0"/>
    <x v="1"/>
    <x v="9"/>
    <x v="12"/>
    <x v="0"/>
    <x v="0"/>
    <x v="1"/>
    <x v="18"/>
    <x v="2"/>
    <x v="358"/>
    <x v="65"/>
    <x v="125"/>
    <x v="125"/>
    <x v="11"/>
    <x v="11"/>
    <x v="0"/>
    <x v="0"/>
    <x v="0"/>
    <x v="29"/>
    <x v="1"/>
    <x v="0"/>
    <x v="1"/>
    <x v="0"/>
    <x v="355"/>
    <x v="0"/>
    <x v="0"/>
    <x v="0"/>
    <x v="0"/>
    <x v="2"/>
    <x v="0"/>
    <x v="0"/>
  </r>
  <r>
    <x v="31"/>
    <x v="17"/>
    <x v="32"/>
    <x v="8"/>
    <x v="3"/>
    <x v="297"/>
    <x v="1"/>
    <x v="1"/>
    <x v="127"/>
    <x v="1"/>
    <x v="0"/>
    <x v="0"/>
    <x v="0"/>
    <x v="7"/>
    <x v="0"/>
    <x v="1"/>
    <x v="0"/>
    <x v="4"/>
    <x v="5"/>
    <x v="15"/>
    <x v="20"/>
    <x v="1"/>
    <x v="32"/>
    <x v="4"/>
    <x v="359"/>
    <x v="65"/>
    <x v="125"/>
    <x v="125"/>
    <x v="92"/>
    <x v="150"/>
    <x v="0"/>
    <x v="0"/>
    <x v="2"/>
    <x v="0"/>
    <x v="1"/>
    <x v="0"/>
    <x v="1"/>
    <x v="20"/>
    <x v="356"/>
    <x v="1"/>
    <x v="0"/>
    <x v="0"/>
    <x v="0"/>
    <x v="0"/>
    <x v="0"/>
    <x v="0"/>
  </r>
  <r>
    <x v="31"/>
    <x v="19"/>
    <x v="32"/>
    <x v="3"/>
    <x v="3"/>
    <x v="298"/>
    <x v="0"/>
    <x v="1"/>
    <x v="122"/>
    <x v="1"/>
    <x v="3"/>
    <x v="31"/>
    <x v="0"/>
    <x v="3"/>
    <x v="1"/>
    <x v="1"/>
    <x v="0"/>
    <x v="9"/>
    <x v="12"/>
    <x v="0"/>
    <x v="0"/>
    <x v="1"/>
    <x v="80"/>
    <x v="4"/>
    <x v="360"/>
    <x v="59"/>
    <x v="119"/>
    <x v="119"/>
    <x v="41"/>
    <x v="41"/>
    <x v="31"/>
    <x v="0"/>
    <x v="0"/>
    <x v="0"/>
    <x v="1"/>
    <x v="0"/>
    <x v="1"/>
    <x v="0"/>
    <x v="357"/>
    <x v="0"/>
    <x v="0"/>
    <x v="0"/>
    <x v="0"/>
    <x v="0"/>
    <x v="0"/>
    <x v="0"/>
  </r>
  <r>
    <x v="31"/>
    <x v="19"/>
    <x v="32"/>
    <x v="8"/>
    <x v="1"/>
    <x v="298"/>
    <x v="1"/>
    <x v="1"/>
    <x v="122"/>
    <x v="1"/>
    <x v="0"/>
    <x v="0"/>
    <x v="0"/>
    <x v="7"/>
    <x v="0"/>
    <x v="0"/>
    <x v="1"/>
    <x v="9"/>
    <x v="12"/>
    <x v="0"/>
    <x v="0"/>
    <x v="1"/>
    <x v="27"/>
    <x v="2"/>
    <x v="361"/>
    <x v="59"/>
    <x v="119"/>
    <x v="119"/>
    <x v="86"/>
    <x v="144"/>
    <x v="0"/>
    <x v="0"/>
    <x v="0"/>
    <x v="24"/>
    <x v="1"/>
    <x v="0"/>
    <x v="1"/>
    <x v="0"/>
    <x v="358"/>
    <x v="0"/>
    <x v="0"/>
    <x v="0"/>
    <x v="0"/>
    <x v="0"/>
    <x v="0"/>
    <x v="0"/>
  </r>
  <r>
    <x v="31"/>
    <x v="19"/>
    <x v="32"/>
    <x v="8"/>
    <x v="4"/>
    <x v="298"/>
    <x v="1"/>
    <x v="1"/>
    <x v="122"/>
    <x v="1"/>
    <x v="0"/>
    <x v="0"/>
    <x v="0"/>
    <x v="7"/>
    <x v="0"/>
    <x v="0"/>
    <x v="1"/>
    <x v="9"/>
    <x v="12"/>
    <x v="0"/>
    <x v="0"/>
    <x v="1"/>
    <x v="18"/>
    <x v="2"/>
    <x v="362"/>
    <x v="59"/>
    <x v="119"/>
    <x v="119"/>
    <x v="15"/>
    <x v="15"/>
    <x v="0"/>
    <x v="0"/>
    <x v="0"/>
    <x v="24"/>
    <x v="1"/>
    <x v="0"/>
    <x v="1"/>
    <x v="0"/>
    <x v="358"/>
    <x v="0"/>
    <x v="0"/>
    <x v="0"/>
    <x v="0"/>
    <x v="2"/>
    <x v="0"/>
    <x v="0"/>
  </r>
  <r>
    <x v="31"/>
    <x v="17"/>
    <x v="32"/>
    <x v="8"/>
    <x v="3"/>
    <x v="298"/>
    <x v="1"/>
    <x v="1"/>
    <x v="122"/>
    <x v="1"/>
    <x v="0"/>
    <x v="0"/>
    <x v="0"/>
    <x v="7"/>
    <x v="0"/>
    <x v="1"/>
    <x v="0"/>
    <x v="7"/>
    <x v="7"/>
    <x v="15"/>
    <x v="20"/>
    <x v="1"/>
    <x v="32"/>
    <x v="4"/>
    <x v="363"/>
    <x v="59"/>
    <x v="119"/>
    <x v="119"/>
    <x v="86"/>
    <x v="144"/>
    <x v="0"/>
    <x v="0"/>
    <x v="2"/>
    <x v="0"/>
    <x v="1"/>
    <x v="0"/>
    <x v="1"/>
    <x v="20"/>
    <x v="359"/>
    <x v="1"/>
    <x v="0"/>
    <x v="0"/>
    <x v="0"/>
    <x v="0"/>
    <x v="0"/>
    <x v="0"/>
  </r>
  <r>
    <x v="32"/>
    <x v="19"/>
    <x v="33"/>
    <x v="5"/>
    <x v="3"/>
    <x v="205"/>
    <x v="1"/>
    <x v="1"/>
    <x v="52"/>
    <x v="0"/>
    <x v="11"/>
    <x v="45"/>
    <x v="0"/>
    <x v="2"/>
    <x v="1"/>
    <x v="1"/>
    <x v="0"/>
    <x v="9"/>
    <x v="12"/>
    <x v="0"/>
    <x v="0"/>
    <x v="1"/>
    <x v="71"/>
    <x v="4"/>
    <x v="364"/>
    <x v="91"/>
    <x v="39"/>
    <x v="39"/>
    <x v="115"/>
    <x v="78"/>
    <x v="45"/>
    <x v="0"/>
    <x v="0"/>
    <x v="0"/>
    <x v="1"/>
    <x v="0"/>
    <x v="1"/>
    <x v="0"/>
    <x v="360"/>
    <x v="0"/>
    <x v="0"/>
    <x v="0"/>
    <x v="0"/>
    <x v="0"/>
    <x v="0"/>
    <x v="0"/>
  </r>
  <r>
    <x v="32"/>
    <x v="19"/>
    <x v="33"/>
    <x v="5"/>
    <x v="3"/>
    <x v="207"/>
    <x v="1"/>
    <x v="1"/>
    <x v="47"/>
    <x v="0"/>
    <x v="11"/>
    <x v="43"/>
    <x v="0"/>
    <x v="2"/>
    <x v="1"/>
    <x v="1"/>
    <x v="0"/>
    <x v="9"/>
    <x v="12"/>
    <x v="0"/>
    <x v="0"/>
    <x v="1"/>
    <x v="56"/>
    <x v="4"/>
    <x v="365"/>
    <x v="89"/>
    <x v="37"/>
    <x v="37"/>
    <x v="113"/>
    <x v="76"/>
    <x v="43"/>
    <x v="0"/>
    <x v="0"/>
    <x v="0"/>
    <x v="1"/>
    <x v="0"/>
    <x v="1"/>
    <x v="0"/>
    <x v="361"/>
    <x v="0"/>
    <x v="0"/>
    <x v="0"/>
    <x v="0"/>
    <x v="0"/>
    <x v="0"/>
    <x v="0"/>
  </r>
  <r>
    <x v="32"/>
    <x v="19"/>
    <x v="33"/>
    <x v="3"/>
    <x v="3"/>
    <x v="299"/>
    <x v="0"/>
    <x v="1"/>
    <x v="122"/>
    <x v="1"/>
    <x v="3"/>
    <x v="31"/>
    <x v="0"/>
    <x v="3"/>
    <x v="1"/>
    <x v="1"/>
    <x v="0"/>
    <x v="9"/>
    <x v="12"/>
    <x v="0"/>
    <x v="0"/>
    <x v="1"/>
    <x v="61"/>
    <x v="4"/>
    <x v="366"/>
    <x v="59"/>
    <x v="119"/>
    <x v="119"/>
    <x v="41"/>
    <x v="41"/>
    <x v="31"/>
    <x v="0"/>
    <x v="0"/>
    <x v="0"/>
    <x v="1"/>
    <x v="0"/>
    <x v="1"/>
    <x v="0"/>
    <x v="362"/>
    <x v="0"/>
    <x v="0"/>
    <x v="0"/>
    <x v="0"/>
    <x v="0"/>
    <x v="0"/>
    <x v="0"/>
  </r>
  <r>
    <x v="32"/>
    <x v="19"/>
    <x v="33"/>
    <x v="8"/>
    <x v="1"/>
    <x v="299"/>
    <x v="1"/>
    <x v="1"/>
    <x v="122"/>
    <x v="1"/>
    <x v="0"/>
    <x v="0"/>
    <x v="0"/>
    <x v="7"/>
    <x v="0"/>
    <x v="0"/>
    <x v="1"/>
    <x v="9"/>
    <x v="12"/>
    <x v="0"/>
    <x v="0"/>
    <x v="1"/>
    <x v="27"/>
    <x v="2"/>
    <x v="367"/>
    <x v="59"/>
    <x v="119"/>
    <x v="119"/>
    <x v="86"/>
    <x v="144"/>
    <x v="0"/>
    <x v="0"/>
    <x v="0"/>
    <x v="24"/>
    <x v="1"/>
    <x v="0"/>
    <x v="1"/>
    <x v="0"/>
    <x v="363"/>
    <x v="0"/>
    <x v="0"/>
    <x v="0"/>
    <x v="0"/>
    <x v="0"/>
    <x v="0"/>
    <x v="0"/>
  </r>
  <r>
    <x v="32"/>
    <x v="19"/>
    <x v="33"/>
    <x v="8"/>
    <x v="4"/>
    <x v="299"/>
    <x v="1"/>
    <x v="1"/>
    <x v="122"/>
    <x v="1"/>
    <x v="0"/>
    <x v="0"/>
    <x v="0"/>
    <x v="7"/>
    <x v="0"/>
    <x v="0"/>
    <x v="1"/>
    <x v="9"/>
    <x v="12"/>
    <x v="0"/>
    <x v="0"/>
    <x v="1"/>
    <x v="18"/>
    <x v="2"/>
    <x v="367"/>
    <x v="59"/>
    <x v="119"/>
    <x v="119"/>
    <x v="15"/>
    <x v="15"/>
    <x v="0"/>
    <x v="0"/>
    <x v="0"/>
    <x v="24"/>
    <x v="1"/>
    <x v="0"/>
    <x v="1"/>
    <x v="0"/>
    <x v="363"/>
    <x v="0"/>
    <x v="0"/>
    <x v="0"/>
    <x v="0"/>
    <x v="2"/>
    <x v="0"/>
    <x v="0"/>
  </r>
  <r>
    <x v="32"/>
    <x v="17"/>
    <x v="33"/>
    <x v="8"/>
    <x v="3"/>
    <x v="299"/>
    <x v="1"/>
    <x v="1"/>
    <x v="122"/>
    <x v="1"/>
    <x v="0"/>
    <x v="0"/>
    <x v="0"/>
    <x v="7"/>
    <x v="0"/>
    <x v="1"/>
    <x v="0"/>
    <x v="3"/>
    <x v="3"/>
    <x v="15"/>
    <x v="20"/>
    <x v="1"/>
    <x v="20"/>
    <x v="4"/>
    <x v="368"/>
    <x v="59"/>
    <x v="119"/>
    <x v="119"/>
    <x v="86"/>
    <x v="144"/>
    <x v="0"/>
    <x v="0"/>
    <x v="1"/>
    <x v="0"/>
    <x v="1"/>
    <x v="0"/>
    <x v="1"/>
    <x v="20"/>
    <x v="364"/>
    <x v="1"/>
    <x v="0"/>
    <x v="0"/>
    <x v="0"/>
    <x v="0"/>
    <x v="0"/>
    <x v="0"/>
  </r>
  <r>
    <x v="32"/>
    <x v="19"/>
    <x v="33"/>
    <x v="3"/>
    <x v="3"/>
    <x v="300"/>
    <x v="0"/>
    <x v="1"/>
    <x v="104"/>
    <x v="1"/>
    <x v="3"/>
    <x v="20"/>
    <x v="0"/>
    <x v="3"/>
    <x v="1"/>
    <x v="1"/>
    <x v="0"/>
    <x v="9"/>
    <x v="12"/>
    <x v="0"/>
    <x v="0"/>
    <x v="1"/>
    <x v="52"/>
    <x v="4"/>
    <x v="369"/>
    <x v="30"/>
    <x v="90"/>
    <x v="90"/>
    <x v="41"/>
    <x v="41"/>
    <x v="20"/>
    <x v="0"/>
    <x v="0"/>
    <x v="0"/>
    <x v="1"/>
    <x v="0"/>
    <x v="1"/>
    <x v="0"/>
    <x v="365"/>
    <x v="0"/>
    <x v="0"/>
    <x v="0"/>
    <x v="0"/>
    <x v="0"/>
    <x v="0"/>
    <x v="0"/>
  </r>
  <r>
    <x v="32"/>
    <x v="19"/>
    <x v="33"/>
    <x v="8"/>
    <x v="1"/>
    <x v="300"/>
    <x v="1"/>
    <x v="1"/>
    <x v="104"/>
    <x v="1"/>
    <x v="0"/>
    <x v="0"/>
    <x v="0"/>
    <x v="7"/>
    <x v="0"/>
    <x v="0"/>
    <x v="1"/>
    <x v="9"/>
    <x v="12"/>
    <x v="0"/>
    <x v="0"/>
    <x v="1"/>
    <x v="27"/>
    <x v="2"/>
    <x v="370"/>
    <x v="30"/>
    <x v="90"/>
    <x v="90"/>
    <x v="64"/>
    <x v="122"/>
    <x v="0"/>
    <x v="0"/>
    <x v="0"/>
    <x v="13"/>
    <x v="1"/>
    <x v="0"/>
    <x v="1"/>
    <x v="0"/>
    <x v="366"/>
    <x v="0"/>
    <x v="0"/>
    <x v="0"/>
    <x v="0"/>
    <x v="0"/>
    <x v="0"/>
    <x v="0"/>
  </r>
  <r>
    <x v="32"/>
    <x v="19"/>
    <x v="33"/>
    <x v="8"/>
    <x v="4"/>
    <x v="300"/>
    <x v="1"/>
    <x v="1"/>
    <x v="104"/>
    <x v="1"/>
    <x v="0"/>
    <x v="0"/>
    <x v="0"/>
    <x v="7"/>
    <x v="0"/>
    <x v="0"/>
    <x v="1"/>
    <x v="9"/>
    <x v="12"/>
    <x v="0"/>
    <x v="0"/>
    <x v="1"/>
    <x v="18"/>
    <x v="2"/>
    <x v="370"/>
    <x v="30"/>
    <x v="90"/>
    <x v="90"/>
    <x v="26"/>
    <x v="26"/>
    <x v="0"/>
    <x v="0"/>
    <x v="0"/>
    <x v="13"/>
    <x v="1"/>
    <x v="0"/>
    <x v="1"/>
    <x v="0"/>
    <x v="366"/>
    <x v="0"/>
    <x v="0"/>
    <x v="0"/>
    <x v="0"/>
    <x v="2"/>
    <x v="0"/>
    <x v="0"/>
  </r>
  <r>
    <x v="32"/>
    <x v="17"/>
    <x v="33"/>
    <x v="8"/>
    <x v="3"/>
    <x v="300"/>
    <x v="1"/>
    <x v="1"/>
    <x v="104"/>
    <x v="1"/>
    <x v="0"/>
    <x v="0"/>
    <x v="0"/>
    <x v="7"/>
    <x v="0"/>
    <x v="1"/>
    <x v="0"/>
    <x v="6"/>
    <x v="8"/>
    <x v="15"/>
    <x v="20"/>
    <x v="1"/>
    <x v="22"/>
    <x v="4"/>
    <x v="371"/>
    <x v="30"/>
    <x v="90"/>
    <x v="90"/>
    <x v="64"/>
    <x v="122"/>
    <x v="0"/>
    <x v="0"/>
    <x v="1"/>
    <x v="0"/>
    <x v="1"/>
    <x v="0"/>
    <x v="1"/>
    <x v="20"/>
    <x v="367"/>
    <x v="1"/>
    <x v="0"/>
    <x v="0"/>
    <x v="0"/>
    <x v="0"/>
    <x v="0"/>
    <x v="0"/>
  </r>
  <r>
    <x v="32"/>
    <x v="19"/>
    <x v="33"/>
    <x v="3"/>
    <x v="3"/>
    <x v="301"/>
    <x v="0"/>
    <x v="1"/>
    <x v="130"/>
    <x v="1"/>
    <x v="3"/>
    <x v="35"/>
    <x v="0"/>
    <x v="3"/>
    <x v="1"/>
    <x v="1"/>
    <x v="0"/>
    <x v="9"/>
    <x v="12"/>
    <x v="0"/>
    <x v="0"/>
    <x v="1"/>
    <x v="84"/>
    <x v="4"/>
    <x v="372"/>
    <x v="70"/>
    <x v="130"/>
    <x v="130"/>
    <x v="41"/>
    <x v="41"/>
    <x v="35"/>
    <x v="0"/>
    <x v="0"/>
    <x v="0"/>
    <x v="1"/>
    <x v="0"/>
    <x v="1"/>
    <x v="0"/>
    <x v="368"/>
    <x v="0"/>
    <x v="0"/>
    <x v="0"/>
    <x v="0"/>
    <x v="0"/>
    <x v="0"/>
    <x v="0"/>
  </r>
  <r>
    <x v="32"/>
    <x v="19"/>
    <x v="33"/>
    <x v="8"/>
    <x v="1"/>
    <x v="301"/>
    <x v="1"/>
    <x v="1"/>
    <x v="130"/>
    <x v="1"/>
    <x v="0"/>
    <x v="0"/>
    <x v="0"/>
    <x v="7"/>
    <x v="0"/>
    <x v="0"/>
    <x v="1"/>
    <x v="9"/>
    <x v="12"/>
    <x v="0"/>
    <x v="0"/>
    <x v="1"/>
    <x v="27"/>
    <x v="2"/>
    <x v="373"/>
    <x v="70"/>
    <x v="130"/>
    <x v="130"/>
    <x v="97"/>
    <x v="155"/>
    <x v="0"/>
    <x v="0"/>
    <x v="0"/>
    <x v="32"/>
    <x v="1"/>
    <x v="0"/>
    <x v="1"/>
    <x v="0"/>
    <x v="369"/>
    <x v="0"/>
    <x v="0"/>
    <x v="0"/>
    <x v="0"/>
    <x v="0"/>
    <x v="0"/>
    <x v="0"/>
  </r>
  <r>
    <x v="32"/>
    <x v="19"/>
    <x v="33"/>
    <x v="8"/>
    <x v="4"/>
    <x v="301"/>
    <x v="1"/>
    <x v="1"/>
    <x v="130"/>
    <x v="1"/>
    <x v="0"/>
    <x v="0"/>
    <x v="0"/>
    <x v="7"/>
    <x v="0"/>
    <x v="0"/>
    <x v="1"/>
    <x v="9"/>
    <x v="12"/>
    <x v="0"/>
    <x v="0"/>
    <x v="1"/>
    <x v="18"/>
    <x v="2"/>
    <x v="373"/>
    <x v="70"/>
    <x v="130"/>
    <x v="130"/>
    <x v="8"/>
    <x v="8"/>
    <x v="0"/>
    <x v="0"/>
    <x v="0"/>
    <x v="32"/>
    <x v="1"/>
    <x v="0"/>
    <x v="1"/>
    <x v="0"/>
    <x v="369"/>
    <x v="0"/>
    <x v="0"/>
    <x v="0"/>
    <x v="0"/>
    <x v="2"/>
    <x v="0"/>
    <x v="0"/>
  </r>
  <r>
    <x v="32"/>
    <x v="3"/>
    <x v="33"/>
    <x v="8"/>
    <x v="3"/>
    <x v="301"/>
    <x v="1"/>
    <x v="1"/>
    <x v="130"/>
    <x v="1"/>
    <x v="0"/>
    <x v="0"/>
    <x v="0"/>
    <x v="7"/>
    <x v="0"/>
    <x v="1"/>
    <x v="0"/>
    <x v="4"/>
    <x v="5"/>
    <x v="13"/>
    <x v="18"/>
    <x v="1"/>
    <x v="32"/>
    <x v="4"/>
    <x v="374"/>
    <x v="70"/>
    <x v="130"/>
    <x v="130"/>
    <x v="97"/>
    <x v="155"/>
    <x v="0"/>
    <x v="0"/>
    <x v="2"/>
    <x v="0"/>
    <x v="1"/>
    <x v="0"/>
    <x v="1"/>
    <x v="18"/>
    <x v="370"/>
    <x v="1"/>
    <x v="0"/>
    <x v="0"/>
    <x v="0"/>
    <x v="0"/>
    <x v="0"/>
    <x v="0"/>
  </r>
  <r>
    <x v="32"/>
    <x v="19"/>
    <x v="33"/>
    <x v="3"/>
    <x v="3"/>
    <x v="304"/>
    <x v="0"/>
    <x v="1"/>
    <x v="127"/>
    <x v="1"/>
    <x v="3"/>
    <x v="33"/>
    <x v="0"/>
    <x v="3"/>
    <x v="1"/>
    <x v="1"/>
    <x v="0"/>
    <x v="9"/>
    <x v="12"/>
    <x v="0"/>
    <x v="0"/>
    <x v="1"/>
    <x v="90"/>
    <x v="4"/>
    <x v="375"/>
    <x v="65"/>
    <x v="125"/>
    <x v="125"/>
    <x v="41"/>
    <x v="41"/>
    <x v="33"/>
    <x v="0"/>
    <x v="0"/>
    <x v="0"/>
    <x v="1"/>
    <x v="0"/>
    <x v="1"/>
    <x v="0"/>
    <x v="371"/>
    <x v="0"/>
    <x v="0"/>
    <x v="0"/>
    <x v="0"/>
    <x v="0"/>
    <x v="0"/>
    <x v="0"/>
  </r>
  <r>
    <x v="32"/>
    <x v="19"/>
    <x v="33"/>
    <x v="8"/>
    <x v="1"/>
    <x v="304"/>
    <x v="1"/>
    <x v="1"/>
    <x v="127"/>
    <x v="1"/>
    <x v="0"/>
    <x v="0"/>
    <x v="0"/>
    <x v="7"/>
    <x v="0"/>
    <x v="0"/>
    <x v="1"/>
    <x v="9"/>
    <x v="12"/>
    <x v="0"/>
    <x v="0"/>
    <x v="1"/>
    <x v="27"/>
    <x v="2"/>
    <x v="376"/>
    <x v="65"/>
    <x v="125"/>
    <x v="125"/>
    <x v="92"/>
    <x v="150"/>
    <x v="0"/>
    <x v="0"/>
    <x v="0"/>
    <x v="29"/>
    <x v="1"/>
    <x v="0"/>
    <x v="1"/>
    <x v="0"/>
    <x v="372"/>
    <x v="0"/>
    <x v="0"/>
    <x v="0"/>
    <x v="0"/>
    <x v="0"/>
    <x v="0"/>
    <x v="0"/>
  </r>
  <r>
    <x v="32"/>
    <x v="19"/>
    <x v="33"/>
    <x v="8"/>
    <x v="4"/>
    <x v="304"/>
    <x v="1"/>
    <x v="1"/>
    <x v="127"/>
    <x v="1"/>
    <x v="0"/>
    <x v="0"/>
    <x v="0"/>
    <x v="7"/>
    <x v="0"/>
    <x v="0"/>
    <x v="1"/>
    <x v="9"/>
    <x v="12"/>
    <x v="0"/>
    <x v="0"/>
    <x v="1"/>
    <x v="18"/>
    <x v="2"/>
    <x v="376"/>
    <x v="65"/>
    <x v="125"/>
    <x v="125"/>
    <x v="11"/>
    <x v="11"/>
    <x v="0"/>
    <x v="0"/>
    <x v="0"/>
    <x v="29"/>
    <x v="1"/>
    <x v="0"/>
    <x v="1"/>
    <x v="0"/>
    <x v="372"/>
    <x v="0"/>
    <x v="0"/>
    <x v="0"/>
    <x v="0"/>
    <x v="2"/>
    <x v="0"/>
    <x v="0"/>
  </r>
  <r>
    <x v="32"/>
    <x v="3"/>
    <x v="33"/>
    <x v="8"/>
    <x v="3"/>
    <x v="304"/>
    <x v="1"/>
    <x v="1"/>
    <x v="127"/>
    <x v="1"/>
    <x v="0"/>
    <x v="0"/>
    <x v="0"/>
    <x v="7"/>
    <x v="0"/>
    <x v="1"/>
    <x v="0"/>
    <x v="7"/>
    <x v="7"/>
    <x v="13"/>
    <x v="18"/>
    <x v="1"/>
    <x v="32"/>
    <x v="4"/>
    <x v="377"/>
    <x v="65"/>
    <x v="125"/>
    <x v="125"/>
    <x v="92"/>
    <x v="150"/>
    <x v="0"/>
    <x v="0"/>
    <x v="2"/>
    <x v="0"/>
    <x v="1"/>
    <x v="0"/>
    <x v="1"/>
    <x v="18"/>
    <x v="373"/>
    <x v="1"/>
    <x v="0"/>
    <x v="0"/>
    <x v="0"/>
    <x v="0"/>
    <x v="0"/>
    <x v="0"/>
  </r>
  <r>
    <x v="33"/>
    <x v="19"/>
    <x v="34"/>
    <x v="5"/>
    <x v="3"/>
    <x v="209"/>
    <x v="1"/>
    <x v="1"/>
    <x v="71"/>
    <x v="0"/>
    <x v="11"/>
    <x v="71"/>
    <x v="0"/>
    <x v="2"/>
    <x v="1"/>
    <x v="1"/>
    <x v="0"/>
    <x v="9"/>
    <x v="12"/>
    <x v="0"/>
    <x v="0"/>
    <x v="1"/>
    <x v="89"/>
    <x v="4"/>
    <x v="378"/>
    <x v="108"/>
    <x v="56"/>
    <x v="56"/>
    <x v="132"/>
    <x v="95"/>
    <x v="71"/>
    <x v="0"/>
    <x v="0"/>
    <x v="0"/>
    <x v="1"/>
    <x v="0"/>
    <x v="1"/>
    <x v="0"/>
    <x v="374"/>
    <x v="0"/>
    <x v="0"/>
    <x v="0"/>
    <x v="0"/>
    <x v="0"/>
    <x v="0"/>
    <x v="0"/>
  </r>
  <r>
    <x v="33"/>
    <x v="19"/>
    <x v="34"/>
    <x v="20"/>
    <x v="3"/>
    <x v="305"/>
    <x v="1"/>
    <x v="1"/>
    <x v="142"/>
    <x v="1"/>
    <x v="7"/>
    <x v="45"/>
    <x v="0"/>
    <x v="9"/>
    <x v="0"/>
    <x v="1"/>
    <x v="0"/>
    <x v="9"/>
    <x v="12"/>
    <x v="0"/>
    <x v="0"/>
    <x v="1"/>
    <x v="2"/>
    <x v="4"/>
    <x v="379"/>
    <x v="84"/>
    <x v="143"/>
    <x v="143"/>
    <x v="108"/>
    <x v="165"/>
    <x v="45"/>
    <x v="0"/>
    <x v="0"/>
    <x v="0"/>
    <x v="1"/>
    <x v="0"/>
    <x v="1"/>
    <x v="0"/>
    <x v="375"/>
    <x v="0"/>
    <x v="0"/>
    <x v="0"/>
    <x v="0"/>
    <x v="0"/>
    <x v="0"/>
    <x v="0"/>
  </r>
  <r>
    <x v="33"/>
    <x v="19"/>
    <x v="34"/>
    <x v="3"/>
    <x v="3"/>
    <x v="306"/>
    <x v="0"/>
    <x v="1"/>
    <x v="91"/>
    <x v="1"/>
    <x v="3"/>
    <x v="15"/>
    <x v="0"/>
    <x v="3"/>
    <x v="1"/>
    <x v="1"/>
    <x v="0"/>
    <x v="9"/>
    <x v="12"/>
    <x v="0"/>
    <x v="0"/>
    <x v="1"/>
    <x v="50"/>
    <x v="4"/>
    <x v="380"/>
    <x v="11"/>
    <x v="75"/>
    <x v="75"/>
    <x v="41"/>
    <x v="41"/>
    <x v="15"/>
    <x v="0"/>
    <x v="0"/>
    <x v="0"/>
    <x v="1"/>
    <x v="0"/>
    <x v="1"/>
    <x v="0"/>
    <x v="376"/>
    <x v="0"/>
    <x v="0"/>
    <x v="0"/>
    <x v="0"/>
    <x v="0"/>
    <x v="0"/>
    <x v="0"/>
  </r>
  <r>
    <x v="33"/>
    <x v="19"/>
    <x v="34"/>
    <x v="8"/>
    <x v="1"/>
    <x v="306"/>
    <x v="1"/>
    <x v="1"/>
    <x v="91"/>
    <x v="1"/>
    <x v="0"/>
    <x v="0"/>
    <x v="0"/>
    <x v="7"/>
    <x v="0"/>
    <x v="0"/>
    <x v="1"/>
    <x v="9"/>
    <x v="12"/>
    <x v="0"/>
    <x v="0"/>
    <x v="1"/>
    <x v="27"/>
    <x v="2"/>
    <x v="381"/>
    <x v="11"/>
    <x v="75"/>
    <x v="75"/>
    <x v="52"/>
    <x v="114"/>
    <x v="0"/>
    <x v="0"/>
    <x v="0"/>
    <x v="6"/>
    <x v="1"/>
    <x v="0"/>
    <x v="1"/>
    <x v="0"/>
    <x v="377"/>
    <x v="0"/>
    <x v="0"/>
    <x v="0"/>
    <x v="0"/>
    <x v="0"/>
    <x v="0"/>
    <x v="0"/>
  </r>
  <r>
    <x v="33"/>
    <x v="19"/>
    <x v="34"/>
    <x v="8"/>
    <x v="4"/>
    <x v="306"/>
    <x v="1"/>
    <x v="1"/>
    <x v="91"/>
    <x v="1"/>
    <x v="0"/>
    <x v="0"/>
    <x v="0"/>
    <x v="7"/>
    <x v="0"/>
    <x v="0"/>
    <x v="1"/>
    <x v="9"/>
    <x v="12"/>
    <x v="0"/>
    <x v="0"/>
    <x v="1"/>
    <x v="18"/>
    <x v="2"/>
    <x v="381"/>
    <x v="11"/>
    <x v="75"/>
    <x v="75"/>
    <x v="35"/>
    <x v="35"/>
    <x v="0"/>
    <x v="0"/>
    <x v="0"/>
    <x v="6"/>
    <x v="1"/>
    <x v="0"/>
    <x v="1"/>
    <x v="0"/>
    <x v="377"/>
    <x v="0"/>
    <x v="0"/>
    <x v="0"/>
    <x v="0"/>
    <x v="2"/>
    <x v="0"/>
    <x v="0"/>
  </r>
  <r>
    <x v="33"/>
    <x v="3"/>
    <x v="34"/>
    <x v="8"/>
    <x v="3"/>
    <x v="306"/>
    <x v="1"/>
    <x v="1"/>
    <x v="91"/>
    <x v="1"/>
    <x v="0"/>
    <x v="0"/>
    <x v="0"/>
    <x v="7"/>
    <x v="0"/>
    <x v="1"/>
    <x v="0"/>
    <x v="1"/>
    <x v="0"/>
    <x v="13"/>
    <x v="0"/>
    <x v="1"/>
    <x v="19"/>
    <x v="4"/>
    <x v="382"/>
    <x v="11"/>
    <x v="75"/>
    <x v="75"/>
    <x v="52"/>
    <x v="114"/>
    <x v="0"/>
    <x v="0"/>
    <x v="2"/>
    <x v="0"/>
    <x v="1"/>
    <x v="0"/>
    <x v="1"/>
    <x v="0"/>
    <x v="378"/>
    <x v="1"/>
    <x v="0"/>
    <x v="0"/>
    <x v="0"/>
    <x v="0"/>
    <x v="0"/>
    <x v="0"/>
  </r>
  <r>
    <x v="33"/>
    <x v="19"/>
    <x v="34"/>
    <x v="3"/>
    <x v="3"/>
    <x v="307"/>
    <x v="0"/>
    <x v="1"/>
    <x v="91"/>
    <x v="1"/>
    <x v="3"/>
    <x v="15"/>
    <x v="0"/>
    <x v="3"/>
    <x v="1"/>
    <x v="1"/>
    <x v="0"/>
    <x v="9"/>
    <x v="12"/>
    <x v="0"/>
    <x v="0"/>
    <x v="1"/>
    <x v="53"/>
    <x v="4"/>
    <x v="383"/>
    <x v="11"/>
    <x v="75"/>
    <x v="75"/>
    <x v="41"/>
    <x v="41"/>
    <x v="15"/>
    <x v="0"/>
    <x v="0"/>
    <x v="0"/>
    <x v="1"/>
    <x v="0"/>
    <x v="1"/>
    <x v="0"/>
    <x v="379"/>
    <x v="0"/>
    <x v="0"/>
    <x v="0"/>
    <x v="0"/>
    <x v="0"/>
    <x v="0"/>
    <x v="0"/>
  </r>
  <r>
    <x v="33"/>
    <x v="19"/>
    <x v="34"/>
    <x v="8"/>
    <x v="1"/>
    <x v="307"/>
    <x v="1"/>
    <x v="1"/>
    <x v="91"/>
    <x v="1"/>
    <x v="0"/>
    <x v="0"/>
    <x v="0"/>
    <x v="7"/>
    <x v="0"/>
    <x v="0"/>
    <x v="1"/>
    <x v="9"/>
    <x v="12"/>
    <x v="0"/>
    <x v="0"/>
    <x v="1"/>
    <x v="27"/>
    <x v="2"/>
    <x v="384"/>
    <x v="11"/>
    <x v="75"/>
    <x v="75"/>
    <x v="52"/>
    <x v="114"/>
    <x v="0"/>
    <x v="0"/>
    <x v="0"/>
    <x v="6"/>
    <x v="1"/>
    <x v="0"/>
    <x v="1"/>
    <x v="0"/>
    <x v="380"/>
    <x v="0"/>
    <x v="0"/>
    <x v="0"/>
    <x v="0"/>
    <x v="0"/>
    <x v="0"/>
    <x v="0"/>
  </r>
  <r>
    <x v="33"/>
    <x v="19"/>
    <x v="34"/>
    <x v="8"/>
    <x v="4"/>
    <x v="307"/>
    <x v="1"/>
    <x v="1"/>
    <x v="91"/>
    <x v="1"/>
    <x v="0"/>
    <x v="0"/>
    <x v="0"/>
    <x v="7"/>
    <x v="0"/>
    <x v="0"/>
    <x v="1"/>
    <x v="9"/>
    <x v="12"/>
    <x v="0"/>
    <x v="0"/>
    <x v="1"/>
    <x v="18"/>
    <x v="2"/>
    <x v="384"/>
    <x v="11"/>
    <x v="75"/>
    <x v="75"/>
    <x v="35"/>
    <x v="35"/>
    <x v="0"/>
    <x v="0"/>
    <x v="0"/>
    <x v="6"/>
    <x v="1"/>
    <x v="0"/>
    <x v="1"/>
    <x v="0"/>
    <x v="380"/>
    <x v="0"/>
    <x v="0"/>
    <x v="0"/>
    <x v="0"/>
    <x v="2"/>
    <x v="0"/>
    <x v="0"/>
  </r>
  <r>
    <x v="33"/>
    <x v="3"/>
    <x v="34"/>
    <x v="8"/>
    <x v="3"/>
    <x v="307"/>
    <x v="1"/>
    <x v="1"/>
    <x v="91"/>
    <x v="1"/>
    <x v="0"/>
    <x v="0"/>
    <x v="0"/>
    <x v="7"/>
    <x v="0"/>
    <x v="1"/>
    <x v="0"/>
    <x v="4"/>
    <x v="5"/>
    <x v="13"/>
    <x v="18"/>
    <x v="1"/>
    <x v="32"/>
    <x v="4"/>
    <x v="385"/>
    <x v="11"/>
    <x v="75"/>
    <x v="75"/>
    <x v="52"/>
    <x v="114"/>
    <x v="0"/>
    <x v="0"/>
    <x v="2"/>
    <x v="0"/>
    <x v="1"/>
    <x v="0"/>
    <x v="1"/>
    <x v="18"/>
    <x v="381"/>
    <x v="1"/>
    <x v="0"/>
    <x v="0"/>
    <x v="0"/>
    <x v="0"/>
    <x v="0"/>
    <x v="0"/>
  </r>
  <r>
    <x v="33"/>
    <x v="19"/>
    <x v="34"/>
    <x v="3"/>
    <x v="3"/>
    <x v="308"/>
    <x v="0"/>
    <x v="1"/>
    <x v="127"/>
    <x v="1"/>
    <x v="3"/>
    <x v="33"/>
    <x v="0"/>
    <x v="3"/>
    <x v="1"/>
    <x v="1"/>
    <x v="0"/>
    <x v="9"/>
    <x v="12"/>
    <x v="0"/>
    <x v="0"/>
    <x v="1"/>
    <x v="88"/>
    <x v="4"/>
    <x v="386"/>
    <x v="65"/>
    <x v="125"/>
    <x v="125"/>
    <x v="41"/>
    <x v="41"/>
    <x v="33"/>
    <x v="0"/>
    <x v="0"/>
    <x v="0"/>
    <x v="1"/>
    <x v="0"/>
    <x v="1"/>
    <x v="0"/>
    <x v="382"/>
    <x v="0"/>
    <x v="0"/>
    <x v="0"/>
    <x v="0"/>
    <x v="0"/>
    <x v="0"/>
    <x v="0"/>
  </r>
  <r>
    <x v="33"/>
    <x v="19"/>
    <x v="34"/>
    <x v="8"/>
    <x v="1"/>
    <x v="308"/>
    <x v="1"/>
    <x v="1"/>
    <x v="127"/>
    <x v="1"/>
    <x v="0"/>
    <x v="0"/>
    <x v="0"/>
    <x v="7"/>
    <x v="0"/>
    <x v="0"/>
    <x v="1"/>
    <x v="9"/>
    <x v="12"/>
    <x v="0"/>
    <x v="0"/>
    <x v="1"/>
    <x v="27"/>
    <x v="2"/>
    <x v="387"/>
    <x v="65"/>
    <x v="125"/>
    <x v="125"/>
    <x v="92"/>
    <x v="150"/>
    <x v="0"/>
    <x v="0"/>
    <x v="0"/>
    <x v="29"/>
    <x v="1"/>
    <x v="0"/>
    <x v="1"/>
    <x v="0"/>
    <x v="383"/>
    <x v="0"/>
    <x v="0"/>
    <x v="0"/>
    <x v="0"/>
    <x v="0"/>
    <x v="0"/>
    <x v="0"/>
  </r>
  <r>
    <x v="33"/>
    <x v="19"/>
    <x v="34"/>
    <x v="8"/>
    <x v="4"/>
    <x v="308"/>
    <x v="1"/>
    <x v="1"/>
    <x v="127"/>
    <x v="1"/>
    <x v="0"/>
    <x v="0"/>
    <x v="0"/>
    <x v="7"/>
    <x v="0"/>
    <x v="0"/>
    <x v="1"/>
    <x v="9"/>
    <x v="12"/>
    <x v="0"/>
    <x v="0"/>
    <x v="1"/>
    <x v="18"/>
    <x v="2"/>
    <x v="387"/>
    <x v="65"/>
    <x v="125"/>
    <x v="125"/>
    <x v="11"/>
    <x v="11"/>
    <x v="0"/>
    <x v="0"/>
    <x v="0"/>
    <x v="29"/>
    <x v="1"/>
    <x v="0"/>
    <x v="1"/>
    <x v="0"/>
    <x v="383"/>
    <x v="0"/>
    <x v="0"/>
    <x v="0"/>
    <x v="0"/>
    <x v="2"/>
    <x v="0"/>
    <x v="0"/>
  </r>
  <r>
    <x v="33"/>
    <x v="3"/>
    <x v="34"/>
    <x v="8"/>
    <x v="3"/>
    <x v="308"/>
    <x v="1"/>
    <x v="1"/>
    <x v="127"/>
    <x v="1"/>
    <x v="0"/>
    <x v="0"/>
    <x v="0"/>
    <x v="7"/>
    <x v="0"/>
    <x v="1"/>
    <x v="0"/>
    <x v="7"/>
    <x v="7"/>
    <x v="13"/>
    <x v="18"/>
    <x v="1"/>
    <x v="32"/>
    <x v="4"/>
    <x v="388"/>
    <x v="65"/>
    <x v="125"/>
    <x v="125"/>
    <x v="92"/>
    <x v="150"/>
    <x v="0"/>
    <x v="0"/>
    <x v="2"/>
    <x v="0"/>
    <x v="1"/>
    <x v="0"/>
    <x v="1"/>
    <x v="18"/>
    <x v="384"/>
    <x v="1"/>
    <x v="0"/>
    <x v="0"/>
    <x v="0"/>
    <x v="0"/>
    <x v="0"/>
    <x v="0"/>
  </r>
  <r>
    <x v="33"/>
    <x v="19"/>
    <x v="34"/>
    <x v="3"/>
    <x v="3"/>
    <x v="309"/>
    <x v="0"/>
    <x v="1"/>
    <x v="87"/>
    <x v="1"/>
    <x v="3"/>
    <x v="5"/>
    <x v="0"/>
    <x v="3"/>
    <x v="1"/>
    <x v="1"/>
    <x v="0"/>
    <x v="9"/>
    <x v="12"/>
    <x v="0"/>
    <x v="0"/>
    <x v="1"/>
    <x v="49"/>
    <x v="4"/>
    <x v="389"/>
    <x v="8"/>
    <x v="71"/>
    <x v="71"/>
    <x v="41"/>
    <x v="41"/>
    <x v="5"/>
    <x v="0"/>
    <x v="0"/>
    <x v="0"/>
    <x v="1"/>
    <x v="0"/>
    <x v="1"/>
    <x v="0"/>
    <x v="385"/>
    <x v="0"/>
    <x v="0"/>
    <x v="0"/>
    <x v="0"/>
    <x v="0"/>
    <x v="0"/>
    <x v="0"/>
  </r>
  <r>
    <x v="33"/>
    <x v="19"/>
    <x v="34"/>
    <x v="8"/>
    <x v="1"/>
    <x v="309"/>
    <x v="1"/>
    <x v="1"/>
    <x v="87"/>
    <x v="1"/>
    <x v="0"/>
    <x v="0"/>
    <x v="0"/>
    <x v="7"/>
    <x v="0"/>
    <x v="0"/>
    <x v="1"/>
    <x v="9"/>
    <x v="12"/>
    <x v="0"/>
    <x v="0"/>
    <x v="1"/>
    <x v="27"/>
    <x v="2"/>
    <x v="390"/>
    <x v="8"/>
    <x v="71"/>
    <x v="71"/>
    <x v="49"/>
    <x v="110"/>
    <x v="0"/>
    <x v="0"/>
    <x v="0"/>
    <x v="3"/>
    <x v="1"/>
    <x v="0"/>
    <x v="1"/>
    <x v="0"/>
    <x v="386"/>
    <x v="0"/>
    <x v="0"/>
    <x v="0"/>
    <x v="0"/>
    <x v="0"/>
    <x v="0"/>
    <x v="0"/>
  </r>
  <r>
    <x v="33"/>
    <x v="19"/>
    <x v="34"/>
    <x v="8"/>
    <x v="4"/>
    <x v="309"/>
    <x v="1"/>
    <x v="1"/>
    <x v="87"/>
    <x v="1"/>
    <x v="0"/>
    <x v="0"/>
    <x v="0"/>
    <x v="7"/>
    <x v="0"/>
    <x v="0"/>
    <x v="1"/>
    <x v="9"/>
    <x v="12"/>
    <x v="0"/>
    <x v="0"/>
    <x v="1"/>
    <x v="18"/>
    <x v="2"/>
    <x v="390"/>
    <x v="8"/>
    <x v="71"/>
    <x v="71"/>
    <x v="38"/>
    <x v="38"/>
    <x v="0"/>
    <x v="0"/>
    <x v="0"/>
    <x v="3"/>
    <x v="1"/>
    <x v="0"/>
    <x v="1"/>
    <x v="0"/>
    <x v="386"/>
    <x v="0"/>
    <x v="0"/>
    <x v="0"/>
    <x v="0"/>
    <x v="2"/>
    <x v="0"/>
    <x v="0"/>
  </r>
  <r>
    <x v="33"/>
    <x v="3"/>
    <x v="34"/>
    <x v="8"/>
    <x v="3"/>
    <x v="309"/>
    <x v="1"/>
    <x v="1"/>
    <x v="87"/>
    <x v="1"/>
    <x v="0"/>
    <x v="0"/>
    <x v="0"/>
    <x v="7"/>
    <x v="0"/>
    <x v="1"/>
    <x v="0"/>
    <x v="5"/>
    <x v="8"/>
    <x v="13"/>
    <x v="18"/>
    <x v="1"/>
    <x v="32"/>
    <x v="4"/>
    <x v="391"/>
    <x v="8"/>
    <x v="71"/>
    <x v="71"/>
    <x v="49"/>
    <x v="110"/>
    <x v="0"/>
    <x v="0"/>
    <x v="2"/>
    <x v="0"/>
    <x v="1"/>
    <x v="0"/>
    <x v="1"/>
    <x v="18"/>
    <x v="387"/>
    <x v="1"/>
    <x v="0"/>
    <x v="0"/>
    <x v="0"/>
    <x v="0"/>
    <x v="0"/>
    <x v="0"/>
  </r>
  <r>
    <x v="34"/>
    <x v="19"/>
    <x v="35"/>
    <x v="5"/>
    <x v="3"/>
    <x v="211"/>
    <x v="1"/>
    <x v="1"/>
    <x v="55"/>
    <x v="0"/>
    <x v="11"/>
    <x v="48"/>
    <x v="0"/>
    <x v="2"/>
    <x v="1"/>
    <x v="1"/>
    <x v="0"/>
    <x v="9"/>
    <x v="12"/>
    <x v="0"/>
    <x v="0"/>
    <x v="1"/>
    <x v="62"/>
    <x v="4"/>
    <x v="392"/>
    <x v="94"/>
    <x v="42"/>
    <x v="42"/>
    <x v="118"/>
    <x v="81"/>
    <x v="48"/>
    <x v="0"/>
    <x v="0"/>
    <x v="0"/>
    <x v="1"/>
    <x v="0"/>
    <x v="1"/>
    <x v="0"/>
    <x v="388"/>
    <x v="0"/>
    <x v="0"/>
    <x v="0"/>
    <x v="0"/>
    <x v="0"/>
    <x v="0"/>
    <x v="0"/>
  </r>
  <r>
    <x v="34"/>
    <x v="19"/>
    <x v="35"/>
    <x v="18"/>
    <x v="3"/>
    <x v="311"/>
    <x v="1"/>
    <x v="0"/>
    <x v="22"/>
    <x v="0"/>
    <x v="8"/>
    <x v="9"/>
    <x v="0"/>
    <x v="2"/>
    <x v="1"/>
    <x v="1"/>
    <x v="0"/>
    <x v="9"/>
    <x v="12"/>
    <x v="0"/>
    <x v="0"/>
    <x v="1"/>
    <x v="66"/>
    <x v="4"/>
    <x v="393"/>
    <x v="59"/>
    <x v="21"/>
    <x v="21"/>
    <x v="86"/>
    <x v="63"/>
    <x v="9"/>
    <x v="0"/>
    <x v="0"/>
    <x v="0"/>
    <x v="1"/>
    <x v="0"/>
    <x v="1"/>
    <x v="0"/>
    <x v="389"/>
    <x v="0"/>
    <x v="0"/>
    <x v="0"/>
    <x v="0"/>
    <x v="0"/>
    <x v="0"/>
    <x v="0"/>
  </r>
  <r>
    <x v="34"/>
    <x v="19"/>
    <x v="35"/>
    <x v="8"/>
    <x v="1"/>
    <x v="310"/>
    <x v="1"/>
    <x v="0"/>
    <x v="122"/>
    <x v="1"/>
    <x v="0"/>
    <x v="0"/>
    <x v="0"/>
    <x v="8"/>
    <x v="0"/>
    <x v="0"/>
    <x v="1"/>
    <x v="9"/>
    <x v="12"/>
    <x v="0"/>
    <x v="0"/>
    <x v="1"/>
    <x v="27"/>
    <x v="2"/>
    <x v="394"/>
    <x v="59"/>
    <x v="119"/>
    <x v="119"/>
    <x v="86"/>
    <x v="144"/>
    <x v="0"/>
    <x v="0"/>
    <x v="0"/>
    <x v="24"/>
    <x v="1"/>
    <x v="0"/>
    <x v="1"/>
    <x v="0"/>
    <x v="390"/>
    <x v="0"/>
    <x v="0"/>
    <x v="0"/>
    <x v="0"/>
    <x v="0"/>
    <x v="0"/>
    <x v="0"/>
  </r>
  <r>
    <x v="34"/>
    <x v="19"/>
    <x v="35"/>
    <x v="8"/>
    <x v="4"/>
    <x v="310"/>
    <x v="1"/>
    <x v="0"/>
    <x v="122"/>
    <x v="1"/>
    <x v="0"/>
    <x v="0"/>
    <x v="0"/>
    <x v="8"/>
    <x v="0"/>
    <x v="0"/>
    <x v="1"/>
    <x v="9"/>
    <x v="12"/>
    <x v="0"/>
    <x v="0"/>
    <x v="1"/>
    <x v="18"/>
    <x v="2"/>
    <x v="395"/>
    <x v="59"/>
    <x v="119"/>
    <x v="119"/>
    <x v="15"/>
    <x v="15"/>
    <x v="0"/>
    <x v="0"/>
    <x v="0"/>
    <x v="24"/>
    <x v="1"/>
    <x v="0"/>
    <x v="1"/>
    <x v="0"/>
    <x v="390"/>
    <x v="0"/>
    <x v="0"/>
    <x v="0"/>
    <x v="0"/>
    <x v="2"/>
    <x v="0"/>
    <x v="0"/>
  </r>
  <r>
    <x v="34"/>
    <x v="12"/>
    <x v="35"/>
    <x v="8"/>
    <x v="3"/>
    <x v="310"/>
    <x v="1"/>
    <x v="0"/>
    <x v="122"/>
    <x v="1"/>
    <x v="0"/>
    <x v="0"/>
    <x v="0"/>
    <x v="8"/>
    <x v="0"/>
    <x v="1"/>
    <x v="0"/>
    <x v="5"/>
    <x v="8"/>
    <x v="2"/>
    <x v="5"/>
    <x v="1"/>
    <x v="32"/>
    <x v="4"/>
    <x v="396"/>
    <x v="59"/>
    <x v="119"/>
    <x v="119"/>
    <x v="86"/>
    <x v="144"/>
    <x v="0"/>
    <x v="0"/>
    <x v="2"/>
    <x v="0"/>
    <x v="1"/>
    <x v="0"/>
    <x v="1"/>
    <x v="5"/>
    <x v="391"/>
    <x v="1"/>
    <x v="0"/>
    <x v="0"/>
    <x v="0"/>
    <x v="0"/>
    <x v="0"/>
    <x v="0"/>
  </r>
  <r>
    <x v="34"/>
    <x v="19"/>
    <x v="35"/>
    <x v="18"/>
    <x v="3"/>
    <x v="313"/>
    <x v="1"/>
    <x v="0"/>
    <x v="22"/>
    <x v="0"/>
    <x v="8"/>
    <x v="9"/>
    <x v="0"/>
    <x v="2"/>
    <x v="1"/>
    <x v="1"/>
    <x v="0"/>
    <x v="9"/>
    <x v="12"/>
    <x v="0"/>
    <x v="0"/>
    <x v="1"/>
    <x v="70"/>
    <x v="4"/>
    <x v="397"/>
    <x v="59"/>
    <x v="21"/>
    <x v="21"/>
    <x v="86"/>
    <x v="63"/>
    <x v="9"/>
    <x v="0"/>
    <x v="0"/>
    <x v="0"/>
    <x v="1"/>
    <x v="0"/>
    <x v="1"/>
    <x v="0"/>
    <x v="392"/>
    <x v="0"/>
    <x v="0"/>
    <x v="0"/>
    <x v="0"/>
    <x v="0"/>
    <x v="0"/>
    <x v="0"/>
  </r>
  <r>
    <x v="34"/>
    <x v="19"/>
    <x v="35"/>
    <x v="8"/>
    <x v="1"/>
    <x v="312"/>
    <x v="1"/>
    <x v="0"/>
    <x v="122"/>
    <x v="1"/>
    <x v="0"/>
    <x v="0"/>
    <x v="0"/>
    <x v="8"/>
    <x v="0"/>
    <x v="0"/>
    <x v="1"/>
    <x v="9"/>
    <x v="12"/>
    <x v="0"/>
    <x v="0"/>
    <x v="1"/>
    <x v="27"/>
    <x v="2"/>
    <x v="398"/>
    <x v="59"/>
    <x v="119"/>
    <x v="119"/>
    <x v="86"/>
    <x v="144"/>
    <x v="0"/>
    <x v="0"/>
    <x v="0"/>
    <x v="24"/>
    <x v="1"/>
    <x v="0"/>
    <x v="1"/>
    <x v="0"/>
    <x v="393"/>
    <x v="0"/>
    <x v="0"/>
    <x v="0"/>
    <x v="0"/>
    <x v="0"/>
    <x v="0"/>
    <x v="0"/>
  </r>
  <r>
    <x v="34"/>
    <x v="19"/>
    <x v="35"/>
    <x v="8"/>
    <x v="4"/>
    <x v="312"/>
    <x v="1"/>
    <x v="0"/>
    <x v="122"/>
    <x v="1"/>
    <x v="0"/>
    <x v="0"/>
    <x v="0"/>
    <x v="8"/>
    <x v="0"/>
    <x v="0"/>
    <x v="1"/>
    <x v="9"/>
    <x v="12"/>
    <x v="0"/>
    <x v="0"/>
    <x v="1"/>
    <x v="18"/>
    <x v="2"/>
    <x v="399"/>
    <x v="59"/>
    <x v="119"/>
    <x v="119"/>
    <x v="15"/>
    <x v="15"/>
    <x v="0"/>
    <x v="0"/>
    <x v="0"/>
    <x v="24"/>
    <x v="1"/>
    <x v="0"/>
    <x v="1"/>
    <x v="0"/>
    <x v="393"/>
    <x v="0"/>
    <x v="0"/>
    <x v="0"/>
    <x v="0"/>
    <x v="2"/>
    <x v="0"/>
    <x v="0"/>
  </r>
  <r>
    <x v="34"/>
    <x v="12"/>
    <x v="35"/>
    <x v="8"/>
    <x v="3"/>
    <x v="312"/>
    <x v="1"/>
    <x v="0"/>
    <x v="122"/>
    <x v="1"/>
    <x v="0"/>
    <x v="0"/>
    <x v="0"/>
    <x v="8"/>
    <x v="0"/>
    <x v="1"/>
    <x v="0"/>
    <x v="4"/>
    <x v="5"/>
    <x v="2"/>
    <x v="5"/>
    <x v="1"/>
    <x v="32"/>
    <x v="4"/>
    <x v="400"/>
    <x v="59"/>
    <x v="119"/>
    <x v="119"/>
    <x v="86"/>
    <x v="144"/>
    <x v="0"/>
    <x v="0"/>
    <x v="2"/>
    <x v="0"/>
    <x v="1"/>
    <x v="0"/>
    <x v="1"/>
    <x v="5"/>
    <x v="394"/>
    <x v="1"/>
    <x v="0"/>
    <x v="0"/>
    <x v="0"/>
    <x v="0"/>
    <x v="0"/>
    <x v="0"/>
  </r>
  <r>
    <x v="34"/>
    <x v="19"/>
    <x v="35"/>
    <x v="18"/>
    <x v="3"/>
    <x v="315"/>
    <x v="1"/>
    <x v="0"/>
    <x v="4"/>
    <x v="0"/>
    <x v="8"/>
    <x v="4"/>
    <x v="0"/>
    <x v="2"/>
    <x v="1"/>
    <x v="1"/>
    <x v="0"/>
    <x v="9"/>
    <x v="12"/>
    <x v="0"/>
    <x v="0"/>
    <x v="1"/>
    <x v="57"/>
    <x v="4"/>
    <x v="401"/>
    <x v="10"/>
    <x v="4"/>
    <x v="4"/>
    <x v="51"/>
    <x v="46"/>
    <x v="4"/>
    <x v="0"/>
    <x v="0"/>
    <x v="0"/>
    <x v="1"/>
    <x v="0"/>
    <x v="1"/>
    <x v="0"/>
    <x v="395"/>
    <x v="0"/>
    <x v="0"/>
    <x v="0"/>
    <x v="0"/>
    <x v="0"/>
    <x v="0"/>
    <x v="0"/>
  </r>
  <r>
    <x v="34"/>
    <x v="19"/>
    <x v="35"/>
    <x v="8"/>
    <x v="1"/>
    <x v="314"/>
    <x v="1"/>
    <x v="0"/>
    <x v="90"/>
    <x v="1"/>
    <x v="0"/>
    <x v="0"/>
    <x v="0"/>
    <x v="8"/>
    <x v="0"/>
    <x v="0"/>
    <x v="1"/>
    <x v="9"/>
    <x v="12"/>
    <x v="0"/>
    <x v="0"/>
    <x v="1"/>
    <x v="27"/>
    <x v="2"/>
    <x v="402"/>
    <x v="10"/>
    <x v="74"/>
    <x v="74"/>
    <x v="51"/>
    <x v="113"/>
    <x v="0"/>
    <x v="0"/>
    <x v="0"/>
    <x v="5"/>
    <x v="1"/>
    <x v="0"/>
    <x v="1"/>
    <x v="0"/>
    <x v="396"/>
    <x v="0"/>
    <x v="0"/>
    <x v="0"/>
    <x v="0"/>
    <x v="0"/>
    <x v="0"/>
    <x v="0"/>
  </r>
  <r>
    <x v="34"/>
    <x v="19"/>
    <x v="35"/>
    <x v="8"/>
    <x v="4"/>
    <x v="314"/>
    <x v="1"/>
    <x v="0"/>
    <x v="90"/>
    <x v="1"/>
    <x v="0"/>
    <x v="0"/>
    <x v="0"/>
    <x v="8"/>
    <x v="0"/>
    <x v="0"/>
    <x v="1"/>
    <x v="9"/>
    <x v="12"/>
    <x v="0"/>
    <x v="0"/>
    <x v="1"/>
    <x v="18"/>
    <x v="2"/>
    <x v="403"/>
    <x v="10"/>
    <x v="74"/>
    <x v="74"/>
    <x v="36"/>
    <x v="36"/>
    <x v="0"/>
    <x v="0"/>
    <x v="0"/>
    <x v="5"/>
    <x v="1"/>
    <x v="0"/>
    <x v="1"/>
    <x v="0"/>
    <x v="396"/>
    <x v="0"/>
    <x v="0"/>
    <x v="0"/>
    <x v="0"/>
    <x v="2"/>
    <x v="0"/>
    <x v="0"/>
  </r>
  <r>
    <x v="34"/>
    <x v="12"/>
    <x v="35"/>
    <x v="8"/>
    <x v="3"/>
    <x v="314"/>
    <x v="1"/>
    <x v="0"/>
    <x v="90"/>
    <x v="1"/>
    <x v="0"/>
    <x v="0"/>
    <x v="0"/>
    <x v="8"/>
    <x v="0"/>
    <x v="1"/>
    <x v="0"/>
    <x v="5"/>
    <x v="8"/>
    <x v="2"/>
    <x v="5"/>
    <x v="1"/>
    <x v="32"/>
    <x v="4"/>
    <x v="404"/>
    <x v="10"/>
    <x v="74"/>
    <x v="74"/>
    <x v="51"/>
    <x v="113"/>
    <x v="0"/>
    <x v="0"/>
    <x v="2"/>
    <x v="0"/>
    <x v="1"/>
    <x v="0"/>
    <x v="1"/>
    <x v="5"/>
    <x v="397"/>
    <x v="1"/>
    <x v="0"/>
    <x v="0"/>
    <x v="0"/>
    <x v="0"/>
    <x v="0"/>
    <x v="0"/>
  </r>
  <r>
    <x v="35"/>
    <x v="19"/>
    <x v="36"/>
    <x v="4"/>
    <x v="3"/>
    <x v="316"/>
    <x v="1"/>
    <x v="0"/>
    <x v="143"/>
    <x v="1"/>
    <x v="9"/>
    <x v="99"/>
    <x v="0"/>
    <x v="9"/>
    <x v="0"/>
    <x v="1"/>
    <x v="0"/>
    <x v="9"/>
    <x v="12"/>
    <x v="0"/>
    <x v="0"/>
    <x v="1"/>
    <x v="91"/>
    <x v="4"/>
    <x v="405"/>
    <x v="86"/>
    <x v="144"/>
    <x v="144"/>
    <x v="110"/>
    <x v="166"/>
    <x v="99"/>
    <x v="0"/>
    <x v="0"/>
    <x v="0"/>
    <x v="1"/>
    <x v="0"/>
    <x v="1"/>
    <x v="0"/>
    <x v="398"/>
    <x v="0"/>
    <x v="0"/>
    <x v="0"/>
    <x v="0"/>
    <x v="0"/>
    <x v="0"/>
    <x v="0"/>
  </r>
  <r>
    <x v="35"/>
    <x v="19"/>
    <x v="36"/>
    <x v="11"/>
    <x v="3"/>
    <x v="84"/>
    <x v="1"/>
    <x v="0"/>
    <x v="4"/>
    <x v="0"/>
    <x v="0"/>
    <x v="0"/>
    <x v="0"/>
    <x v="2"/>
    <x v="1"/>
    <x v="1"/>
    <x v="0"/>
    <x v="9"/>
    <x v="12"/>
    <x v="0"/>
    <x v="0"/>
    <x v="1"/>
    <x v="33"/>
    <x v="4"/>
    <x v="415"/>
    <x v="10"/>
    <x v="4"/>
    <x v="4"/>
    <x v="51"/>
    <x v="46"/>
    <x v="0"/>
    <x v="0"/>
    <x v="0"/>
    <x v="0"/>
    <x v="1"/>
    <x v="0"/>
    <x v="1"/>
    <x v="0"/>
    <x v="399"/>
    <x v="0"/>
    <x v="0"/>
    <x v="0"/>
    <x v="0"/>
    <x v="0"/>
    <x v="0"/>
    <x v="0"/>
  </r>
  <r>
    <x v="35"/>
    <x v="19"/>
    <x v="36"/>
    <x v="8"/>
    <x v="1"/>
    <x v="83"/>
    <x v="1"/>
    <x v="0"/>
    <x v="90"/>
    <x v="1"/>
    <x v="0"/>
    <x v="0"/>
    <x v="0"/>
    <x v="8"/>
    <x v="0"/>
    <x v="0"/>
    <x v="1"/>
    <x v="9"/>
    <x v="12"/>
    <x v="0"/>
    <x v="0"/>
    <x v="1"/>
    <x v="33"/>
    <x v="4"/>
    <x v="416"/>
    <x v="10"/>
    <x v="74"/>
    <x v="74"/>
    <x v="51"/>
    <x v="113"/>
    <x v="0"/>
    <x v="0"/>
    <x v="0"/>
    <x v="5"/>
    <x v="1"/>
    <x v="0"/>
    <x v="1"/>
    <x v="0"/>
    <x v="400"/>
    <x v="0"/>
    <x v="0"/>
    <x v="0"/>
    <x v="0"/>
    <x v="0"/>
    <x v="0"/>
    <x v="0"/>
  </r>
  <r>
    <x v="35"/>
    <x v="19"/>
    <x v="36"/>
    <x v="8"/>
    <x v="4"/>
    <x v="83"/>
    <x v="1"/>
    <x v="0"/>
    <x v="90"/>
    <x v="1"/>
    <x v="0"/>
    <x v="0"/>
    <x v="0"/>
    <x v="8"/>
    <x v="0"/>
    <x v="0"/>
    <x v="1"/>
    <x v="9"/>
    <x v="12"/>
    <x v="0"/>
    <x v="0"/>
    <x v="1"/>
    <x v="18"/>
    <x v="4"/>
    <x v="416"/>
    <x v="10"/>
    <x v="74"/>
    <x v="74"/>
    <x v="36"/>
    <x v="36"/>
    <x v="0"/>
    <x v="0"/>
    <x v="0"/>
    <x v="5"/>
    <x v="1"/>
    <x v="0"/>
    <x v="1"/>
    <x v="0"/>
    <x v="400"/>
    <x v="0"/>
    <x v="0"/>
    <x v="0"/>
    <x v="0"/>
    <x v="2"/>
    <x v="0"/>
    <x v="0"/>
  </r>
  <r>
    <x v="35"/>
    <x v="10"/>
    <x v="36"/>
    <x v="8"/>
    <x v="3"/>
    <x v="83"/>
    <x v="1"/>
    <x v="0"/>
    <x v="90"/>
    <x v="1"/>
    <x v="0"/>
    <x v="0"/>
    <x v="0"/>
    <x v="8"/>
    <x v="0"/>
    <x v="1"/>
    <x v="0"/>
    <x v="5"/>
    <x v="8"/>
    <x v="9"/>
    <x v="14"/>
    <x v="1"/>
    <x v="34"/>
    <x v="4"/>
    <x v="417"/>
    <x v="10"/>
    <x v="74"/>
    <x v="74"/>
    <x v="51"/>
    <x v="113"/>
    <x v="0"/>
    <x v="0"/>
    <x v="2"/>
    <x v="0"/>
    <x v="1"/>
    <x v="0"/>
    <x v="1"/>
    <x v="14"/>
    <x v="401"/>
    <x v="1"/>
    <x v="0"/>
    <x v="0"/>
    <x v="0"/>
    <x v="0"/>
    <x v="0"/>
    <x v="0"/>
  </r>
  <r>
    <x v="35"/>
    <x v="19"/>
    <x v="36"/>
    <x v="12"/>
    <x v="3"/>
    <x v="85"/>
    <x v="1"/>
    <x v="0"/>
    <x v="13"/>
    <x v="0"/>
    <x v="0"/>
    <x v="0"/>
    <x v="0"/>
    <x v="2"/>
    <x v="1"/>
    <x v="1"/>
    <x v="0"/>
    <x v="9"/>
    <x v="12"/>
    <x v="0"/>
    <x v="0"/>
    <x v="1"/>
    <x v="1"/>
    <x v="4"/>
    <x v="418"/>
    <x v="29"/>
    <x v="13"/>
    <x v="13"/>
    <x v="63"/>
    <x v="55"/>
    <x v="0"/>
    <x v="0"/>
    <x v="0"/>
    <x v="0"/>
    <x v="1"/>
    <x v="0"/>
    <x v="1"/>
    <x v="0"/>
    <x v="402"/>
    <x v="0"/>
    <x v="0"/>
    <x v="0"/>
    <x v="0"/>
    <x v="0"/>
    <x v="0"/>
    <x v="0"/>
  </r>
  <r>
    <x v="35"/>
    <x v="19"/>
    <x v="36"/>
    <x v="12"/>
    <x v="1"/>
    <x v="86"/>
    <x v="1"/>
    <x v="0"/>
    <x v="103"/>
    <x v="1"/>
    <x v="0"/>
    <x v="0"/>
    <x v="0"/>
    <x v="8"/>
    <x v="0"/>
    <x v="0"/>
    <x v="1"/>
    <x v="9"/>
    <x v="12"/>
    <x v="0"/>
    <x v="0"/>
    <x v="1"/>
    <x v="0"/>
    <x v="4"/>
    <x v="419"/>
    <x v="29"/>
    <x v="89"/>
    <x v="89"/>
    <x v="63"/>
    <x v="121"/>
    <x v="0"/>
    <x v="0"/>
    <x v="0"/>
    <x v="12"/>
    <x v="1"/>
    <x v="0"/>
    <x v="1"/>
    <x v="0"/>
    <x v="403"/>
    <x v="0"/>
    <x v="0"/>
    <x v="0"/>
    <x v="0"/>
    <x v="0"/>
    <x v="0"/>
    <x v="0"/>
  </r>
  <r>
    <x v="35"/>
    <x v="19"/>
    <x v="36"/>
    <x v="12"/>
    <x v="4"/>
    <x v="86"/>
    <x v="1"/>
    <x v="0"/>
    <x v="103"/>
    <x v="1"/>
    <x v="0"/>
    <x v="0"/>
    <x v="0"/>
    <x v="8"/>
    <x v="0"/>
    <x v="0"/>
    <x v="1"/>
    <x v="9"/>
    <x v="12"/>
    <x v="0"/>
    <x v="0"/>
    <x v="1"/>
    <x v="18"/>
    <x v="4"/>
    <x v="420"/>
    <x v="29"/>
    <x v="89"/>
    <x v="89"/>
    <x v="27"/>
    <x v="27"/>
    <x v="0"/>
    <x v="0"/>
    <x v="0"/>
    <x v="12"/>
    <x v="1"/>
    <x v="0"/>
    <x v="1"/>
    <x v="0"/>
    <x v="403"/>
    <x v="0"/>
    <x v="0"/>
    <x v="0"/>
    <x v="0"/>
    <x v="2"/>
    <x v="0"/>
    <x v="0"/>
  </r>
  <r>
    <x v="35"/>
    <x v="11"/>
    <x v="36"/>
    <x v="8"/>
    <x v="3"/>
    <x v="85"/>
    <x v="1"/>
    <x v="0"/>
    <x v="103"/>
    <x v="1"/>
    <x v="0"/>
    <x v="0"/>
    <x v="0"/>
    <x v="8"/>
    <x v="0"/>
    <x v="1"/>
    <x v="0"/>
    <x v="7"/>
    <x v="7"/>
    <x v="11"/>
    <x v="16"/>
    <x v="1"/>
    <x v="34"/>
    <x v="4"/>
    <x v="421"/>
    <x v="29"/>
    <x v="89"/>
    <x v="89"/>
    <x v="63"/>
    <x v="121"/>
    <x v="0"/>
    <x v="0"/>
    <x v="2"/>
    <x v="0"/>
    <x v="1"/>
    <x v="0"/>
    <x v="1"/>
    <x v="16"/>
    <x v="404"/>
    <x v="1"/>
    <x v="0"/>
    <x v="0"/>
    <x v="0"/>
    <x v="0"/>
    <x v="0"/>
    <x v="0"/>
  </r>
  <r>
    <x v="36"/>
    <x v="19"/>
    <x v="37"/>
    <x v="10"/>
    <x v="3"/>
    <x v="88"/>
    <x v="1"/>
    <x v="0"/>
    <x v="28"/>
    <x v="0"/>
    <x v="0"/>
    <x v="0"/>
    <x v="0"/>
    <x v="2"/>
    <x v="1"/>
    <x v="1"/>
    <x v="0"/>
    <x v="9"/>
    <x v="12"/>
    <x v="0"/>
    <x v="0"/>
    <x v="1"/>
    <x v="34"/>
    <x v="4"/>
    <x v="422"/>
    <x v="69"/>
    <x v="27"/>
    <x v="27"/>
    <x v="96"/>
    <x v="67"/>
    <x v="0"/>
    <x v="0"/>
    <x v="0"/>
    <x v="0"/>
    <x v="1"/>
    <x v="0"/>
    <x v="1"/>
    <x v="0"/>
    <x v="405"/>
    <x v="0"/>
    <x v="0"/>
    <x v="0"/>
    <x v="0"/>
    <x v="0"/>
    <x v="0"/>
    <x v="0"/>
  </r>
  <r>
    <x v="36"/>
    <x v="19"/>
    <x v="37"/>
    <x v="8"/>
    <x v="1"/>
    <x v="87"/>
    <x v="1"/>
    <x v="0"/>
    <x v="129"/>
    <x v="1"/>
    <x v="0"/>
    <x v="0"/>
    <x v="0"/>
    <x v="8"/>
    <x v="0"/>
    <x v="0"/>
    <x v="1"/>
    <x v="9"/>
    <x v="12"/>
    <x v="0"/>
    <x v="0"/>
    <x v="1"/>
    <x v="34"/>
    <x v="4"/>
    <x v="423"/>
    <x v="69"/>
    <x v="129"/>
    <x v="129"/>
    <x v="96"/>
    <x v="154"/>
    <x v="0"/>
    <x v="0"/>
    <x v="0"/>
    <x v="31"/>
    <x v="1"/>
    <x v="0"/>
    <x v="1"/>
    <x v="0"/>
    <x v="406"/>
    <x v="0"/>
    <x v="0"/>
    <x v="0"/>
    <x v="0"/>
    <x v="0"/>
    <x v="0"/>
    <x v="0"/>
  </r>
  <r>
    <x v="36"/>
    <x v="19"/>
    <x v="37"/>
    <x v="8"/>
    <x v="4"/>
    <x v="87"/>
    <x v="1"/>
    <x v="0"/>
    <x v="129"/>
    <x v="1"/>
    <x v="0"/>
    <x v="0"/>
    <x v="0"/>
    <x v="8"/>
    <x v="0"/>
    <x v="0"/>
    <x v="1"/>
    <x v="9"/>
    <x v="12"/>
    <x v="0"/>
    <x v="0"/>
    <x v="1"/>
    <x v="18"/>
    <x v="4"/>
    <x v="423"/>
    <x v="69"/>
    <x v="129"/>
    <x v="129"/>
    <x v="9"/>
    <x v="9"/>
    <x v="0"/>
    <x v="0"/>
    <x v="0"/>
    <x v="31"/>
    <x v="1"/>
    <x v="0"/>
    <x v="1"/>
    <x v="0"/>
    <x v="406"/>
    <x v="0"/>
    <x v="0"/>
    <x v="0"/>
    <x v="0"/>
    <x v="2"/>
    <x v="0"/>
    <x v="0"/>
  </r>
  <r>
    <x v="36"/>
    <x v="1"/>
    <x v="37"/>
    <x v="8"/>
    <x v="3"/>
    <x v="87"/>
    <x v="1"/>
    <x v="0"/>
    <x v="129"/>
    <x v="1"/>
    <x v="0"/>
    <x v="0"/>
    <x v="0"/>
    <x v="8"/>
    <x v="0"/>
    <x v="1"/>
    <x v="0"/>
    <x v="7"/>
    <x v="7"/>
    <x v="14"/>
    <x v="19"/>
    <x v="1"/>
    <x v="34"/>
    <x v="4"/>
    <x v="424"/>
    <x v="69"/>
    <x v="129"/>
    <x v="129"/>
    <x v="96"/>
    <x v="154"/>
    <x v="0"/>
    <x v="0"/>
    <x v="2"/>
    <x v="0"/>
    <x v="1"/>
    <x v="0"/>
    <x v="1"/>
    <x v="19"/>
    <x v="407"/>
    <x v="1"/>
    <x v="0"/>
    <x v="0"/>
    <x v="0"/>
    <x v="0"/>
    <x v="0"/>
    <x v="0"/>
  </r>
  <r>
    <x v="36"/>
    <x v="7"/>
    <x v="37"/>
    <x v="6"/>
    <x v="0"/>
    <x v="74"/>
    <x v="1"/>
    <x v="2"/>
    <x v="138"/>
    <x v="1"/>
    <x v="0"/>
    <x v="0"/>
    <x v="0"/>
    <x v="6"/>
    <x v="1"/>
    <x v="1"/>
    <x v="0"/>
    <x v="4"/>
    <x v="5"/>
    <x v="12"/>
    <x v="17"/>
    <x v="1"/>
    <x v="92"/>
    <x v="0"/>
    <x v="425"/>
    <x v="79"/>
    <x v="139"/>
    <x v="139"/>
    <x v="41"/>
    <x v="41"/>
    <x v="0"/>
    <x v="0"/>
    <x v="2"/>
    <x v="0"/>
    <x v="1"/>
    <x v="0"/>
    <x v="1"/>
    <x v="17"/>
    <x v="408"/>
    <x v="1"/>
    <x v="0"/>
    <x v="0"/>
    <x v="0"/>
    <x v="0"/>
    <x v="0"/>
    <x v="0"/>
  </r>
  <r>
    <x v="36"/>
    <x v="19"/>
    <x v="37"/>
    <x v="10"/>
    <x v="3"/>
    <x v="90"/>
    <x v="1"/>
    <x v="0"/>
    <x v="28"/>
    <x v="0"/>
    <x v="0"/>
    <x v="0"/>
    <x v="0"/>
    <x v="2"/>
    <x v="1"/>
    <x v="1"/>
    <x v="0"/>
    <x v="9"/>
    <x v="12"/>
    <x v="0"/>
    <x v="0"/>
    <x v="1"/>
    <x v="33"/>
    <x v="4"/>
    <x v="426"/>
    <x v="69"/>
    <x v="27"/>
    <x v="27"/>
    <x v="96"/>
    <x v="67"/>
    <x v="0"/>
    <x v="0"/>
    <x v="0"/>
    <x v="0"/>
    <x v="1"/>
    <x v="0"/>
    <x v="1"/>
    <x v="0"/>
    <x v="409"/>
    <x v="0"/>
    <x v="0"/>
    <x v="0"/>
    <x v="0"/>
    <x v="0"/>
    <x v="0"/>
    <x v="0"/>
  </r>
  <r>
    <x v="36"/>
    <x v="19"/>
    <x v="37"/>
    <x v="8"/>
    <x v="1"/>
    <x v="89"/>
    <x v="1"/>
    <x v="0"/>
    <x v="129"/>
    <x v="1"/>
    <x v="0"/>
    <x v="0"/>
    <x v="0"/>
    <x v="8"/>
    <x v="0"/>
    <x v="0"/>
    <x v="1"/>
    <x v="9"/>
    <x v="12"/>
    <x v="0"/>
    <x v="0"/>
    <x v="1"/>
    <x v="33"/>
    <x v="4"/>
    <x v="427"/>
    <x v="69"/>
    <x v="129"/>
    <x v="129"/>
    <x v="96"/>
    <x v="154"/>
    <x v="0"/>
    <x v="0"/>
    <x v="0"/>
    <x v="31"/>
    <x v="1"/>
    <x v="0"/>
    <x v="1"/>
    <x v="0"/>
    <x v="410"/>
    <x v="0"/>
    <x v="0"/>
    <x v="0"/>
    <x v="0"/>
    <x v="0"/>
    <x v="0"/>
    <x v="0"/>
  </r>
  <r>
    <x v="36"/>
    <x v="19"/>
    <x v="37"/>
    <x v="8"/>
    <x v="4"/>
    <x v="89"/>
    <x v="1"/>
    <x v="0"/>
    <x v="129"/>
    <x v="1"/>
    <x v="0"/>
    <x v="0"/>
    <x v="0"/>
    <x v="8"/>
    <x v="0"/>
    <x v="0"/>
    <x v="1"/>
    <x v="9"/>
    <x v="12"/>
    <x v="0"/>
    <x v="0"/>
    <x v="1"/>
    <x v="18"/>
    <x v="4"/>
    <x v="427"/>
    <x v="69"/>
    <x v="129"/>
    <x v="129"/>
    <x v="9"/>
    <x v="9"/>
    <x v="0"/>
    <x v="0"/>
    <x v="0"/>
    <x v="31"/>
    <x v="1"/>
    <x v="0"/>
    <x v="1"/>
    <x v="0"/>
    <x v="410"/>
    <x v="0"/>
    <x v="0"/>
    <x v="0"/>
    <x v="0"/>
    <x v="2"/>
    <x v="0"/>
    <x v="0"/>
  </r>
  <r>
    <x v="36"/>
    <x v="1"/>
    <x v="37"/>
    <x v="8"/>
    <x v="3"/>
    <x v="89"/>
    <x v="1"/>
    <x v="0"/>
    <x v="129"/>
    <x v="1"/>
    <x v="0"/>
    <x v="0"/>
    <x v="0"/>
    <x v="8"/>
    <x v="0"/>
    <x v="1"/>
    <x v="0"/>
    <x v="5"/>
    <x v="8"/>
    <x v="14"/>
    <x v="19"/>
    <x v="1"/>
    <x v="34"/>
    <x v="4"/>
    <x v="428"/>
    <x v="69"/>
    <x v="129"/>
    <x v="129"/>
    <x v="96"/>
    <x v="154"/>
    <x v="0"/>
    <x v="0"/>
    <x v="2"/>
    <x v="0"/>
    <x v="1"/>
    <x v="0"/>
    <x v="1"/>
    <x v="19"/>
    <x v="411"/>
    <x v="1"/>
    <x v="0"/>
    <x v="0"/>
    <x v="0"/>
    <x v="0"/>
    <x v="0"/>
    <x v="0"/>
  </r>
  <r>
    <x v="36"/>
    <x v="19"/>
    <x v="37"/>
    <x v="10"/>
    <x v="3"/>
    <x v="92"/>
    <x v="1"/>
    <x v="0"/>
    <x v="28"/>
    <x v="0"/>
    <x v="0"/>
    <x v="0"/>
    <x v="0"/>
    <x v="2"/>
    <x v="1"/>
    <x v="1"/>
    <x v="0"/>
    <x v="9"/>
    <x v="12"/>
    <x v="0"/>
    <x v="0"/>
    <x v="1"/>
    <x v="33"/>
    <x v="4"/>
    <x v="429"/>
    <x v="69"/>
    <x v="27"/>
    <x v="27"/>
    <x v="96"/>
    <x v="67"/>
    <x v="0"/>
    <x v="0"/>
    <x v="0"/>
    <x v="0"/>
    <x v="1"/>
    <x v="0"/>
    <x v="1"/>
    <x v="0"/>
    <x v="412"/>
    <x v="0"/>
    <x v="0"/>
    <x v="0"/>
    <x v="0"/>
    <x v="0"/>
    <x v="0"/>
    <x v="0"/>
  </r>
  <r>
    <x v="36"/>
    <x v="19"/>
    <x v="37"/>
    <x v="8"/>
    <x v="1"/>
    <x v="91"/>
    <x v="1"/>
    <x v="0"/>
    <x v="129"/>
    <x v="1"/>
    <x v="0"/>
    <x v="0"/>
    <x v="0"/>
    <x v="8"/>
    <x v="0"/>
    <x v="0"/>
    <x v="1"/>
    <x v="9"/>
    <x v="12"/>
    <x v="0"/>
    <x v="0"/>
    <x v="1"/>
    <x v="33"/>
    <x v="4"/>
    <x v="430"/>
    <x v="69"/>
    <x v="129"/>
    <x v="129"/>
    <x v="96"/>
    <x v="154"/>
    <x v="0"/>
    <x v="0"/>
    <x v="0"/>
    <x v="31"/>
    <x v="1"/>
    <x v="0"/>
    <x v="1"/>
    <x v="0"/>
    <x v="413"/>
    <x v="0"/>
    <x v="0"/>
    <x v="0"/>
    <x v="0"/>
    <x v="0"/>
    <x v="0"/>
    <x v="0"/>
  </r>
  <r>
    <x v="36"/>
    <x v="19"/>
    <x v="37"/>
    <x v="8"/>
    <x v="4"/>
    <x v="91"/>
    <x v="1"/>
    <x v="0"/>
    <x v="129"/>
    <x v="1"/>
    <x v="0"/>
    <x v="0"/>
    <x v="0"/>
    <x v="8"/>
    <x v="0"/>
    <x v="0"/>
    <x v="1"/>
    <x v="9"/>
    <x v="12"/>
    <x v="0"/>
    <x v="0"/>
    <x v="1"/>
    <x v="18"/>
    <x v="4"/>
    <x v="430"/>
    <x v="69"/>
    <x v="129"/>
    <x v="129"/>
    <x v="9"/>
    <x v="9"/>
    <x v="0"/>
    <x v="0"/>
    <x v="0"/>
    <x v="31"/>
    <x v="1"/>
    <x v="0"/>
    <x v="1"/>
    <x v="0"/>
    <x v="413"/>
    <x v="0"/>
    <x v="0"/>
    <x v="0"/>
    <x v="0"/>
    <x v="2"/>
    <x v="0"/>
    <x v="0"/>
  </r>
  <r>
    <x v="36"/>
    <x v="1"/>
    <x v="37"/>
    <x v="8"/>
    <x v="3"/>
    <x v="91"/>
    <x v="1"/>
    <x v="0"/>
    <x v="129"/>
    <x v="1"/>
    <x v="0"/>
    <x v="0"/>
    <x v="0"/>
    <x v="8"/>
    <x v="0"/>
    <x v="1"/>
    <x v="0"/>
    <x v="4"/>
    <x v="5"/>
    <x v="14"/>
    <x v="19"/>
    <x v="1"/>
    <x v="33"/>
    <x v="4"/>
    <x v="431"/>
    <x v="69"/>
    <x v="129"/>
    <x v="129"/>
    <x v="96"/>
    <x v="154"/>
    <x v="0"/>
    <x v="0"/>
    <x v="2"/>
    <x v="0"/>
    <x v="1"/>
    <x v="0"/>
    <x v="1"/>
    <x v="19"/>
    <x v="414"/>
    <x v="1"/>
    <x v="0"/>
    <x v="0"/>
    <x v="0"/>
    <x v="0"/>
    <x v="0"/>
    <x v="0"/>
  </r>
  <r>
    <x v="36"/>
    <x v="19"/>
    <x v="37"/>
    <x v="10"/>
    <x v="3"/>
    <x v="94"/>
    <x v="1"/>
    <x v="0"/>
    <x v="28"/>
    <x v="0"/>
    <x v="0"/>
    <x v="0"/>
    <x v="0"/>
    <x v="2"/>
    <x v="1"/>
    <x v="1"/>
    <x v="0"/>
    <x v="9"/>
    <x v="12"/>
    <x v="0"/>
    <x v="0"/>
    <x v="1"/>
    <x v="33"/>
    <x v="4"/>
    <x v="432"/>
    <x v="69"/>
    <x v="27"/>
    <x v="27"/>
    <x v="96"/>
    <x v="67"/>
    <x v="0"/>
    <x v="0"/>
    <x v="0"/>
    <x v="0"/>
    <x v="1"/>
    <x v="0"/>
    <x v="1"/>
    <x v="0"/>
    <x v="415"/>
    <x v="0"/>
    <x v="0"/>
    <x v="0"/>
    <x v="0"/>
    <x v="0"/>
    <x v="0"/>
    <x v="0"/>
  </r>
  <r>
    <x v="36"/>
    <x v="19"/>
    <x v="37"/>
    <x v="8"/>
    <x v="1"/>
    <x v="93"/>
    <x v="1"/>
    <x v="0"/>
    <x v="129"/>
    <x v="1"/>
    <x v="0"/>
    <x v="0"/>
    <x v="0"/>
    <x v="8"/>
    <x v="0"/>
    <x v="0"/>
    <x v="1"/>
    <x v="9"/>
    <x v="12"/>
    <x v="0"/>
    <x v="0"/>
    <x v="1"/>
    <x v="34"/>
    <x v="4"/>
    <x v="433"/>
    <x v="69"/>
    <x v="129"/>
    <x v="129"/>
    <x v="96"/>
    <x v="154"/>
    <x v="0"/>
    <x v="0"/>
    <x v="0"/>
    <x v="31"/>
    <x v="1"/>
    <x v="0"/>
    <x v="1"/>
    <x v="0"/>
    <x v="416"/>
    <x v="0"/>
    <x v="0"/>
    <x v="0"/>
    <x v="0"/>
    <x v="0"/>
    <x v="0"/>
    <x v="0"/>
  </r>
  <r>
    <x v="36"/>
    <x v="19"/>
    <x v="37"/>
    <x v="8"/>
    <x v="4"/>
    <x v="93"/>
    <x v="1"/>
    <x v="0"/>
    <x v="129"/>
    <x v="1"/>
    <x v="0"/>
    <x v="0"/>
    <x v="0"/>
    <x v="8"/>
    <x v="0"/>
    <x v="0"/>
    <x v="1"/>
    <x v="9"/>
    <x v="12"/>
    <x v="0"/>
    <x v="0"/>
    <x v="1"/>
    <x v="18"/>
    <x v="4"/>
    <x v="433"/>
    <x v="69"/>
    <x v="129"/>
    <x v="129"/>
    <x v="9"/>
    <x v="9"/>
    <x v="0"/>
    <x v="0"/>
    <x v="0"/>
    <x v="31"/>
    <x v="1"/>
    <x v="0"/>
    <x v="1"/>
    <x v="0"/>
    <x v="416"/>
    <x v="0"/>
    <x v="0"/>
    <x v="0"/>
    <x v="0"/>
    <x v="2"/>
    <x v="0"/>
    <x v="0"/>
  </r>
  <r>
    <x v="36"/>
    <x v="1"/>
    <x v="37"/>
    <x v="8"/>
    <x v="3"/>
    <x v="93"/>
    <x v="1"/>
    <x v="0"/>
    <x v="129"/>
    <x v="1"/>
    <x v="0"/>
    <x v="0"/>
    <x v="0"/>
    <x v="8"/>
    <x v="0"/>
    <x v="1"/>
    <x v="0"/>
    <x v="7"/>
    <x v="7"/>
    <x v="14"/>
    <x v="19"/>
    <x v="1"/>
    <x v="34"/>
    <x v="4"/>
    <x v="434"/>
    <x v="69"/>
    <x v="129"/>
    <x v="129"/>
    <x v="96"/>
    <x v="154"/>
    <x v="0"/>
    <x v="0"/>
    <x v="2"/>
    <x v="0"/>
    <x v="1"/>
    <x v="0"/>
    <x v="1"/>
    <x v="19"/>
    <x v="417"/>
    <x v="1"/>
    <x v="0"/>
    <x v="0"/>
    <x v="0"/>
    <x v="0"/>
    <x v="0"/>
    <x v="0"/>
  </r>
  <r>
    <x v="37"/>
    <x v="9"/>
    <x v="38"/>
    <x v="8"/>
    <x v="2"/>
    <x v="329"/>
    <x v="1"/>
    <x v="1"/>
    <x v="142"/>
    <x v="1"/>
    <x v="0"/>
    <x v="0"/>
    <x v="0"/>
    <x v="8"/>
    <x v="0"/>
    <x v="1"/>
    <x v="0"/>
    <x v="7"/>
    <x v="8"/>
    <x v="5"/>
    <x v="8"/>
    <x v="2"/>
    <x v="34"/>
    <x v="4"/>
    <x v="406"/>
    <x v="84"/>
    <x v="143"/>
    <x v="143"/>
    <x v="0"/>
    <x v="0"/>
    <x v="0"/>
    <x v="0"/>
    <x v="2"/>
    <x v="0"/>
    <x v="1"/>
    <x v="0"/>
    <x v="1"/>
    <x v="8"/>
    <x v="418"/>
    <x v="1"/>
    <x v="0"/>
    <x v="0"/>
    <x v="0"/>
    <x v="0"/>
    <x v="0"/>
    <x v="0"/>
  </r>
  <r>
    <x v="37"/>
    <x v="9"/>
    <x v="38"/>
    <x v="8"/>
    <x v="2"/>
    <x v="330"/>
    <x v="1"/>
    <x v="1"/>
    <x v="142"/>
    <x v="1"/>
    <x v="0"/>
    <x v="0"/>
    <x v="0"/>
    <x v="8"/>
    <x v="0"/>
    <x v="1"/>
    <x v="0"/>
    <x v="4"/>
    <x v="5"/>
    <x v="5"/>
    <x v="8"/>
    <x v="2"/>
    <x v="34"/>
    <x v="4"/>
    <x v="407"/>
    <x v="84"/>
    <x v="143"/>
    <x v="143"/>
    <x v="0"/>
    <x v="0"/>
    <x v="0"/>
    <x v="0"/>
    <x v="2"/>
    <x v="0"/>
    <x v="1"/>
    <x v="0"/>
    <x v="1"/>
    <x v="8"/>
    <x v="419"/>
    <x v="1"/>
    <x v="0"/>
    <x v="0"/>
    <x v="0"/>
    <x v="0"/>
    <x v="0"/>
    <x v="0"/>
  </r>
  <r>
    <x v="37"/>
    <x v="19"/>
    <x v="38"/>
    <x v="20"/>
    <x v="3"/>
    <x v="95"/>
    <x v="1"/>
    <x v="1"/>
    <x v="143"/>
    <x v="1"/>
    <x v="7"/>
    <x v="98"/>
    <x v="0"/>
    <x v="9"/>
    <x v="1"/>
    <x v="1"/>
    <x v="0"/>
    <x v="9"/>
    <x v="12"/>
    <x v="0"/>
    <x v="0"/>
    <x v="1"/>
    <x v="41"/>
    <x v="4"/>
    <x v="408"/>
    <x v="86"/>
    <x v="144"/>
    <x v="144"/>
    <x v="110"/>
    <x v="166"/>
    <x v="98"/>
    <x v="0"/>
    <x v="0"/>
    <x v="0"/>
    <x v="1"/>
    <x v="0"/>
    <x v="1"/>
    <x v="0"/>
    <x v="420"/>
    <x v="0"/>
    <x v="0"/>
    <x v="0"/>
    <x v="0"/>
    <x v="0"/>
    <x v="0"/>
    <x v="0"/>
  </r>
  <r>
    <x v="37"/>
    <x v="19"/>
    <x v="38"/>
    <x v="20"/>
    <x v="3"/>
    <x v="96"/>
    <x v="1"/>
    <x v="1"/>
    <x v="143"/>
    <x v="1"/>
    <x v="7"/>
    <x v="98"/>
    <x v="0"/>
    <x v="9"/>
    <x v="1"/>
    <x v="1"/>
    <x v="0"/>
    <x v="9"/>
    <x v="12"/>
    <x v="0"/>
    <x v="0"/>
    <x v="1"/>
    <x v="42"/>
    <x v="4"/>
    <x v="409"/>
    <x v="86"/>
    <x v="144"/>
    <x v="144"/>
    <x v="110"/>
    <x v="166"/>
    <x v="98"/>
    <x v="0"/>
    <x v="0"/>
    <x v="0"/>
    <x v="1"/>
    <x v="0"/>
    <x v="1"/>
    <x v="0"/>
    <x v="421"/>
    <x v="0"/>
    <x v="0"/>
    <x v="0"/>
    <x v="0"/>
    <x v="0"/>
    <x v="0"/>
    <x v="0"/>
  </r>
  <r>
    <x v="37"/>
    <x v="19"/>
    <x v="38"/>
    <x v="20"/>
    <x v="3"/>
    <x v="97"/>
    <x v="1"/>
    <x v="1"/>
    <x v="143"/>
    <x v="1"/>
    <x v="7"/>
    <x v="98"/>
    <x v="0"/>
    <x v="9"/>
    <x v="1"/>
    <x v="1"/>
    <x v="0"/>
    <x v="9"/>
    <x v="12"/>
    <x v="0"/>
    <x v="0"/>
    <x v="1"/>
    <x v="40"/>
    <x v="4"/>
    <x v="413"/>
    <x v="86"/>
    <x v="144"/>
    <x v="144"/>
    <x v="110"/>
    <x v="166"/>
    <x v="98"/>
    <x v="0"/>
    <x v="0"/>
    <x v="0"/>
    <x v="1"/>
    <x v="0"/>
    <x v="1"/>
    <x v="0"/>
    <x v="422"/>
    <x v="0"/>
    <x v="0"/>
    <x v="0"/>
    <x v="0"/>
    <x v="0"/>
    <x v="0"/>
    <x v="0"/>
  </r>
  <r>
    <x v="37"/>
    <x v="19"/>
    <x v="38"/>
    <x v="20"/>
    <x v="3"/>
    <x v="98"/>
    <x v="1"/>
    <x v="1"/>
    <x v="143"/>
    <x v="1"/>
    <x v="7"/>
    <x v="98"/>
    <x v="0"/>
    <x v="9"/>
    <x v="1"/>
    <x v="1"/>
    <x v="0"/>
    <x v="9"/>
    <x v="12"/>
    <x v="0"/>
    <x v="0"/>
    <x v="1"/>
    <x v="43"/>
    <x v="4"/>
    <x v="414"/>
    <x v="86"/>
    <x v="144"/>
    <x v="144"/>
    <x v="110"/>
    <x v="166"/>
    <x v="98"/>
    <x v="0"/>
    <x v="0"/>
    <x v="0"/>
    <x v="1"/>
    <x v="0"/>
    <x v="1"/>
    <x v="0"/>
    <x v="423"/>
    <x v="0"/>
    <x v="0"/>
    <x v="0"/>
    <x v="0"/>
    <x v="0"/>
    <x v="0"/>
    <x v="0"/>
  </r>
  <r>
    <x v="38"/>
    <x v="19"/>
    <x v="39"/>
    <x v="5"/>
    <x v="3"/>
    <x v="211"/>
    <x v="1"/>
    <x v="1"/>
    <x v="82"/>
    <x v="0"/>
    <x v="11"/>
    <x v="86"/>
    <x v="0"/>
    <x v="2"/>
    <x v="1"/>
    <x v="1"/>
    <x v="0"/>
    <x v="9"/>
    <x v="12"/>
    <x v="0"/>
    <x v="0"/>
    <x v="1"/>
    <x v="33"/>
    <x v="4"/>
    <x v="412"/>
    <x v="118"/>
    <x v="67"/>
    <x v="67"/>
    <x v="142"/>
    <x v="106"/>
    <x v="86"/>
    <x v="0"/>
    <x v="0"/>
    <x v="0"/>
    <x v="1"/>
    <x v="0"/>
    <x v="1"/>
    <x v="0"/>
    <x v="424"/>
    <x v="0"/>
    <x v="0"/>
    <x v="0"/>
    <x v="0"/>
    <x v="0"/>
    <x v="0"/>
    <x v="0"/>
  </r>
  <r>
    <x v="38"/>
    <x v="19"/>
    <x v="39"/>
    <x v="17"/>
    <x v="3"/>
    <x v="102"/>
    <x v="1"/>
    <x v="0"/>
    <x v="26"/>
    <x v="0"/>
    <x v="0"/>
    <x v="0"/>
    <x v="0"/>
    <x v="2"/>
    <x v="1"/>
    <x v="1"/>
    <x v="0"/>
    <x v="9"/>
    <x v="12"/>
    <x v="0"/>
    <x v="0"/>
    <x v="1"/>
    <x v="33"/>
    <x v="4"/>
    <x v="435"/>
    <x v="65"/>
    <x v="25"/>
    <x v="25"/>
    <x v="92"/>
    <x v="66"/>
    <x v="0"/>
    <x v="0"/>
    <x v="0"/>
    <x v="0"/>
    <x v="1"/>
    <x v="0"/>
    <x v="1"/>
    <x v="0"/>
    <x v="425"/>
    <x v="0"/>
    <x v="0"/>
    <x v="0"/>
    <x v="0"/>
    <x v="0"/>
    <x v="0"/>
    <x v="0"/>
  </r>
  <r>
    <x v="38"/>
    <x v="19"/>
    <x v="39"/>
    <x v="8"/>
    <x v="1"/>
    <x v="101"/>
    <x v="1"/>
    <x v="0"/>
    <x v="127"/>
    <x v="1"/>
    <x v="0"/>
    <x v="0"/>
    <x v="0"/>
    <x v="8"/>
    <x v="0"/>
    <x v="0"/>
    <x v="1"/>
    <x v="9"/>
    <x v="12"/>
    <x v="0"/>
    <x v="0"/>
    <x v="1"/>
    <x v="34"/>
    <x v="4"/>
    <x v="436"/>
    <x v="65"/>
    <x v="125"/>
    <x v="125"/>
    <x v="92"/>
    <x v="150"/>
    <x v="0"/>
    <x v="0"/>
    <x v="0"/>
    <x v="29"/>
    <x v="1"/>
    <x v="0"/>
    <x v="1"/>
    <x v="0"/>
    <x v="426"/>
    <x v="0"/>
    <x v="0"/>
    <x v="0"/>
    <x v="0"/>
    <x v="0"/>
    <x v="0"/>
    <x v="0"/>
  </r>
  <r>
    <x v="38"/>
    <x v="19"/>
    <x v="39"/>
    <x v="8"/>
    <x v="4"/>
    <x v="101"/>
    <x v="1"/>
    <x v="0"/>
    <x v="127"/>
    <x v="1"/>
    <x v="0"/>
    <x v="0"/>
    <x v="0"/>
    <x v="8"/>
    <x v="0"/>
    <x v="0"/>
    <x v="1"/>
    <x v="9"/>
    <x v="12"/>
    <x v="0"/>
    <x v="0"/>
    <x v="1"/>
    <x v="18"/>
    <x v="4"/>
    <x v="436"/>
    <x v="65"/>
    <x v="125"/>
    <x v="125"/>
    <x v="11"/>
    <x v="11"/>
    <x v="0"/>
    <x v="0"/>
    <x v="0"/>
    <x v="29"/>
    <x v="1"/>
    <x v="0"/>
    <x v="1"/>
    <x v="0"/>
    <x v="426"/>
    <x v="0"/>
    <x v="0"/>
    <x v="0"/>
    <x v="0"/>
    <x v="2"/>
    <x v="0"/>
    <x v="0"/>
  </r>
  <r>
    <x v="38"/>
    <x v="18"/>
    <x v="39"/>
    <x v="8"/>
    <x v="3"/>
    <x v="101"/>
    <x v="1"/>
    <x v="0"/>
    <x v="127"/>
    <x v="1"/>
    <x v="0"/>
    <x v="0"/>
    <x v="0"/>
    <x v="8"/>
    <x v="0"/>
    <x v="1"/>
    <x v="0"/>
    <x v="4"/>
    <x v="5"/>
    <x v="7"/>
    <x v="10"/>
    <x v="1"/>
    <x v="34"/>
    <x v="4"/>
    <x v="437"/>
    <x v="65"/>
    <x v="125"/>
    <x v="125"/>
    <x v="92"/>
    <x v="150"/>
    <x v="0"/>
    <x v="0"/>
    <x v="2"/>
    <x v="0"/>
    <x v="1"/>
    <x v="0"/>
    <x v="1"/>
    <x v="10"/>
    <x v="427"/>
    <x v="1"/>
    <x v="0"/>
    <x v="0"/>
    <x v="0"/>
    <x v="0"/>
    <x v="0"/>
    <x v="0"/>
  </r>
  <r>
    <x v="38"/>
    <x v="19"/>
    <x v="39"/>
    <x v="17"/>
    <x v="3"/>
    <x v="104"/>
    <x v="1"/>
    <x v="0"/>
    <x v="29"/>
    <x v="0"/>
    <x v="0"/>
    <x v="0"/>
    <x v="0"/>
    <x v="2"/>
    <x v="1"/>
    <x v="1"/>
    <x v="0"/>
    <x v="9"/>
    <x v="12"/>
    <x v="0"/>
    <x v="0"/>
    <x v="1"/>
    <x v="34"/>
    <x v="4"/>
    <x v="438"/>
    <x v="72"/>
    <x v="28"/>
    <x v="28"/>
    <x v="99"/>
    <x v="68"/>
    <x v="0"/>
    <x v="0"/>
    <x v="0"/>
    <x v="0"/>
    <x v="1"/>
    <x v="0"/>
    <x v="1"/>
    <x v="0"/>
    <x v="428"/>
    <x v="0"/>
    <x v="0"/>
    <x v="0"/>
    <x v="0"/>
    <x v="0"/>
    <x v="0"/>
    <x v="0"/>
  </r>
  <r>
    <x v="38"/>
    <x v="19"/>
    <x v="39"/>
    <x v="8"/>
    <x v="1"/>
    <x v="103"/>
    <x v="1"/>
    <x v="0"/>
    <x v="131"/>
    <x v="1"/>
    <x v="0"/>
    <x v="0"/>
    <x v="0"/>
    <x v="8"/>
    <x v="0"/>
    <x v="0"/>
    <x v="1"/>
    <x v="9"/>
    <x v="12"/>
    <x v="0"/>
    <x v="0"/>
    <x v="1"/>
    <x v="34"/>
    <x v="4"/>
    <x v="439"/>
    <x v="72"/>
    <x v="132"/>
    <x v="132"/>
    <x v="99"/>
    <x v="157"/>
    <x v="0"/>
    <x v="0"/>
    <x v="0"/>
    <x v="33"/>
    <x v="1"/>
    <x v="0"/>
    <x v="1"/>
    <x v="0"/>
    <x v="429"/>
    <x v="0"/>
    <x v="0"/>
    <x v="0"/>
    <x v="0"/>
    <x v="0"/>
    <x v="0"/>
    <x v="0"/>
  </r>
  <r>
    <x v="38"/>
    <x v="19"/>
    <x v="39"/>
    <x v="8"/>
    <x v="4"/>
    <x v="103"/>
    <x v="1"/>
    <x v="0"/>
    <x v="131"/>
    <x v="1"/>
    <x v="0"/>
    <x v="0"/>
    <x v="0"/>
    <x v="8"/>
    <x v="0"/>
    <x v="0"/>
    <x v="1"/>
    <x v="9"/>
    <x v="12"/>
    <x v="0"/>
    <x v="0"/>
    <x v="1"/>
    <x v="18"/>
    <x v="4"/>
    <x v="439"/>
    <x v="72"/>
    <x v="132"/>
    <x v="132"/>
    <x v="7"/>
    <x v="7"/>
    <x v="0"/>
    <x v="0"/>
    <x v="0"/>
    <x v="33"/>
    <x v="1"/>
    <x v="0"/>
    <x v="1"/>
    <x v="0"/>
    <x v="429"/>
    <x v="0"/>
    <x v="0"/>
    <x v="0"/>
    <x v="0"/>
    <x v="2"/>
    <x v="0"/>
    <x v="0"/>
  </r>
  <r>
    <x v="38"/>
    <x v="18"/>
    <x v="39"/>
    <x v="8"/>
    <x v="3"/>
    <x v="103"/>
    <x v="1"/>
    <x v="0"/>
    <x v="131"/>
    <x v="1"/>
    <x v="0"/>
    <x v="0"/>
    <x v="0"/>
    <x v="8"/>
    <x v="0"/>
    <x v="1"/>
    <x v="0"/>
    <x v="7"/>
    <x v="8"/>
    <x v="7"/>
    <x v="10"/>
    <x v="1"/>
    <x v="34"/>
    <x v="4"/>
    <x v="440"/>
    <x v="72"/>
    <x v="132"/>
    <x v="132"/>
    <x v="99"/>
    <x v="157"/>
    <x v="0"/>
    <x v="0"/>
    <x v="2"/>
    <x v="0"/>
    <x v="1"/>
    <x v="0"/>
    <x v="1"/>
    <x v="10"/>
    <x v="430"/>
    <x v="1"/>
    <x v="0"/>
    <x v="0"/>
    <x v="0"/>
    <x v="0"/>
    <x v="0"/>
    <x v="0"/>
  </r>
  <r>
    <x v="38"/>
    <x v="19"/>
    <x v="39"/>
    <x v="17"/>
    <x v="3"/>
    <x v="106"/>
    <x v="1"/>
    <x v="0"/>
    <x v="21"/>
    <x v="0"/>
    <x v="0"/>
    <x v="0"/>
    <x v="0"/>
    <x v="2"/>
    <x v="1"/>
    <x v="1"/>
    <x v="0"/>
    <x v="9"/>
    <x v="12"/>
    <x v="0"/>
    <x v="0"/>
    <x v="1"/>
    <x v="34"/>
    <x v="4"/>
    <x v="441"/>
    <x v="54"/>
    <x v="20"/>
    <x v="20"/>
    <x v="82"/>
    <x v="62"/>
    <x v="0"/>
    <x v="0"/>
    <x v="0"/>
    <x v="0"/>
    <x v="1"/>
    <x v="0"/>
    <x v="1"/>
    <x v="0"/>
    <x v="431"/>
    <x v="0"/>
    <x v="0"/>
    <x v="0"/>
    <x v="0"/>
    <x v="0"/>
    <x v="0"/>
    <x v="0"/>
  </r>
  <r>
    <x v="38"/>
    <x v="19"/>
    <x v="39"/>
    <x v="8"/>
    <x v="1"/>
    <x v="105"/>
    <x v="1"/>
    <x v="0"/>
    <x v="119"/>
    <x v="1"/>
    <x v="0"/>
    <x v="0"/>
    <x v="0"/>
    <x v="8"/>
    <x v="0"/>
    <x v="0"/>
    <x v="1"/>
    <x v="9"/>
    <x v="12"/>
    <x v="0"/>
    <x v="0"/>
    <x v="1"/>
    <x v="34"/>
    <x v="4"/>
    <x v="442"/>
    <x v="54"/>
    <x v="114"/>
    <x v="114"/>
    <x v="82"/>
    <x v="140"/>
    <x v="0"/>
    <x v="0"/>
    <x v="0"/>
    <x v="22"/>
    <x v="1"/>
    <x v="0"/>
    <x v="1"/>
    <x v="0"/>
    <x v="432"/>
    <x v="0"/>
    <x v="0"/>
    <x v="0"/>
    <x v="0"/>
    <x v="0"/>
    <x v="0"/>
    <x v="0"/>
  </r>
  <r>
    <x v="38"/>
    <x v="19"/>
    <x v="39"/>
    <x v="8"/>
    <x v="4"/>
    <x v="105"/>
    <x v="1"/>
    <x v="0"/>
    <x v="119"/>
    <x v="1"/>
    <x v="0"/>
    <x v="0"/>
    <x v="0"/>
    <x v="8"/>
    <x v="0"/>
    <x v="0"/>
    <x v="1"/>
    <x v="9"/>
    <x v="12"/>
    <x v="0"/>
    <x v="0"/>
    <x v="1"/>
    <x v="18"/>
    <x v="4"/>
    <x v="442"/>
    <x v="54"/>
    <x v="114"/>
    <x v="114"/>
    <x v="17"/>
    <x v="17"/>
    <x v="0"/>
    <x v="0"/>
    <x v="0"/>
    <x v="22"/>
    <x v="1"/>
    <x v="0"/>
    <x v="1"/>
    <x v="0"/>
    <x v="432"/>
    <x v="0"/>
    <x v="0"/>
    <x v="0"/>
    <x v="0"/>
    <x v="2"/>
    <x v="0"/>
    <x v="0"/>
  </r>
  <r>
    <x v="38"/>
    <x v="18"/>
    <x v="39"/>
    <x v="8"/>
    <x v="3"/>
    <x v="105"/>
    <x v="1"/>
    <x v="0"/>
    <x v="119"/>
    <x v="1"/>
    <x v="0"/>
    <x v="0"/>
    <x v="0"/>
    <x v="8"/>
    <x v="0"/>
    <x v="1"/>
    <x v="0"/>
    <x v="7"/>
    <x v="8"/>
    <x v="7"/>
    <x v="10"/>
    <x v="1"/>
    <x v="33"/>
    <x v="4"/>
    <x v="443"/>
    <x v="54"/>
    <x v="114"/>
    <x v="114"/>
    <x v="82"/>
    <x v="140"/>
    <x v="0"/>
    <x v="0"/>
    <x v="2"/>
    <x v="0"/>
    <x v="1"/>
    <x v="0"/>
    <x v="1"/>
    <x v="10"/>
    <x v="433"/>
    <x v="1"/>
    <x v="0"/>
    <x v="0"/>
    <x v="0"/>
    <x v="0"/>
    <x v="0"/>
    <x v="0"/>
  </r>
  <r>
    <x v="38"/>
    <x v="19"/>
    <x v="39"/>
    <x v="17"/>
    <x v="3"/>
    <x v="108"/>
    <x v="1"/>
    <x v="0"/>
    <x v="18"/>
    <x v="0"/>
    <x v="0"/>
    <x v="0"/>
    <x v="0"/>
    <x v="2"/>
    <x v="1"/>
    <x v="1"/>
    <x v="0"/>
    <x v="9"/>
    <x v="12"/>
    <x v="0"/>
    <x v="0"/>
    <x v="1"/>
    <x v="34"/>
    <x v="4"/>
    <x v="444"/>
    <x v="45"/>
    <x v="18"/>
    <x v="18"/>
    <x v="74"/>
    <x v="60"/>
    <x v="0"/>
    <x v="0"/>
    <x v="0"/>
    <x v="0"/>
    <x v="1"/>
    <x v="0"/>
    <x v="1"/>
    <x v="0"/>
    <x v="434"/>
    <x v="0"/>
    <x v="0"/>
    <x v="0"/>
    <x v="0"/>
    <x v="0"/>
    <x v="0"/>
    <x v="0"/>
  </r>
  <r>
    <x v="38"/>
    <x v="19"/>
    <x v="39"/>
    <x v="8"/>
    <x v="1"/>
    <x v="107"/>
    <x v="1"/>
    <x v="0"/>
    <x v="114"/>
    <x v="1"/>
    <x v="0"/>
    <x v="0"/>
    <x v="0"/>
    <x v="8"/>
    <x v="0"/>
    <x v="0"/>
    <x v="1"/>
    <x v="9"/>
    <x v="12"/>
    <x v="0"/>
    <x v="0"/>
    <x v="1"/>
    <x v="34"/>
    <x v="4"/>
    <x v="445"/>
    <x v="45"/>
    <x v="105"/>
    <x v="105"/>
    <x v="74"/>
    <x v="132"/>
    <x v="0"/>
    <x v="0"/>
    <x v="0"/>
    <x v="18"/>
    <x v="1"/>
    <x v="0"/>
    <x v="1"/>
    <x v="0"/>
    <x v="435"/>
    <x v="0"/>
    <x v="0"/>
    <x v="0"/>
    <x v="0"/>
    <x v="0"/>
    <x v="0"/>
    <x v="0"/>
  </r>
  <r>
    <x v="38"/>
    <x v="19"/>
    <x v="39"/>
    <x v="8"/>
    <x v="4"/>
    <x v="107"/>
    <x v="1"/>
    <x v="0"/>
    <x v="114"/>
    <x v="1"/>
    <x v="0"/>
    <x v="0"/>
    <x v="0"/>
    <x v="8"/>
    <x v="0"/>
    <x v="0"/>
    <x v="1"/>
    <x v="9"/>
    <x v="12"/>
    <x v="0"/>
    <x v="0"/>
    <x v="1"/>
    <x v="18"/>
    <x v="4"/>
    <x v="446"/>
    <x v="45"/>
    <x v="105"/>
    <x v="105"/>
    <x v="21"/>
    <x v="21"/>
    <x v="0"/>
    <x v="0"/>
    <x v="0"/>
    <x v="18"/>
    <x v="1"/>
    <x v="0"/>
    <x v="1"/>
    <x v="0"/>
    <x v="435"/>
    <x v="0"/>
    <x v="0"/>
    <x v="0"/>
    <x v="0"/>
    <x v="2"/>
    <x v="0"/>
    <x v="0"/>
  </r>
  <r>
    <x v="38"/>
    <x v="18"/>
    <x v="39"/>
    <x v="8"/>
    <x v="3"/>
    <x v="107"/>
    <x v="1"/>
    <x v="0"/>
    <x v="114"/>
    <x v="1"/>
    <x v="0"/>
    <x v="0"/>
    <x v="0"/>
    <x v="8"/>
    <x v="0"/>
    <x v="1"/>
    <x v="0"/>
    <x v="4"/>
    <x v="5"/>
    <x v="7"/>
    <x v="10"/>
    <x v="1"/>
    <x v="34"/>
    <x v="4"/>
    <x v="447"/>
    <x v="45"/>
    <x v="105"/>
    <x v="105"/>
    <x v="74"/>
    <x v="132"/>
    <x v="0"/>
    <x v="0"/>
    <x v="2"/>
    <x v="0"/>
    <x v="1"/>
    <x v="0"/>
    <x v="1"/>
    <x v="10"/>
    <x v="436"/>
    <x v="1"/>
    <x v="0"/>
    <x v="0"/>
    <x v="0"/>
    <x v="0"/>
    <x v="0"/>
    <x v="0"/>
  </r>
  <r>
    <x v="38"/>
    <x v="19"/>
    <x v="39"/>
    <x v="17"/>
    <x v="3"/>
    <x v="125"/>
    <x v="1"/>
    <x v="0"/>
    <x v="6"/>
    <x v="0"/>
    <x v="0"/>
    <x v="0"/>
    <x v="0"/>
    <x v="2"/>
    <x v="1"/>
    <x v="1"/>
    <x v="0"/>
    <x v="9"/>
    <x v="12"/>
    <x v="0"/>
    <x v="0"/>
    <x v="1"/>
    <x v="34"/>
    <x v="4"/>
    <x v="470"/>
    <x v="16"/>
    <x v="6"/>
    <x v="6"/>
    <x v="55"/>
    <x v="48"/>
    <x v="0"/>
    <x v="0"/>
    <x v="0"/>
    <x v="0"/>
    <x v="1"/>
    <x v="0"/>
    <x v="1"/>
    <x v="0"/>
    <x v="437"/>
    <x v="0"/>
    <x v="0"/>
    <x v="0"/>
    <x v="0"/>
    <x v="0"/>
    <x v="0"/>
    <x v="0"/>
  </r>
  <r>
    <x v="38"/>
    <x v="19"/>
    <x v="39"/>
    <x v="8"/>
    <x v="1"/>
    <x v="124"/>
    <x v="1"/>
    <x v="0"/>
    <x v="95"/>
    <x v="1"/>
    <x v="0"/>
    <x v="0"/>
    <x v="0"/>
    <x v="8"/>
    <x v="0"/>
    <x v="0"/>
    <x v="1"/>
    <x v="9"/>
    <x v="12"/>
    <x v="0"/>
    <x v="0"/>
    <x v="1"/>
    <x v="34"/>
    <x v="4"/>
    <x v="471"/>
    <x v="16"/>
    <x v="80"/>
    <x v="80"/>
    <x v="55"/>
    <x v="117"/>
    <x v="0"/>
    <x v="0"/>
    <x v="0"/>
    <x v="9"/>
    <x v="1"/>
    <x v="0"/>
    <x v="1"/>
    <x v="0"/>
    <x v="438"/>
    <x v="0"/>
    <x v="0"/>
    <x v="0"/>
    <x v="0"/>
    <x v="0"/>
    <x v="0"/>
    <x v="0"/>
  </r>
  <r>
    <x v="38"/>
    <x v="19"/>
    <x v="39"/>
    <x v="8"/>
    <x v="4"/>
    <x v="124"/>
    <x v="1"/>
    <x v="0"/>
    <x v="95"/>
    <x v="1"/>
    <x v="0"/>
    <x v="0"/>
    <x v="0"/>
    <x v="8"/>
    <x v="0"/>
    <x v="0"/>
    <x v="1"/>
    <x v="9"/>
    <x v="12"/>
    <x v="0"/>
    <x v="0"/>
    <x v="1"/>
    <x v="18"/>
    <x v="4"/>
    <x v="472"/>
    <x v="16"/>
    <x v="80"/>
    <x v="80"/>
    <x v="31"/>
    <x v="31"/>
    <x v="0"/>
    <x v="0"/>
    <x v="0"/>
    <x v="9"/>
    <x v="1"/>
    <x v="0"/>
    <x v="1"/>
    <x v="0"/>
    <x v="438"/>
    <x v="0"/>
    <x v="0"/>
    <x v="0"/>
    <x v="0"/>
    <x v="2"/>
    <x v="0"/>
    <x v="0"/>
  </r>
  <r>
    <x v="38"/>
    <x v="18"/>
    <x v="39"/>
    <x v="8"/>
    <x v="3"/>
    <x v="124"/>
    <x v="1"/>
    <x v="0"/>
    <x v="95"/>
    <x v="1"/>
    <x v="0"/>
    <x v="0"/>
    <x v="0"/>
    <x v="8"/>
    <x v="0"/>
    <x v="1"/>
    <x v="0"/>
    <x v="1"/>
    <x v="0"/>
    <x v="7"/>
    <x v="10"/>
    <x v="1"/>
    <x v="34"/>
    <x v="4"/>
    <x v="473"/>
    <x v="16"/>
    <x v="80"/>
    <x v="80"/>
    <x v="55"/>
    <x v="117"/>
    <x v="0"/>
    <x v="0"/>
    <x v="2"/>
    <x v="0"/>
    <x v="1"/>
    <x v="0"/>
    <x v="1"/>
    <x v="10"/>
    <x v="439"/>
    <x v="1"/>
    <x v="0"/>
    <x v="0"/>
    <x v="0"/>
    <x v="0"/>
    <x v="0"/>
    <x v="0"/>
  </r>
  <r>
    <x v="38"/>
    <x v="19"/>
    <x v="39"/>
    <x v="17"/>
    <x v="3"/>
    <x v="127"/>
    <x v="1"/>
    <x v="0"/>
    <x v="11"/>
    <x v="0"/>
    <x v="0"/>
    <x v="0"/>
    <x v="0"/>
    <x v="2"/>
    <x v="1"/>
    <x v="1"/>
    <x v="0"/>
    <x v="9"/>
    <x v="12"/>
    <x v="0"/>
    <x v="0"/>
    <x v="1"/>
    <x v="33"/>
    <x v="4"/>
    <x v="474"/>
    <x v="26"/>
    <x v="11"/>
    <x v="11"/>
    <x v="60"/>
    <x v="53"/>
    <x v="0"/>
    <x v="0"/>
    <x v="0"/>
    <x v="0"/>
    <x v="1"/>
    <x v="0"/>
    <x v="1"/>
    <x v="0"/>
    <x v="440"/>
    <x v="0"/>
    <x v="0"/>
    <x v="0"/>
    <x v="0"/>
    <x v="0"/>
    <x v="0"/>
    <x v="0"/>
  </r>
  <r>
    <x v="38"/>
    <x v="19"/>
    <x v="39"/>
    <x v="8"/>
    <x v="1"/>
    <x v="126"/>
    <x v="1"/>
    <x v="0"/>
    <x v="100"/>
    <x v="1"/>
    <x v="0"/>
    <x v="0"/>
    <x v="0"/>
    <x v="8"/>
    <x v="0"/>
    <x v="0"/>
    <x v="1"/>
    <x v="9"/>
    <x v="12"/>
    <x v="0"/>
    <x v="0"/>
    <x v="1"/>
    <x v="33"/>
    <x v="4"/>
    <x v="475"/>
    <x v="26"/>
    <x v="86"/>
    <x v="86"/>
    <x v="60"/>
    <x v="118"/>
    <x v="0"/>
    <x v="0"/>
    <x v="0"/>
    <x v="10"/>
    <x v="1"/>
    <x v="0"/>
    <x v="1"/>
    <x v="0"/>
    <x v="441"/>
    <x v="0"/>
    <x v="0"/>
    <x v="0"/>
    <x v="0"/>
    <x v="0"/>
    <x v="0"/>
    <x v="0"/>
  </r>
  <r>
    <x v="38"/>
    <x v="19"/>
    <x v="39"/>
    <x v="8"/>
    <x v="4"/>
    <x v="126"/>
    <x v="1"/>
    <x v="0"/>
    <x v="100"/>
    <x v="1"/>
    <x v="0"/>
    <x v="0"/>
    <x v="0"/>
    <x v="8"/>
    <x v="0"/>
    <x v="0"/>
    <x v="1"/>
    <x v="9"/>
    <x v="12"/>
    <x v="0"/>
    <x v="0"/>
    <x v="1"/>
    <x v="18"/>
    <x v="4"/>
    <x v="475"/>
    <x v="26"/>
    <x v="86"/>
    <x v="86"/>
    <x v="29"/>
    <x v="29"/>
    <x v="0"/>
    <x v="0"/>
    <x v="0"/>
    <x v="10"/>
    <x v="1"/>
    <x v="0"/>
    <x v="1"/>
    <x v="0"/>
    <x v="441"/>
    <x v="0"/>
    <x v="0"/>
    <x v="0"/>
    <x v="0"/>
    <x v="2"/>
    <x v="0"/>
    <x v="0"/>
  </r>
  <r>
    <x v="38"/>
    <x v="18"/>
    <x v="39"/>
    <x v="8"/>
    <x v="3"/>
    <x v="126"/>
    <x v="1"/>
    <x v="0"/>
    <x v="100"/>
    <x v="1"/>
    <x v="0"/>
    <x v="0"/>
    <x v="0"/>
    <x v="8"/>
    <x v="0"/>
    <x v="1"/>
    <x v="0"/>
    <x v="1"/>
    <x v="0"/>
    <x v="7"/>
    <x v="10"/>
    <x v="1"/>
    <x v="33"/>
    <x v="4"/>
    <x v="476"/>
    <x v="26"/>
    <x v="86"/>
    <x v="86"/>
    <x v="60"/>
    <x v="118"/>
    <x v="0"/>
    <x v="0"/>
    <x v="2"/>
    <x v="0"/>
    <x v="1"/>
    <x v="0"/>
    <x v="1"/>
    <x v="10"/>
    <x v="442"/>
    <x v="1"/>
    <x v="0"/>
    <x v="0"/>
    <x v="0"/>
    <x v="0"/>
    <x v="0"/>
    <x v="0"/>
  </r>
  <r>
    <x v="39"/>
    <x v="18"/>
    <x v="40"/>
    <x v="8"/>
    <x v="3"/>
    <x v="111"/>
    <x v="1"/>
    <x v="0"/>
    <x v="115"/>
    <x v="1"/>
    <x v="0"/>
    <x v="0"/>
    <x v="0"/>
    <x v="8"/>
    <x v="0"/>
    <x v="1"/>
    <x v="0"/>
    <x v="7"/>
    <x v="8"/>
    <x v="7"/>
    <x v="10"/>
    <x v="1"/>
    <x v="33"/>
    <x v="4"/>
    <x v="450"/>
    <x v="48"/>
    <x v="108"/>
    <x v="108"/>
    <x v="77"/>
    <x v="135"/>
    <x v="0"/>
    <x v="0"/>
    <x v="2"/>
    <x v="0"/>
    <x v="1"/>
    <x v="0"/>
    <x v="1"/>
    <x v="10"/>
    <x v="443"/>
    <x v="1"/>
    <x v="0"/>
    <x v="0"/>
    <x v="0"/>
    <x v="0"/>
    <x v="0"/>
    <x v="0"/>
  </r>
  <r>
    <x v="39"/>
    <x v="18"/>
    <x v="40"/>
    <x v="8"/>
    <x v="3"/>
    <x v="113"/>
    <x v="1"/>
    <x v="0"/>
    <x v="113"/>
    <x v="1"/>
    <x v="0"/>
    <x v="0"/>
    <x v="0"/>
    <x v="8"/>
    <x v="0"/>
    <x v="1"/>
    <x v="0"/>
    <x v="4"/>
    <x v="5"/>
    <x v="7"/>
    <x v="10"/>
    <x v="1"/>
    <x v="34"/>
    <x v="4"/>
    <x v="453"/>
    <x v="42"/>
    <x v="102"/>
    <x v="102"/>
    <x v="71"/>
    <x v="129"/>
    <x v="0"/>
    <x v="0"/>
    <x v="2"/>
    <x v="0"/>
    <x v="1"/>
    <x v="0"/>
    <x v="1"/>
    <x v="10"/>
    <x v="444"/>
    <x v="1"/>
    <x v="0"/>
    <x v="0"/>
    <x v="0"/>
    <x v="0"/>
    <x v="0"/>
    <x v="0"/>
  </r>
  <r>
    <x v="39"/>
    <x v="18"/>
    <x v="40"/>
    <x v="8"/>
    <x v="3"/>
    <x v="115"/>
    <x v="1"/>
    <x v="0"/>
    <x v="4"/>
    <x v="1"/>
    <x v="0"/>
    <x v="0"/>
    <x v="0"/>
    <x v="8"/>
    <x v="0"/>
    <x v="1"/>
    <x v="0"/>
    <x v="7"/>
    <x v="8"/>
    <x v="7"/>
    <x v="10"/>
    <x v="1"/>
    <x v="34"/>
    <x v="4"/>
    <x v="456"/>
    <x v="0"/>
    <x v="4"/>
    <x v="4"/>
    <x v="42"/>
    <x v="46"/>
    <x v="0"/>
    <x v="0"/>
    <x v="2"/>
    <x v="0"/>
    <x v="1"/>
    <x v="0"/>
    <x v="1"/>
    <x v="10"/>
    <x v="445"/>
    <x v="1"/>
    <x v="0"/>
    <x v="0"/>
    <x v="0"/>
    <x v="0"/>
    <x v="0"/>
    <x v="0"/>
  </r>
  <r>
    <x v="39"/>
    <x v="19"/>
    <x v="40"/>
    <x v="8"/>
    <x v="1"/>
    <x v="111"/>
    <x v="1"/>
    <x v="0"/>
    <x v="115"/>
    <x v="1"/>
    <x v="0"/>
    <x v="0"/>
    <x v="0"/>
    <x v="8"/>
    <x v="0"/>
    <x v="0"/>
    <x v="1"/>
    <x v="9"/>
    <x v="12"/>
    <x v="0"/>
    <x v="0"/>
    <x v="1"/>
    <x v="33"/>
    <x v="4"/>
    <x v="449"/>
    <x v="48"/>
    <x v="108"/>
    <x v="108"/>
    <x v="77"/>
    <x v="135"/>
    <x v="0"/>
    <x v="0"/>
    <x v="0"/>
    <x v="19"/>
    <x v="1"/>
    <x v="0"/>
    <x v="1"/>
    <x v="0"/>
    <x v="446"/>
    <x v="0"/>
    <x v="0"/>
    <x v="0"/>
    <x v="0"/>
    <x v="0"/>
    <x v="0"/>
    <x v="0"/>
  </r>
  <r>
    <x v="39"/>
    <x v="19"/>
    <x v="40"/>
    <x v="8"/>
    <x v="4"/>
    <x v="111"/>
    <x v="1"/>
    <x v="0"/>
    <x v="115"/>
    <x v="1"/>
    <x v="0"/>
    <x v="0"/>
    <x v="0"/>
    <x v="8"/>
    <x v="0"/>
    <x v="0"/>
    <x v="1"/>
    <x v="9"/>
    <x v="12"/>
    <x v="0"/>
    <x v="0"/>
    <x v="1"/>
    <x v="18"/>
    <x v="4"/>
    <x v="449"/>
    <x v="48"/>
    <x v="108"/>
    <x v="108"/>
    <x v="20"/>
    <x v="20"/>
    <x v="0"/>
    <x v="0"/>
    <x v="0"/>
    <x v="19"/>
    <x v="1"/>
    <x v="0"/>
    <x v="1"/>
    <x v="0"/>
    <x v="446"/>
    <x v="0"/>
    <x v="0"/>
    <x v="0"/>
    <x v="0"/>
    <x v="2"/>
    <x v="0"/>
    <x v="0"/>
  </r>
  <r>
    <x v="39"/>
    <x v="19"/>
    <x v="40"/>
    <x v="5"/>
    <x v="3"/>
    <x v="213"/>
    <x v="1"/>
    <x v="1"/>
    <x v="63"/>
    <x v="0"/>
    <x v="11"/>
    <x v="59"/>
    <x v="0"/>
    <x v="2"/>
    <x v="1"/>
    <x v="1"/>
    <x v="0"/>
    <x v="9"/>
    <x v="12"/>
    <x v="0"/>
    <x v="0"/>
    <x v="1"/>
    <x v="34"/>
    <x v="4"/>
    <x v="457"/>
    <x v="100"/>
    <x v="48"/>
    <x v="48"/>
    <x v="124"/>
    <x v="87"/>
    <x v="59"/>
    <x v="0"/>
    <x v="0"/>
    <x v="0"/>
    <x v="1"/>
    <x v="0"/>
    <x v="1"/>
    <x v="0"/>
    <x v="447"/>
    <x v="0"/>
    <x v="0"/>
    <x v="0"/>
    <x v="0"/>
    <x v="0"/>
    <x v="0"/>
    <x v="0"/>
  </r>
  <r>
    <x v="39"/>
    <x v="19"/>
    <x v="40"/>
    <x v="0"/>
    <x v="3"/>
    <x v="117"/>
    <x v="1"/>
    <x v="1"/>
    <x v="56"/>
    <x v="2"/>
    <x v="0"/>
    <x v="0"/>
    <x v="0"/>
    <x v="9"/>
    <x v="1"/>
    <x v="1"/>
    <x v="0"/>
    <x v="9"/>
    <x v="12"/>
    <x v="0"/>
    <x v="0"/>
    <x v="1"/>
    <x v="15"/>
    <x v="4"/>
    <x v="461"/>
    <x v="66"/>
    <x v="126"/>
    <x v="126"/>
    <x v="93"/>
    <x v="151"/>
    <x v="0"/>
    <x v="0"/>
    <x v="0"/>
    <x v="0"/>
    <x v="1"/>
    <x v="0"/>
    <x v="1"/>
    <x v="0"/>
    <x v="448"/>
    <x v="0"/>
    <x v="0"/>
    <x v="0"/>
    <x v="0"/>
    <x v="0"/>
    <x v="0"/>
    <x v="0"/>
  </r>
  <r>
    <x v="39"/>
    <x v="19"/>
    <x v="40"/>
    <x v="8"/>
    <x v="1"/>
    <x v="113"/>
    <x v="1"/>
    <x v="0"/>
    <x v="113"/>
    <x v="1"/>
    <x v="0"/>
    <x v="0"/>
    <x v="0"/>
    <x v="8"/>
    <x v="0"/>
    <x v="0"/>
    <x v="1"/>
    <x v="9"/>
    <x v="12"/>
    <x v="0"/>
    <x v="0"/>
    <x v="1"/>
    <x v="34"/>
    <x v="4"/>
    <x v="452"/>
    <x v="42"/>
    <x v="102"/>
    <x v="102"/>
    <x v="71"/>
    <x v="129"/>
    <x v="0"/>
    <x v="0"/>
    <x v="0"/>
    <x v="17"/>
    <x v="1"/>
    <x v="0"/>
    <x v="1"/>
    <x v="0"/>
    <x v="449"/>
    <x v="0"/>
    <x v="0"/>
    <x v="0"/>
    <x v="0"/>
    <x v="0"/>
    <x v="0"/>
    <x v="0"/>
  </r>
  <r>
    <x v="39"/>
    <x v="19"/>
    <x v="40"/>
    <x v="8"/>
    <x v="4"/>
    <x v="113"/>
    <x v="1"/>
    <x v="0"/>
    <x v="113"/>
    <x v="1"/>
    <x v="0"/>
    <x v="0"/>
    <x v="0"/>
    <x v="8"/>
    <x v="0"/>
    <x v="0"/>
    <x v="1"/>
    <x v="9"/>
    <x v="12"/>
    <x v="0"/>
    <x v="0"/>
    <x v="1"/>
    <x v="18"/>
    <x v="4"/>
    <x v="452"/>
    <x v="42"/>
    <x v="102"/>
    <x v="102"/>
    <x v="22"/>
    <x v="22"/>
    <x v="0"/>
    <x v="0"/>
    <x v="0"/>
    <x v="17"/>
    <x v="1"/>
    <x v="0"/>
    <x v="1"/>
    <x v="0"/>
    <x v="449"/>
    <x v="0"/>
    <x v="0"/>
    <x v="0"/>
    <x v="0"/>
    <x v="2"/>
    <x v="0"/>
    <x v="0"/>
  </r>
  <r>
    <x v="39"/>
    <x v="19"/>
    <x v="40"/>
    <x v="8"/>
    <x v="1"/>
    <x v="115"/>
    <x v="1"/>
    <x v="0"/>
    <x v="4"/>
    <x v="1"/>
    <x v="0"/>
    <x v="0"/>
    <x v="0"/>
    <x v="8"/>
    <x v="0"/>
    <x v="0"/>
    <x v="1"/>
    <x v="9"/>
    <x v="12"/>
    <x v="0"/>
    <x v="0"/>
    <x v="1"/>
    <x v="34"/>
    <x v="4"/>
    <x v="455"/>
    <x v="0"/>
    <x v="4"/>
    <x v="4"/>
    <x v="42"/>
    <x v="46"/>
    <x v="0"/>
    <x v="0"/>
    <x v="0"/>
    <x v="1"/>
    <x v="1"/>
    <x v="0"/>
    <x v="1"/>
    <x v="0"/>
    <x v="450"/>
    <x v="0"/>
    <x v="0"/>
    <x v="0"/>
    <x v="0"/>
    <x v="0"/>
    <x v="0"/>
    <x v="0"/>
  </r>
  <r>
    <x v="39"/>
    <x v="19"/>
    <x v="40"/>
    <x v="8"/>
    <x v="4"/>
    <x v="115"/>
    <x v="1"/>
    <x v="0"/>
    <x v="4"/>
    <x v="1"/>
    <x v="0"/>
    <x v="0"/>
    <x v="0"/>
    <x v="8"/>
    <x v="0"/>
    <x v="0"/>
    <x v="1"/>
    <x v="9"/>
    <x v="12"/>
    <x v="0"/>
    <x v="0"/>
    <x v="1"/>
    <x v="18"/>
    <x v="4"/>
    <x v="455"/>
    <x v="0"/>
    <x v="4"/>
    <x v="4"/>
    <x v="40"/>
    <x v="40"/>
    <x v="0"/>
    <x v="0"/>
    <x v="0"/>
    <x v="1"/>
    <x v="1"/>
    <x v="0"/>
    <x v="1"/>
    <x v="0"/>
    <x v="450"/>
    <x v="0"/>
    <x v="0"/>
    <x v="0"/>
    <x v="0"/>
    <x v="2"/>
    <x v="0"/>
    <x v="0"/>
  </r>
  <r>
    <x v="39"/>
    <x v="19"/>
    <x v="40"/>
    <x v="20"/>
    <x v="3"/>
    <x v="109"/>
    <x v="1"/>
    <x v="1"/>
    <x v="143"/>
    <x v="1"/>
    <x v="7"/>
    <x v="98"/>
    <x v="0"/>
    <x v="9"/>
    <x v="1"/>
    <x v="1"/>
    <x v="0"/>
    <x v="9"/>
    <x v="12"/>
    <x v="0"/>
    <x v="0"/>
    <x v="1"/>
    <x v="38"/>
    <x v="4"/>
    <x v="410"/>
    <x v="86"/>
    <x v="144"/>
    <x v="144"/>
    <x v="110"/>
    <x v="166"/>
    <x v="98"/>
    <x v="0"/>
    <x v="0"/>
    <x v="0"/>
    <x v="1"/>
    <x v="0"/>
    <x v="1"/>
    <x v="0"/>
    <x v="451"/>
    <x v="0"/>
    <x v="0"/>
    <x v="0"/>
    <x v="0"/>
    <x v="0"/>
    <x v="0"/>
    <x v="0"/>
  </r>
  <r>
    <x v="39"/>
    <x v="19"/>
    <x v="40"/>
    <x v="20"/>
    <x v="3"/>
    <x v="110"/>
    <x v="1"/>
    <x v="1"/>
    <x v="143"/>
    <x v="1"/>
    <x v="7"/>
    <x v="98"/>
    <x v="0"/>
    <x v="9"/>
    <x v="1"/>
    <x v="1"/>
    <x v="0"/>
    <x v="9"/>
    <x v="12"/>
    <x v="0"/>
    <x v="0"/>
    <x v="1"/>
    <x v="39"/>
    <x v="4"/>
    <x v="411"/>
    <x v="86"/>
    <x v="144"/>
    <x v="144"/>
    <x v="110"/>
    <x v="166"/>
    <x v="98"/>
    <x v="0"/>
    <x v="0"/>
    <x v="0"/>
    <x v="1"/>
    <x v="0"/>
    <x v="1"/>
    <x v="0"/>
    <x v="452"/>
    <x v="0"/>
    <x v="0"/>
    <x v="0"/>
    <x v="0"/>
    <x v="0"/>
    <x v="0"/>
    <x v="0"/>
  </r>
  <r>
    <x v="39"/>
    <x v="19"/>
    <x v="40"/>
    <x v="17"/>
    <x v="3"/>
    <x v="112"/>
    <x v="1"/>
    <x v="0"/>
    <x v="19"/>
    <x v="0"/>
    <x v="0"/>
    <x v="0"/>
    <x v="0"/>
    <x v="2"/>
    <x v="1"/>
    <x v="1"/>
    <x v="0"/>
    <x v="9"/>
    <x v="12"/>
    <x v="0"/>
    <x v="0"/>
    <x v="1"/>
    <x v="34"/>
    <x v="4"/>
    <x v="448"/>
    <x v="48"/>
    <x v="19"/>
    <x v="19"/>
    <x v="77"/>
    <x v="61"/>
    <x v="0"/>
    <x v="0"/>
    <x v="0"/>
    <x v="0"/>
    <x v="1"/>
    <x v="0"/>
    <x v="1"/>
    <x v="0"/>
    <x v="453"/>
    <x v="0"/>
    <x v="0"/>
    <x v="0"/>
    <x v="0"/>
    <x v="0"/>
    <x v="0"/>
    <x v="0"/>
  </r>
  <r>
    <x v="39"/>
    <x v="19"/>
    <x v="40"/>
    <x v="17"/>
    <x v="3"/>
    <x v="114"/>
    <x v="1"/>
    <x v="0"/>
    <x v="17"/>
    <x v="0"/>
    <x v="0"/>
    <x v="0"/>
    <x v="0"/>
    <x v="2"/>
    <x v="1"/>
    <x v="1"/>
    <x v="0"/>
    <x v="9"/>
    <x v="12"/>
    <x v="0"/>
    <x v="0"/>
    <x v="1"/>
    <x v="34"/>
    <x v="4"/>
    <x v="451"/>
    <x v="42"/>
    <x v="17"/>
    <x v="17"/>
    <x v="71"/>
    <x v="59"/>
    <x v="0"/>
    <x v="0"/>
    <x v="0"/>
    <x v="0"/>
    <x v="1"/>
    <x v="0"/>
    <x v="1"/>
    <x v="0"/>
    <x v="454"/>
    <x v="0"/>
    <x v="0"/>
    <x v="0"/>
    <x v="0"/>
    <x v="0"/>
    <x v="0"/>
    <x v="0"/>
  </r>
  <r>
    <x v="39"/>
    <x v="19"/>
    <x v="40"/>
    <x v="17"/>
    <x v="3"/>
    <x v="116"/>
    <x v="1"/>
    <x v="0"/>
    <x v="0"/>
    <x v="0"/>
    <x v="0"/>
    <x v="0"/>
    <x v="0"/>
    <x v="2"/>
    <x v="1"/>
    <x v="1"/>
    <x v="0"/>
    <x v="9"/>
    <x v="12"/>
    <x v="0"/>
    <x v="0"/>
    <x v="1"/>
    <x v="33"/>
    <x v="4"/>
    <x v="454"/>
    <x v="0"/>
    <x v="0"/>
    <x v="0"/>
    <x v="42"/>
    <x v="42"/>
    <x v="0"/>
    <x v="0"/>
    <x v="0"/>
    <x v="0"/>
    <x v="1"/>
    <x v="0"/>
    <x v="1"/>
    <x v="0"/>
    <x v="455"/>
    <x v="0"/>
    <x v="0"/>
    <x v="0"/>
    <x v="0"/>
    <x v="0"/>
    <x v="0"/>
    <x v="0"/>
  </r>
  <r>
    <x v="39"/>
    <x v="9"/>
    <x v="40"/>
    <x v="8"/>
    <x v="2"/>
    <x v="338"/>
    <x v="1"/>
    <x v="1"/>
    <x v="20"/>
    <x v="2"/>
    <x v="0"/>
    <x v="0"/>
    <x v="0"/>
    <x v="5"/>
    <x v="1"/>
    <x v="1"/>
    <x v="0"/>
    <x v="9"/>
    <x v="12"/>
    <x v="0"/>
    <x v="0"/>
    <x v="3"/>
    <x v="26"/>
    <x v="4"/>
    <x v="489"/>
    <x v="13"/>
    <x v="77"/>
    <x v="77"/>
    <x v="34"/>
    <x v="34"/>
    <x v="0"/>
    <x v="0"/>
    <x v="0"/>
    <x v="0"/>
    <x v="1"/>
    <x v="0"/>
    <x v="1"/>
    <x v="0"/>
    <x v="456"/>
    <x v="0"/>
    <x v="0"/>
    <x v="0"/>
    <x v="0"/>
    <x v="0"/>
    <x v="0"/>
    <x v="0"/>
  </r>
  <r>
    <x v="39"/>
    <x v="9"/>
    <x v="40"/>
    <x v="8"/>
    <x v="2"/>
    <x v="339"/>
    <x v="1"/>
    <x v="1"/>
    <x v="22"/>
    <x v="2"/>
    <x v="0"/>
    <x v="0"/>
    <x v="0"/>
    <x v="5"/>
    <x v="1"/>
    <x v="1"/>
    <x v="0"/>
    <x v="9"/>
    <x v="12"/>
    <x v="0"/>
    <x v="0"/>
    <x v="3"/>
    <x v="25"/>
    <x v="4"/>
    <x v="490"/>
    <x v="20"/>
    <x v="82"/>
    <x v="82"/>
    <x v="30"/>
    <x v="30"/>
    <x v="0"/>
    <x v="0"/>
    <x v="0"/>
    <x v="0"/>
    <x v="1"/>
    <x v="0"/>
    <x v="1"/>
    <x v="0"/>
    <x v="457"/>
    <x v="0"/>
    <x v="0"/>
    <x v="0"/>
    <x v="0"/>
    <x v="0"/>
    <x v="0"/>
    <x v="0"/>
  </r>
  <r>
    <x v="40"/>
    <x v="19"/>
    <x v="41"/>
    <x v="5"/>
    <x v="3"/>
    <x v="215"/>
    <x v="1"/>
    <x v="1"/>
    <x v="65"/>
    <x v="0"/>
    <x v="11"/>
    <x v="62"/>
    <x v="0"/>
    <x v="2"/>
    <x v="1"/>
    <x v="1"/>
    <x v="0"/>
    <x v="9"/>
    <x v="12"/>
    <x v="0"/>
    <x v="0"/>
    <x v="1"/>
    <x v="33"/>
    <x v="4"/>
    <x v="458"/>
    <x v="102"/>
    <x v="50"/>
    <x v="50"/>
    <x v="126"/>
    <x v="89"/>
    <x v="62"/>
    <x v="0"/>
    <x v="0"/>
    <x v="0"/>
    <x v="1"/>
    <x v="0"/>
    <x v="1"/>
    <x v="0"/>
    <x v="458"/>
    <x v="0"/>
    <x v="0"/>
    <x v="0"/>
    <x v="0"/>
    <x v="0"/>
    <x v="0"/>
    <x v="0"/>
  </r>
  <r>
    <x v="40"/>
    <x v="19"/>
    <x v="41"/>
    <x v="5"/>
    <x v="3"/>
    <x v="218"/>
    <x v="1"/>
    <x v="1"/>
    <x v="83"/>
    <x v="0"/>
    <x v="11"/>
    <x v="88"/>
    <x v="0"/>
    <x v="2"/>
    <x v="1"/>
    <x v="1"/>
    <x v="0"/>
    <x v="9"/>
    <x v="12"/>
    <x v="0"/>
    <x v="0"/>
    <x v="1"/>
    <x v="34"/>
    <x v="4"/>
    <x v="459"/>
    <x v="119"/>
    <x v="68"/>
    <x v="68"/>
    <x v="143"/>
    <x v="107"/>
    <x v="88"/>
    <x v="0"/>
    <x v="0"/>
    <x v="0"/>
    <x v="1"/>
    <x v="0"/>
    <x v="1"/>
    <x v="0"/>
    <x v="459"/>
    <x v="0"/>
    <x v="0"/>
    <x v="0"/>
    <x v="0"/>
    <x v="0"/>
    <x v="0"/>
    <x v="0"/>
  </r>
  <r>
    <x v="40"/>
    <x v="19"/>
    <x v="41"/>
    <x v="5"/>
    <x v="3"/>
    <x v="221"/>
    <x v="1"/>
    <x v="1"/>
    <x v="33"/>
    <x v="0"/>
    <x v="11"/>
    <x v="41"/>
    <x v="0"/>
    <x v="2"/>
    <x v="1"/>
    <x v="1"/>
    <x v="0"/>
    <x v="9"/>
    <x v="12"/>
    <x v="0"/>
    <x v="0"/>
    <x v="1"/>
    <x v="34"/>
    <x v="4"/>
    <x v="460"/>
    <x v="85"/>
    <x v="32"/>
    <x v="32"/>
    <x v="109"/>
    <x v="72"/>
    <x v="41"/>
    <x v="0"/>
    <x v="0"/>
    <x v="0"/>
    <x v="1"/>
    <x v="0"/>
    <x v="1"/>
    <x v="0"/>
    <x v="460"/>
    <x v="0"/>
    <x v="0"/>
    <x v="0"/>
    <x v="0"/>
    <x v="0"/>
    <x v="0"/>
    <x v="0"/>
  </r>
  <r>
    <x v="40"/>
    <x v="16"/>
    <x v="41"/>
    <x v="8"/>
    <x v="3"/>
    <x v="120"/>
    <x v="1"/>
    <x v="0"/>
    <x v="122"/>
    <x v="1"/>
    <x v="0"/>
    <x v="0"/>
    <x v="0"/>
    <x v="8"/>
    <x v="0"/>
    <x v="1"/>
    <x v="0"/>
    <x v="5"/>
    <x v="8"/>
    <x v="3"/>
    <x v="6"/>
    <x v="1"/>
    <x v="34"/>
    <x v="4"/>
    <x v="465"/>
    <x v="59"/>
    <x v="119"/>
    <x v="119"/>
    <x v="86"/>
    <x v="144"/>
    <x v="0"/>
    <x v="0"/>
    <x v="2"/>
    <x v="0"/>
    <x v="1"/>
    <x v="0"/>
    <x v="1"/>
    <x v="6"/>
    <x v="461"/>
    <x v="1"/>
    <x v="0"/>
    <x v="0"/>
    <x v="0"/>
    <x v="0"/>
    <x v="0"/>
    <x v="0"/>
  </r>
  <r>
    <x v="40"/>
    <x v="19"/>
    <x v="41"/>
    <x v="5"/>
    <x v="3"/>
    <x v="224"/>
    <x v="1"/>
    <x v="1"/>
    <x v="32"/>
    <x v="0"/>
    <x v="11"/>
    <x v="40"/>
    <x v="0"/>
    <x v="2"/>
    <x v="1"/>
    <x v="1"/>
    <x v="0"/>
    <x v="9"/>
    <x v="12"/>
    <x v="0"/>
    <x v="0"/>
    <x v="1"/>
    <x v="34"/>
    <x v="4"/>
    <x v="466"/>
    <x v="82"/>
    <x v="31"/>
    <x v="31"/>
    <x v="107"/>
    <x v="71"/>
    <x v="40"/>
    <x v="0"/>
    <x v="0"/>
    <x v="0"/>
    <x v="1"/>
    <x v="0"/>
    <x v="1"/>
    <x v="0"/>
    <x v="462"/>
    <x v="0"/>
    <x v="0"/>
    <x v="0"/>
    <x v="0"/>
    <x v="0"/>
    <x v="0"/>
    <x v="0"/>
  </r>
  <r>
    <x v="40"/>
    <x v="16"/>
    <x v="41"/>
    <x v="8"/>
    <x v="3"/>
    <x v="122"/>
    <x v="1"/>
    <x v="0"/>
    <x v="122"/>
    <x v="1"/>
    <x v="0"/>
    <x v="0"/>
    <x v="0"/>
    <x v="8"/>
    <x v="0"/>
    <x v="1"/>
    <x v="0"/>
    <x v="7"/>
    <x v="7"/>
    <x v="3"/>
    <x v="6"/>
    <x v="1"/>
    <x v="34"/>
    <x v="4"/>
    <x v="469"/>
    <x v="59"/>
    <x v="119"/>
    <x v="119"/>
    <x v="86"/>
    <x v="144"/>
    <x v="0"/>
    <x v="0"/>
    <x v="2"/>
    <x v="0"/>
    <x v="1"/>
    <x v="0"/>
    <x v="1"/>
    <x v="6"/>
    <x v="463"/>
    <x v="1"/>
    <x v="0"/>
    <x v="0"/>
    <x v="0"/>
    <x v="0"/>
    <x v="0"/>
    <x v="0"/>
  </r>
  <r>
    <x v="40"/>
    <x v="19"/>
    <x v="41"/>
    <x v="8"/>
    <x v="1"/>
    <x v="120"/>
    <x v="1"/>
    <x v="0"/>
    <x v="122"/>
    <x v="1"/>
    <x v="0"/>
    <x v="0"/>
    <x v="0"/>
    <x v="8"/>
    <x v="0"/>
    <x v="0"/>
    <x v="1"/>
    <x v="9"/>
    <x v="12"/>
    <x v="0"/>
    <x v="0"/>
    <x v="1"/>
    <x v="34"/>
    <x v="4"/>
    <x v="463"/>
    <x v="59"/>
    <x v="119"/>
    <x v="119"/>
    <x v="86"/>
    <x v="144"/>
    <x v="0"/>
    <x v="0"/>
    <x v="0"/>
    <x v="24"/>
    <x v="1"/>
    <x v="0"/>
    <x v="1"/>
    <x v="0"/>
    <x v="464"/>
    <x v="0"/>
    <x v="0"/>
    <x v="0"/>
    <x v="0"/>
    <x v="0"/>
    <x v="0"/>
    <x v="0"/>
  </r>
  <r>
    <x v="40"/>
    <x v="19"/>
    <x v="41"/>
    <x v="8"/>
    <x v="4"/>
    <x v="120"/>
    <x v="1"/>
    <x v="0"/>
    <x v="122"/>
    <x v="1"/>
    <x v="0"/>
    <x v="0"/>
    <x v="0"/>
    <x v="8"/>
    <x v="0"/>
    <x v="0"/>
    <x v="1"/>
    <x v="9"/>
    <x v="12"/>
    <x v="0"/>
    <x v="0"/>
    <x v="1"/>
    <x v="18"/>
    <x v="4"/>
    <x v="464"/>
    <x v="59"/>
    <x v="119"/>
    <x v="119"/>
    <x v="15"/>
    <x v="15"/>
    <x v="0"/>
    <x v="0"/>
    <x v="0"/>
    <x v="24"/>
    <x v="1"/>
    <x v="0"/>
    <x v="1"/>
    <x v="0"/>
    <x v="464"/>
    <x v="0"/>
    <x v="0"/>
    <x v="0"/>
    <x v="0"/>
    <x v="2"/>
    <x v="0"/>
    <x v="0"/>
  </r>
  <r>
    <x v="40"/>
    <x v="19"/>
    <x v="41"/>
    <x v="15"/>
    <x v="3"/>
    <x v="121"/>
    <x v="1"/>
    <x v="0"/>
    <x v="22"/>
    <x v="0"/>
    <x v="0"/>
    <x v="0"/>
    <x v="0"/>
    <x v="2"/>
    <x v="1"/>
    <x v="1"/>
    <x v="0"/>
    <x v="9"/>
    <x v="12"/>
    <x v="0"/>
    <x v="0"/>
    <x v="1"/>
    <x v="34"/>
    <x v="4"/>
    <x v="462"/>
    <x v="59"/>
    <x v="21"/>
    <x v="21"/>
    <x v="86"/>
    <x v="63"/>
    <x v="0"/>
    <x v="0"/>
    <x v="0"/>
    <x v="0"/>
    <x v="1"/>
    <x v="0"/>
    <x v="1"/>
    <x v="0"/>
    <x v="465"/>
    <x v="0"/>
    <x v="0"/>
    <x v="0"/>
    <x v="0"/>
    <x v="0"/>
    <x v="0"/>
    <x v="0"/>
  </r>
  <r>
    <x v="40"/>
    <x v="19"/>
    <x v="41"/>
    <x v="8"/>
    <x v="1"/>
    <x v="122"/>
    <x v="1"/>
    <x v="0"/>
    <x v="122"/>
    <x v="1"/>
    <x v="0"/>
    <x v="0"/>
    <x v="0"/>
    <x v="8"/>
    <x v="0"/>
    <x v="0"/>
    <x v="1"/>
    <x v="9"/>
    <x v="12"/>
    <x v="0"/>
    <x v="0"/>
    <x v="1"/>
    <x v="33"/>
    <x v="4"/>
    <x v="468"/>
    <x v="59"/>
    <x v="119"/>
    <x v="119"/>
    <x v="86"/>
    <x v="144"/>
    <x v="0"/>
    <x v="0"/>
    <x v="0"/>
    <x v="24"/>
    <x v="1"/>
    <x v="0"/>
    <x v="1"/>
    <x v="0"/>
    <x v="466"/>
    <x v="0"/>
    <x v="0"/>
    <x v="0"/>
    <x v="0"/>
    <x v="0"/>
    <x v="0"/>
    <x v="0"/>
  </r>
  <r>
    <x v="40"/>
    <x v="19"/>
    <x v="41"/>
    <x v="8"/>
    <x v="4"/>
    <x v="122"/>
    <x v="1"/>
    <x v="0"/>
    <x v="122"/>
    <x v="1"/>
    <x v="0"/>
    <x v="0"/>
    <x v="0"/>
    <x v="8"/>
    <x v="0"/>
    <x v="0"/>
    <x v="1"/>
    <x v="9"/>
    <x v="12"/>
    <x v="0"/>
    <x v="0"/>
    <x v="1"/>
    <x v="18"/>
    <x v="4"/>
    <x v="468"/>
    <x v="59"/>
    <x v="119"/>
    <x v="119"/>
    <x v="15"/>
    <x v="15"/>
    <x v="0"/>
    <x v="0"/>
    <x v="0"/>
    <x v="24"/>
    <x v="1"/>
    <x v="0"/>
    <x v="1"/>
    <x v="0"/>
    <x v="466"/>
    <x v="0"/>
    <x v="0"/>
    <x v="0"/>
    <x v="0"/>
    <x v="2"/>
    <x v="0"/>
    <x v="0"/>
  </r>
  <r>
    <x v="40"/>
    <x v="19"/>
    <x v="41"/>
    <x v="15"/>
    <x v="3"/>
    <x v="123"/>
    <x v="1"/>
    <x v="0"/>
    <x v="22"/>
    <x v="0"/>
    <x v="0"/>
    <x v="0"/>
    <x v="0"/>
    <x v="2"/>
    <x v="1"/>
    <x v="1"/>
    <x v="0"/>
    <x v="9"/>
    <x v="12"/>
    <x v="0"/>
    <x v="0"/>
    <x v="1"/>
    <x v="34"/>
    <x v="4"/>
    <x v="467"/>
    <x v="59"/>
    <x v="21"/>
    <x v="21"/>
    <x v="86"/>
    <x v="63"/>
    <x v="0"/>
    <x v="0"/>
    <x v="0"/>
    <x v="0"/>
    <x v="1"/>
    <x v="0"/>
    <x v="1"/>
    <x v="0"/>
    <x v="467"/>
    <x v="0"/>
    <x v="0"/>
    <x v="0"/>
    <x v="0"/>
    <x v="0"/>
    <x v="0"/>
    <x v="0"/>
  </r>
  <r>
    <x v="40"/>
    <x v="19"/>
    <x v="41"/>
    <x v="15"/>
    <x v="3"/>
    <x v="129"/>
    <x v="1"/>
    <x v="0"/>
    <x v="22"/>
    <x v="0"/>
    <x v="0"/>
    <x v="0"/>
    <x v="0"/>
    <x v="2"/>
    <x v="1"/>
    <x v="1"/>
    <x v="0"/>
    <x v="9"/>
    <x v="12"/>
    <x v="0"/>
    <x v="0"/>
    <x v="1"/>
    <x v="34"/>
    <x v="4"/>
    <x v="477"/>
    <x v="59"/>
    <x v="21"/>
    <x v="21"/>
    <x v="86"/>
    <x v="63"/>
    <x v="0"/>
    <x v="0"/>
    <x v="0"/>
    <x v="0"/>
    <x v="1"/>
    <x v="0"/>
    <x v="1"/>
    <x v="0"/>
    <x v="468"/>
    <x v="0"/>
    <x v="0"/>
    <x v="0"/>
    <x v="0"/>
    <x v="0"/>
    <x v="0"/>
    <x v="0"/>
  </r>
  <r>
    <x v="40"/>
    <x v="19"/>
    <x v="41"/>
    <x v="8"/>
    <x v="1"/>
    <x v="128"/>
    <x v="1"/>
    <x v="0"/>
    <x v="122"/>
    <x v="1"/>
    <x v="0"/>
    <x v="0"/>
    <x v="0"/>
    <x v="8"/>
    <x v="0"/>
    <x v="0"/>
    <x v="1"/>
    <x v="9"/>
    <x v="12"/>
    <x v="0"/>
    <x v="0"/>
    <x v="1"/>
    <x v="34"/>
    <x v="4"/>
    <x v="478"/>
    <x v="59"/>
    <x v="119"/>
    <x v="119"/>
    <x v="86"/>
    <x v="144"/>
    <x v="0"/>
    <x v="0"/>
    <x v="0"/>
    <x v="24"/>
    <x v="1"/>
    <x v="0"/>
    <x v="1"/>
    <x v="0"/>
    <x v="469"/>
    <x v="0"/>
    <x v="0"/>
    <x v="0"/>
    <x v="0"/>
    <x v="0"/>
    <x v="0"/>
    <x v="0"/>
  </r>
  <r>
    <x v="40"/>
    <x v="19"/>
    <x v="41"/>
    <x v="8"/>
    <x v="4"/>
    <x v="128"/>
    <x v="1"/>
    <x v="0"/>
    <x v="122"/>
    <x v="1"/>
    <x v="0"/>
    <x v="0"/>
    <x v="0"/>
    <x v="8"/>
    <x v="0"/>
    <x v="0"/>
    <x v="1"/>
    <x v="9"/>
    <x v="12"/>
    <x v="0"/>
    <x v="0"/>
    <x v="1"/>
    <x v="18"/>
    <x v="4"/>
    <x v="479"/>
    <x v="59"/>
    <x v="119"/>
    <x v="119"/>
    <x v="15"/>
    <x v="15"/>
    <x v="0"/>
    <x v="0"/>
    <x v="0"/>
    <x v="24"/>
    <x v="1"/>
    <x v="0"/>
    <x v="1"/>
    <x v="0"/>
    <x v="469"/>
    <x v="0"/>
    <x v="0"/>
    <x v="0"/>
    <x v="0"/>
    <x v="2"/>
    <x v="0"/>
    <x v="0"/>
  </r>
  <r>
    <x v="40"/>
    <x v="16"/>
    <x v="41"/>
    <x v="8"/>
    <x v="3"/>
    <x v="128"/>
    <x v="1"/>
    <x v="0"/>
    <x v="122"/>
    <x v="1"/>
    <x v="0"/>
    <x v="0"/>
    <x v="0"/>
    <x v="8"/>
    <x v="0"/>
    <x v="1"/>
    <x v="0"/>
    <x v="5"/>
    <x v="8"/>
    <x v="3"/>
    <x v="6"/>
    <x v="1"/>
    <x v="33"/>
    <x v="4"/>
    <x v="480"/>
    <x v="59"/>
    <x v="119"/>
    <x v="119"/>
    <x v="86"/>
    <x v="144"/>
    <x v="0"/>
    <x v="0"/>
    <x v="2"/>
    <x v="0"/>
    <x v="1"/>
    <x v="0"/>
    <x v="1"/>
    <x v="6"/>
    <x v="470"/>
    <x v="1"/>
    <x v="0"/>
    <x v="0"/>
    <x v="0"/>
    <x v="0"/>
    <x v="0"/>
    <x v="0"/>
  </r>
  <r>
    <x v="40"/>
    <x v="19"/>
    <x v="41"/>
    <x v="15"/>
    <x v="3"/>
    <x v="131"/>
    <x v="1"/>
    <x v="0"/>
    <x v="22"/>
    <x v="0"/>
    <x v="0"/>
    <x v="0"/>
    <x v="0"/>
    <x v="2"/>
    <x v="1"/>
    <x v="1"/>
    <x v="0"/>
    <x v="9"/>
    <x v="12"/>
    <x v="0"/>
    <x v="0"/>
    <x v="1"/>
    <x v="34"/>
    <x v="4"/>
    <x v="481"/>
    <x v="59"/>
    <x v="21"/>
    <x v="21"/>
    <x v="86"/>
    <x v="63"/>
    <x v="0"/>
    <x v="0"/>
    <x v="0"/>
    <x v="0"/>
    <x v="1"/>
    <x v="0"/>
    <x v="1"/>
    <x v="0"/>
    <x v="471"/>
    <x v="0"/>
    <x v="0"/>
    <x v="0"/>
    <x v="0"/>
    <x v="0"/>
    <x v="0"/>
    <x v="0"/>
  </r>
  <r>
    <x v="40"/>
    <x v="19"/>
    <x v="41"/>
    <x v="8"/>
    <x v="1"/>
    <x v="130"/>
    <x v="1"/>
    <x v="0"/>
    <x v="122"/>
    <x v="1"/>
    <x v="0"/>
    <x v="0"/>
    <x v="0"/>
    <x v="8"/>
    <x v="0"/>
    <x v="0"/>
    <x v="1"/>
    <x v="9"/>
    <x v="12"/>
    <x v="0"/>
    <x v="0"/>
    <x v="1"/>
    <x v="34"/>
    <x v="4"/>
    <x v="482"/>
    <x v="59"/>
    <x v="119"/>
    <x v="119"/>
    <x v="86"/>
    <x v="144"/>
    <x v="0"/>
    <x v="0"/>
    <x v="0"/>
    <x v="24"/>
    <x v="1"/>
    <x v="0"/>
    <x v="1"/>
    <x v="0"/>
    <x v="472"/>
    <x v="0"/>
    <x v="0"/>
    <x v="0"/>
    <x v="0"/>
    <x v="0"/>
    <x v="0"/>
    <x v="0"/>
  </r>
  <r>
    <x v="40"/>
    <x v="19"/>
    <x v="41"/>
    <x v="8"/>
    <x v="4"/>
    <x v="130"/>
    <x v="1"/>
    <x v="0"/>
    <x v="122"/>
    <x v="1"/>
    <x v="0"/>
    <x v="0"/>
    <x v="0"/>
    <x v="8"/>
    <x v="0"/>
    <x v="0"/>
    <x v="1"/>
    <x v="9"/>
    <x v="12"/>
    <x v="0"/>
    <x v="0"/>
    <x v="1"/>
    <x v="18"/>
    <x v="4"/>
    <x v="482"/>
    <x v="59"/>
    <x v="119"/>
    <x v="119"/>
    <x v="15"/>
    <x v="15"/>
    <x v="0"/>
    <x v="0"/>
    <x v="0"/>
    <x v="24"/>
    <x v="1"/>
    <x v="0"/>
    <x v="1"/>
    <x v="0"/>
    <x v="472"/>
    <x v="0"/>
    <x v="0"/>
    <x v="0"/>
    <x v="0"/>
    <x v="2"/>
    <x v="0"/>
    <x v="0"/>
  </r>
  <r>
    <x v="40"/>
    <x v="16"/>
    <x v="41"/>
    <x v="8"/>
    <x v="3"/>
    <x v="130"/>
    <x v="1"/>
    <x v="0"/>
    <x v="122"/>
    <x v="1"/>
    <x v="0"/>
    <x v="0"/>
    <x v="0"/>
    <x v="8"/>
    <x v="0"/>
    <x v="1"/>
    <x v="0"/>
    <x v="7"/>
    <x v="7"/>
    <x v="7"/>
    <x v="6"/>
    <x v="1"/>
    <x v="33"/>
    <x v="4"/>
    <x v="483"/>
    <x v="59"/>
    <x v="119"/>
    <x v="119"/>
    <x v="86"/>
    <x v="144"/>
    <x v="0"/>
    <x v="0"/>
    <x v="2"/>
    <x v="0"/>
    <x v="1"/>
    <x v="0"/>
    <x v="1"/>
    <x v="6"/>
    <x v="473"/>
    <x v="1"/>
    <x v="0"/>
    <x v="0"/>
    <x v="0"/>
    <x v="0"/>
    <x v="0"/>
    <x v="0"/>
  </r>
  <r>
    <x v="40"/>
    <x v="7"/>
    <x v="41"/>
    <x v="6"/>
    <x v="0"/>
    <x v="75"/>
    <x v="1"/>
    <x v="2"/>
    <x v="130"/>
    <x v="1"/>
    <x v="0"/>
    <x v="0"/>
    <x v="0"/>
    <x v="6"/>
    <x v="1"/>
    <x v="1"/>
    <x v="0"/>
    <x v="6"/>
    <x v="1"/>
    <x v="18"/>
    <x v="2"/>
    <x v="1"/>
    <x v="34"/>
    <x v="0"/>
    <x v="484"/>
    <x v="70"/>
    <x v="130"/>
    <x v="130"/>
    <x v="41"/>
    <x v="41"/>
    <x v="0"/>
    <x v="0"/>
    <x v="1"/>
    <x v="0"/>
    <x v="1"/>
    <x v="0"/>
    <x v="1"/>
    <x v="2"/>
    <x v="474"/>
    <x v="1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Stan magazynow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B6:M9" firstHeaderRow="1" firstDataRow="2" firstDataCol="1"/>
  <pivotFields count="46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12">
        <item x="9"/>
        <item x="10"/>
        <item x="7"/>
        <item x="6"/>
        <item x="8"/>
        <item x="2"/>
        <item x="3"/>
        <item x="4"/>
        <item x="5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-2"/>
  </rowFields>
  <colFields count="1">
    <field x="13"/>
  </colFields>
  <dataFields count="2">
    <dataField name="Metry przestrzenne" fld="28" subtotal="sum" numFmtId="168"/>
    <dataField name="Tony" fld="29" subtotal="sum" numFmtId="168"/>
  </dataFields>
  <pivotTableStyleInfo name="PivotStyleLight18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kategorie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C15:G28" firstHeaderRow="1" firstDataRow="2" firstDataCol="1"/>
  <pivotFields count="46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2">
        <item x="9"/>
        <item x="10"/>
        <item x="7"/>
        <item x="6"/>
        <item x="8"/>
        <item x="2"/>
        <item x="3"/>
        <item x="4"/>
        <item x="5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3"/>
  </rowFields>
  <colFields count="1">
    <field x="-2"/>
  </colFields>
  <dataFields count="4">
    <dataField name="Metry przestrzenne" fld="25" subtotal="sum" numFmtId="168"/>
    <dataField name="Tony" fld="26" subtotal="sum" numFmtId="168"/>
    <dataField name="Wartość zakupu" fld="30" subtotal="sum" numFmtId="167"/>
    <dataField name="Wartość sprzedaży" fld="31" subtotal="sum" numFmtId="167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operacje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C26:H52" firstHeaderRow="1" firstDataRow="2" firstDataCol="4"/>
  <pivotFields count="46">
    <pivotField compact="0" showAll="0" outline="0"/>
    <pivotField compact="0" showAll="0" outline="0"/>
    <pivotField compact="0" showAll="0" outline="0"/>
    <pivotField axis="axisRow" compact="0" showAll="0" defaultSubtotal="0" outline="0">
      <items count="21">
        <item x="6"/>
        <item x="7"/>
        <item x="5"/>
        <item x="8"/>
        <item x="1"/>
        <item x="20"/>
        <item x="9"/>
        <item x="2"/>
        <item x="14"/>
        <item x="19"/>
        <item x="3"/>
        <item x="10"/>
        <item x="13"/>
        <item x="16"/>
        <item x="11"/>
        <item x="4"/>
        <item x="18"/>
        <item x="12"/>
        <item x="17"/>
        <item x="0"/>
        <item x="15"/>
      </items>
    </pivotField>
    <pivotField axis="axisRow" compact="0" showAll="0" defaultSubtotal="0" outline="0">
      <items count="5">
        <item h="1" x="1"/>
        <item h="1" x="2"/>
        <item x="3"/>
        <item h="1" x="4"/>
        <item h="1"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11">
        <item x="9"/>
        <item x="10"/>
        <item x="7"/>
        <item x="6"/>
        <item x="8"/>
        <item x="2"/>
        <item x="3"/>
        <item x="4"/>
        <item x="5"/>
        <item x="1"/>
        <item x="0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4">
        <item x="0"/>
        <item x="1"/>
        <item x="2"/>
        <item x="3"/>
      </items>
    </pivotField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4">
    <field x="4"/>
    <field x="13"/>
    <field x="3"/>
    <field x="21"/>
  </rowFields>
  <colFields count="1">
    <field x="-2"/>
  </colFields>
  <dataFields count="2">
    <dataField name="MP" fld="25" subtotal="sum" numFmtId="168"/>
    <dataField name="Tony" fld="26" subtotal="sum" numFmtId="168"/>
  </dataFields>
  <pivotTableStyleInfo name="PivotStyleLight16" showRowHeaders="0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ela wolum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J10:Y24" firstHeaderRow="1" firstDataRow="3" firstDataCol="1"/>
  <pivotFields count="46">
    <pivotField showAll="0"/>
    <pivotField showAll="0"/>
    <pivotField showAll="0"/>
    <pivotField showAll="0"/>
    <pivotField axis="axisCol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">
        <item x="9"/>
        <item x="10"/>
        <item x="7"/>
        <item x="6"/>
        <item x="8"/>
        <item x="2"/>
        <item x="3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3"/>
  </rowFields>
  <colFields count="2">
    <field x="4"/>
    <field x="-2"/>
  </colFields>
  <dataFields count="3">
    <dataField name="MP" fld="25" subtotal="sum" numFmtId="168"/>
    <dataField name="Tony" fld="26" subtotal="sum" numFmtId="168"/>
    <dataField name="Suma z Wartość" fld="11" subtotal="sum" numFmtId="167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ela eco-rest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O6:P7" firstHeaderRow="1" firstDataRow="1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5"/>
  </rowFields>
  <dataFields count="1">
    <dataField name="Koszt rąbania" fld="33" subtotal="sum" numFmtId="167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ela odbiorcy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K9:P15" firstHeaderRow="1" firstDataRow="2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1"/>
  </rowFields>
  <colFields count="1">
    <field x="-2"/>
  </colFields>
  <dataFields count="5">
    <dataField name="MP" fld="25" subtotal="sum" numFmtId="168"/>
    <dataField name="Tony" fld="26" subtotal="sum" numFmtId="168"/>
    <dataField name="Wartość zakupu" fld="30" subtotal="sum" numFmtId="167"/>
    <dataField name="Wartość sprzedaży" fld="31" subtotal="sum" numFmtId="167"/>
    <dataField name="Koszt transportu  " fld="20" subtotal="sum" numFmtId="167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Tabela dostawcy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C9:I14" firstHeaderRow="1" firstDataRow="2" firstDataCol="2"/>
  <pivotFields count="46">
    <pivotField compact="0" showAll="0" outline="0"/>
    <pivotField compact="0" showAll="0" outline="0"/>
    <pivotField compact="0" showAll="0" outline="0"/>
    <pivotField axis="axisRow" compact="0" showAll="0" defaultSubtotal="0" outline="0">
      <items count="21">
        <item x="6"/>
        <item x="7"/>
        <item h="1" x="5"/>
        <item h="1" x="8"/>
        <item h="1" x="1"/>
        <item h="1" x="20"/>
        <item h="1" x="9"/>
        <item h="1" x="2"/>
        <item h="1" x="14"/>
        <item h="1" x="19"/>
        <item h="1" x="3"/>
        <item h="1" x="10"/>
        <item h="1" x="13"/>
        <item h="1" x="16"/>
        <item h="1" x="11"/>
        <item h="1" x="4"/>
        <item h="1" x="18"/>
        <item h="1" x="12"/>
        <item h="1" x="17"/>
        <item h="1" x="0"/>
        <item h="1" x="15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axis="axisRow" compact="0" showAll="0" defaultSubtotal="0" outline="0">
      <items count="4">
        <item x="0"/>
        <item x="1"/>
        <item x="2"/>
        <item x="3"/>
      </items>
    </pivotField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3"/>
    <field x="21"/>
  </rowFields>
  <colFields count="1">
    <field x="-2"/>
  </colFields>
  <dataFields count="5">
    <dataField name="MP" fld="25" subtotal="sum" numFmtId="168"/>
    <dataField name="Tony" fld="26" subtotal="sum" numFmtId="168"/>
    <dataField name="Wartość zakupu" fld="30" subtotal="sum" numFmtId="167"/>
    <dataField name="Wartość sprzedaży" fld="31" subtotal="sum" numFmtId="167"/>
    <dataField name="Koszt transportu " fld="20" subtotal="sum" numFmtId="167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Tabela przestawn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C6:G31" firstHeaderRow="1" firstDataRow="2" firstDataCol="1"/>
  <pivotFields count="4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5"/>
        <item x="7"/>
        <item x="2"/>
        <item x="1"/>
        <item x="8"/>
        <item x="4"/>
        <item x="0"/>
        <item x="3"/>
        <item x="6"/>
        <item t="default"/>
      </items>
    </pivotField>
    <pivotField axis="axisRow" dataField="1" showAll="0">
      <items count="14">
        <item x="1"/>
        <item x="3"/>
        <item x="8"/>
        <item x="11"/>
        <item x="12"/>
        <item x="7"/>
        <item x="9"/>
        <item x="6"/>
        <item x="10"/>
        <item x="2"/>
        <item x="5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32"/>
    <field x="17"/>
    <field x="18"/>
  </rowFields>
  <colFields count="1">
    <field x="-2"/>
  </colFields>
  <dataFields count="4">
    <dataField name="Liczba kursów" fld="18" subtotal="count" numFmtId="164"/>
    <dataField name="Ilość ton" fld="26" subtotal="sum" numFmtId="168"/>
    <dataField name="Ilość MP" fld="25" subtotal="sum" numFmtId="168"/>
    <dataField name="Suma z Koszt transportu" fld="20" subtotal="sum" numFmtId="167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_dane" displayName="Tabela_dane" ref="A1:AT578" headerRowCount="1" totalsRowCount="0" totalsRowShown="0">
  <autoFilter ref="A1:AT578"/>
  <tableColumns count="46">
    <tableColumn id="1" name="Data załadunku do klienta końcowego"/>
    <tableColumn id="2" name="Miejsce załadunku"/>
    <tableColumn id="3" name="Data operacji"/>
    <tableColumn id="4" name="Dostawca"/>
    <tableColumn id="5" name="Zakup/Sprzedaż"/>
    <tableColumn id="6" name="Nr. WZ"/>
    <tableColumn id="7" name="Czy magazynowane (TAK / NIE)"/>
    <tableColumn id="8" name="Deklaracja/KZR"/>
    <tableColumn id="9" name="Volumen"/>
    <tableColumn id="10" name="Jednostka miary"/>
    <tableColumn id="11" name="Cena zakupu/produkcji (zł/mp;zł/tona)"/>
    <tableColumn id="12" name="Wartość"/>
    <tableColumn id="13" name="Cena sprzedaży (zł/mp;zł/tona)"/>
    <tableColumn id="14" name="Produkt"/>
    <tableColumn id="15" name="Rodzaj zrębki a/b"/>
    <tableColumn id="16" name="Rąbanie własne/wynajęte (kto)"/>
    <tableColumn id="17" name="Koszt rąbania usługa"/>
    <tableColumn id="18" name="Transport Firma"/>
    <tableColumn id="19" name="Nr. Rejestracyjny"/>
    <tableColumn id="20" name="Odległość km"/>
    <tableColumn id="21" name="Koszt transportu"/>
    <tableColumn id="22" name="Odbiorca"/>
    <tableColumn id="23" name="Uwagi"/>
    <tableColumn id="24" name="Miejsce pochodzenia"/>
    <tableColumn id="25" name="Data dodania wpisu"/>
    <tableColumn id="26" name="Wolumen_MP"/>
    <tableColumn id="27" name="Wolumen_t"/>
    <tableColumn id="28" name="Wolumen_GJ"/>
    <tableColumn id="29" name="Ruch_magazyn_MP"/>
    <tableColumn id="30" name="Ruch_magazyn_t"/>
    <tableColumn id="31" name="Wartość_zakupu_zł_calc"/>
    <tableColumn id="32" name="Wartość_sprzedaży_zł_calc"/>
    <tableColumn id="33" name="Typ_transportu_heurystyka"/>
    <tableColumn id="34" name="Koszt_rąbania_total"/>
    <tableColumn id="35" name="Miesiąc_tekst"/>
    <tableColumn id="36" name="Rok"/>
    <tableColumn id="37" name="Utworzył"/>
    <tableColumn id="38" name="Koszt transportu bazowy"/>
    <tableColumn id="39" name="ID_operacji"/>
    <tableColumn id="40" name="Transport"/>
    <tableColumn id="41" name="Trasa"/>
    <tableColumn id="42" name="Pojazd"/>
    <tableColumn id="43" name="Operator_kierowca"/>
    <tableColumn id="44" name="Rola_wiersza"/>
    <tableColumn id="45" name="Receptura"/>
    <tableColumn id="46" name="Wersj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48576"/>
  <sheetViews>
    <sheetView showFormulas="false" showGridLines="true" showRowColHeaders="true" showZeros="true" rightToLeft="false" tabSelected="false" showOutlineSymbols="true" defaultGridColor="true" view="normal" topLeftCell="AK1" colorId="64" zoomScale="85" zoomScaleNormal="85" zoomScalePageLayoutView="100" workbookViewId="0">
      <pane xSplit="0" ySplit="1" topLeftCell="A584" activePane="bottomLeft" state="frozen"/>
      <selection pane="topLeft" activeCell="AK1" activeCellId="0" sqref="AK1"/>
      <selection pane="bottomLeft" activeCell="AM589" activeCellId="1" sqref="A1 AM589"/>
    </sheetView>
  </sheetViews>
  <sheetFormatPr defaultColWidth="89.3828125" defaultRowHeight="28.5" zeroHeight="false" outlineLevelRow="0" outlineLevelCol="0"/>
  <cols>
    <col collapsed="false" customWidth="true" hidden="false" outlineLevel="0" max="1" min="1" style="1" width="22.5"/>
    <col collapsed="false" customWidth="true" hidden="false" outlineLevel="0" max="2" min="2" style="1" width="28.25"/>
    <col collapsed="false" customWidth="true" hidden="false" outlineLevel="0" max="3" min="3" style="1" width="15.51"/>
    <col collapsed="false" customWidth="true" hidden="false" outlineLevel="0" max="4" min="4" style="2" width="20.75"/>
    <col collapsed="false" customWidth="true" hidden="false" outlineLevel="0" max="5" min="5" style="2" width="17.13"/>
    <col collapsed="false" customWidth="true" hidden="false" outlineLevel="0" max="6" min="6" style="3" width="26.38"/>
    <col collapsed="false" customWidth="true" hidden="false" outlineLevel="0" max="7" min="7" style="2" width="19.62"/>
    <col collapsed="false" customWidth="true" hidden="false" outlineLevel="0" max="8" min="8" style="2" width="15"/>
    <col collapsed="false" customWidth="true" hidden="false" outlineLevel="0" max="9" min="9" style="2" width="11.12"/>
    <col collapsed="false" customWidth="true" hidden="false" outlineLevel="0" max="10" min="10" style="2" width="15.87"/>
    <col collapsed="false" customWidth="true" hidden="false" outlineLevel="0" max="11" min="11" style="2" width="20.51"/>
    <col collapsed="false" customWidth="true" hidden="false" outlineLevel="0" max="12" min="12" style="2" width="10.51"/>
    <col collapsed="false" customWidth="true" hidden="false" outlineLevel="0" max="13" min="13" style="2" width="17.62"/>
    <col collapsed="false" customWidth="true" hidden="false" outlineLevel="0" max="14" min="14" style="2" width="15.13"/>
    <col collapsed="false" customWidth="true" hidden="false" outlineLevel="0" max="15" min="15" style="2" width="16.5"/>
    <col collapsed="false" customWidth="true" hidden="false" outlineLevel="0" max="16" min="16" style="2" width="26.5"/>
    <col collapsed="false" customWidth="true" hidden="false" outlineLevel="0" max="17" min="17" style="4" width="20.38"/>
    <col collapsed="false" customWidth="true" hidden="false" outlineLevel="0" max="18" min="18" style="2" width="15.75"/>
    <col collapsed="false" customWidth="true" hidden="false" outlineLevel="0" max="19" min="19" style="2" width="16.38"/>
    <col collapsed="false" customWidth="true" hidden="false" outlineLevel="0" max="20" min="20" style="2" width="13.87"/>
    <col collapsed="false" customWidth="true" hidden="false" outlineLevel="0" max="21" min="21" style="2" width="17.75"/>
    <col collapsed="false" customWidth="true" hidden="false" outlineLevel="0" max="22" min="22" style="2" width="20.38"/>
    <col collapsed="false" customWidth="true" hidden="false" outlineLevel="0" max="23" min="23" style="2" width="37.13"/>
    <col collapsed="false" customWidth="true" hidden="false" outlineLevel="0" max="25" min="24" style="2" width="21.88"/>
    <col collapsed="false" customWidth="true" hidden="false" outlineLevel="0" max="26" min="26" style="2" width="15.87"/>
    <col collapsed="false" customWidth="true" hidden="false" outlineLevel="0" max="27" min="27" style="2" width="13.87"/>
    <col collapsed="false" customWidth="true" hidden="false" outlineLevel="0" max="28" min="28" style="2" width="15.51"/>
    <col collapsed="false" customWidth="true" hidden="false" outlineLevel="0" max="29" min="29" style="2" width="20.51"/>
    <col collapsed="false" customWidth="true" hidden="false" outlineLevel="0" max="30" min="30" style="2" width="18.5"/>
    <col collapsed="false" customWidth="true" hidden="false" outlineLevel="0" max="31" min="31" style="2" width="24.51"/>
    <col collapsed="false" customWidth="true" hidden="false" outlineLevel="0" max="32" min="32" style="2" width="26.88"/>
    <col collapsed="false" customWidth="true" hidden="false" outlineLevel="0" max="33" min="33" style="2" width="23.87"/>
    <col collapsed="false" customWidth="true" hidden="false" outlineLevel="0" max="34" min="34" style="2" width="18.38"/>
    <col collapsed="false" customWidth="true" hidden="false" outlineLevel="0" max="35" min="35" style="2" width="14.13"/>
    <col collapsed="false" customWidth="true" hidden="false" outlineLevel="0" max="36" min="36" style="2" width="7.38"/>
    <col collapsed="false" customWidth="true" hidden="false" outlineLevel="0" max="37" min="37" style="2" width="23.5"/>
    <col collapsed="false" customWidth="true" hidden="false" outlineLevel="0" max="38" min="38" style="2" width="23.87"/>
    <col collapsed="false" customWidth="true" hidden="false" outlineLevel="0" max="39" min="39" style="2" width="18.38"/>
    <col collapsed="false" customWidth="true" hidden="false" outlineLevel="0" max="40" min="40" style="2" width="15.38"/>
    <col collapsed="false" customWidth="true" hidden="false" outlineLevel="0" max="42" min="41" style="2" width="16.25"/>
    <col collapsed="false" customWidth="true" hidden="false" outlineLevel="0" max="43" min="43" style="2" width="14.13"/>
    <col collapsed="false" customWidth="true" hidden="false" outlineLevel="0" max="44" min="44" style="2" width="15.38"/>
    <col collapsed="false" customWidth="false" hidden="false" outlineLevel="0" max="16384" min="45" style="2" width="89.38"/>
  </cols>
  <sheetData>
    <row r="1" customFormat="false" ht="28.5" hidden="false" customHeight="tru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8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9" t="s">
        <v>35</v>
      </c>
      <c r="AK1" s="10" t="s">
        <v>36</v>
      </c>
      <c r="AL1" s="11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 customFormat="false" ht="42.75" hidden="false" customHeight="true" outlineLevel="0" collapsed="false">
      <c r="A2" s="12" t="n">
        <v>46209</v>
      </c>
      <c r="B2" s="12"/>
      <c r="C2" s="12" t="n">
        <v>46209</v>
      </c>
      <c r="D2" s="10" t="s">
        <v>46</v>
      </c>
      <c r="E2" s="10" t="s">
        <v>47</v>
      </c>
      <c r="F2" s="13" t="s">
        <v>48</v>
      </c>
      <c r="G2" s="14" t="s">
        <v>49</v>
      </c>
      <c r="H2" s="10" t="s">
        <v>50</v>
      </c>
      <c r="I2" s="15" t="n">
        <v>86.5</v>
      </c>
      <c r="J2" s="10" t="s">
        <v>51</v>
      </c>
      <c r="K2" s="15" t="n">
        <v>0</v>
      </c>
      <c r="L2" s="11" t="n">
        <v>0</v>
      </c>
      <c r="M2" s="11" t="n">
        <v>0</v>
      </c>
      <c r="N2" s="10" t="s">
        <v>52</v>
      </c>
      <c r="O2" s="10"/>
      <c r="P2" s="10" t="s">
        <v>53</v>
      </c>
      <c r="Q2" s="16" t="n">
        <v>10</v>
      </c>
      <c r="R2" s="10"/>
      <c r="S2" s="10"/>
      <c r="T2" s="10"/>
      <c r="U2" s="11" t="str">
        <f aca="false">IF(E2="TRANSPORT",IF(T2="","",T2*5),IF(AL2="","",AL2))</f>
        <v/>
      </c>
      <c r="V2" s="10" t="s">
        <v>54</v>
      </c>
      <c r="W2" s="15" t="s">
        <v>55</v>
      </c>
      <c r="X2" s="15" t="s">
        <v>56</v>
      </c>
      <c r="Y2" s="17" t="n">
        <v>46212.304224537</v>
      </c>
      <c r="Z2" s="18" t="n">
        <f aca="false">IF(I2="",0,IF(ISNUMBER(SEARCH("mp",LOWER(J2))),I2,IF(ISNUMBER(SEARCH("ton",LOWER(J2))),I2/0.33,IF(ISNUMBER(SEARCH("m3",LOWER(J2))),I2*4,I2))))</f>
        <v>86.5</v>
      </c>
      <c r="AA2" s="18" t="n">
        <f aca="false">IF(I2="",0,IF(ISNUMBER(SEARCH("mp",LOWER(J2))),I2*0.33,IF(ISNUMBER(SEARCH("ton",LOWER(J2))),I2,I2*0.33)))</f>
        <v>28.545</v>
      </c>
      <c r="AB2" s="18" t="n">
        <f aca="false">Tabela_dane[[#This Row],[Wolumen_t]]*8.5</f>
        <v>242.6325</v>
      </c>
      <c r="AC2" s="18" t="n">
        <f aca="false">IF(G2&lt;&gt;"TAK",0,IF(OR(E2="ZAKUP",E2="PRODUKCJA"),Z2,IF(OR(E2="SPRZEDAŻ",E2="ZUŻYCIE"),-Z2,0)))</f>
        <v>86.5</v>
      </c>
      <c r="AD2" s="18" t="n">
        <f aca="false">IF(G2&lt;&gt;"TAK",0,IF(OR(E2="ZAKUP",E2="PRODUKCJA"),AA2,IF(OR(E2="SPRZEDAŻ",E2="ZUŻYCIE"),-AA2,0)))</f>
        <v>28.545</v>
      </c>
      <c r="AE2" s="19" t="n">
        <f aca="false">IF(E2="ZAKUP",IF(L2&lt;&gt;"",L2,IF(K2&lt;&gt;"",Z2*K2,0)),0)</f>
        <v>0</v>
      </c>
      <c r="AF2" s="19" t="n">
        <f aca="false">IF(E2="SPRZEDAŻ",IF(M2&lt;&gt;"",Z2*M2,0),0)</f>
        <v>0</v>
      </c>
      <c r="AG2" s="19" t="str">
        <f aca="false">IF(R2="","",IF(LOWER(R2)="brak","Brak",IF(OR(ISNUMBER(SEARCH("ric pl",LOWER(R2))),ISNUMBER(SEARCH("wojciechowski",LOWER(R2)))),"Własny","Zewnętrzny")))</f>
        <v/>
      </c>
      <c r="AH2" s="19" t="n">
        <f aca="false">Z2*Q2</f>
        <v>865</v>
      </c>
      <c r="AI2" s="19" t="str">
        <f aca="false">UPPER(TEXT(C2,"mmmm"))</f>
        <v>JULY</v>
      </c>
      <c r="AJ2" s="19" t="str">
        <f aca="false">IF(C2="","",TEXT(C2,"rrrr"))</f>
        <v>CE5786CE5786</v>
      </c>
      <c r="AK2" s="10" t="s">
        <v>57</v>
      </c>
      <c r="AL2" s="11"/>
      <c r="AM2" s="10" t="s">
        <v>58</v>
      </c>
      <c r="AN2" s="10" t="s">
        <v>59</v>
      </c>
      <c r="AO2" s="10"/>
      <c r="AP2" s="10"/>
      <c r="AQ2" s="10"/>
      <c r="AR2" s="10" t="s">
        <v>60</v>
      </c>
      <c r="AS2" s="10"/>
      <c r="AT2" s="15" t="n">
        <v>1</v>
      </c>
    </row>
    <row r="3" customFormat="false" ht="42.75" hidden="false" customHeight="true" outlineLevel="0" collapsed="false">
      <c r="A3" s="12" t="n">
        <v>46209</v>
      </c>
      <c r="B3" s="12"/>
      <c r="C3" s="12" t="n">
        <v>46209</v>
      </c>
      <c r="D3" s="10" t="s">
        <v>46</v>
      </c>
      <c r="E3" s="10" t="s">
        <v>47</v>
      </c>
      <c r="F3" s="13" t="s">
        <v>61</v>
      </c>
      <c r="G3" s="14" t="s">
        <v>49</v>
      </c>
      <c r="H3" s="10" t="s">
        <v>50</v>
      </c>
      <c r="I3" s="15" t="n">
        <v>82</v>
      </c>
      <c r="J3" s="10" t="s">
        <v>51</v>
      </c>
      <c r="K3" s="15" t="n">
        <v>0</v>
      </c>
      <c r="L3" s="11" t="n">
        <v>0</v>
      </c>
      <c r="M3" s="11" t="n">
        <v>0</v>
      </c>
      <c r="N3" s="10" t="s">
        <v>52</v>
      </c>
      <c r="O3" s="10"/>
      <c r="P3" s="10" t="s">
        <v>53</v>
      </c>
      <c r="Q3" s="16" t="n">
        <v>10</v>
      </c>
      <c r="R3" s="10"/>
      <c r="S3" s="10"/>
      <c r="T3" s="10" t="n">
        <v>0</v>
      </c>
      <c r="U3" s="11" t="n">
        <f aca="false">IF(E3="TRANSPORT",IF(T3="","",T3*5),IF(AL3="","",AL3))</f>
        <v>0</v>
      </c>
      <c r="V3" s="10" t="s">
        <v>54</v>
      </c>
      <c r="W3" s="15" t="s">
        <v>55</v>
      </c>
      <c r="X3" s="15" t="s">
        <v>56</v>
      </c>
      <c r="Y3" s="17" t="n">
        <v>46212.3100231482</v>
      </c>
      <c r="Z3" s="18" t="n">
        <f aca="false">IF(I3="",0,IF(ISNUMBER(SEARCH("mp",LOWER(J3))),I3,IF(ISNUMBER(SEARCH("ton",LOWER(J3))),I3/0.33,IF(ISNUMBER(SEARCH("m3",LOWER(J3))),I3*4,I3))))</f>
        <v>82</v>
      </c>
      <c r="AA3" s="18" t="n">
        <f aca="false">IF(I3="",0,IF(ISNUMBER(SEARCH("mp",LOWER(J3))),I3*0.33,IF(ISNUMBER(SEARCH("ton",LOWER(J3))),I3,I3*0.33)))</f>
        <v>27.06</v>
      </c>
      <c r="AB3" s="18" t="n">
        <f aca="false">Tabela_dane[[#This Row],[Wolumen_t]]*8.5</f>
        <v>230.01</v>
      </c>
      <c r="AC3" s="18" t="n">
        <f aca="false">IF(G3&lt;&gt;"TAK",0,IF(OR(E3="ZAKUP",E3="PRODUKCJA"),Z3,IF(OR(E3="SPRZEDAŻ",E3="ZUŻYCIE"),-Z3,0)))</f>
        <v>82</v>
      </c>
      <c r="AD3" s="18" t="n">
        <f aca="false">IF(G3&lt;&gt;"TAK",0,IF(OR(E3="ZAKUP",E3="PRODUKCJA"),AA3,IF(OR(E3="SPRZEDAŻ",E3="ZUŻYCIE"),-AA3,0)))</f>
        <v>27.06</v>
      </c>
      <c r="AE3" s="19" t="n">
        <f aca="false">IF(E3="ZAKUP",IF(L3&lt;&gt;"",L3,IF(K3&lt;&gt;"",Z3*K3,0)),0)</f>
        <v>0</v>
      </c>
      <c r="AF3" s="19" t="n">
        <f aca="false">IF(E3="SPRZEDAŻ",IF(M3&lt;&gt;"",Z3*M3,0),0)</f>
        <v>0</v>
      </c>
      <c r="AG3" s="19" t="str">
        <f aca="false">IF(R3="","",IF(LOWER(R3)="brak","Brak",IF(OR(ISNUMBER(SEARCH("ric pl",LOWER(R3))),ISNUMBER(SEARCH("wojciechowski",LOWER(R3)))),"Własny","Zewnętrzny")))</f>
        <v/>
      </c>
      <c r="AH3" s="19" t="n">
        <f aca="false">Z3*Q3</f>
        <v>820</v>
      </c>
      <c r="AI3" s="19" t="str">
        <f aca="false">UPPER(TEXT(C3,"mmmm"))</f>
        <v>JULY</v>
      </c>
      <c r="AJ3" s="19" t="str">
        <f aca="false">IF(C3="","",TEXT(C3,"rrrr"))</f>
        <v>CE5786CE5786</v>
      </c>
      <c r="AK3" s="10"/>
      <c r="AL3" s="11" t="n">
        <v>0</v>
      </c>
      <c r="AM3" s="10" t="s">
        <v>62</v>
      </c>
      <c r="AN3" s="10" t="s">
        <v>59</v>
      </c>
      <c r="AO3" s="10"/>
      <c r="AP3" s="10"/>
      <c r="AQ3" s="10"/>
      <c r="AR3" s="10" t="s">
        <v>60</v>
      </c>
      <c r="AS3" s="10"/>
      <c r="AT3" s="15" t="n">
        <v>1</v>
      </c>
    </row>
    <row r="4" customFormat="false" ht="28.5" hidden="false" customHeight="true" outlineLevel="0" collapsed="false">
      <c r="A4" s="12" t="n">
        <v>46209</v>
      </c>
      <c r="B4" s="12"/>
      <c r="C4" s="12" t="n">
        <v>46209</v>
      </c>
      <c r="D4" s="10" t="s">
        <v>46</v>
      </c>
      <c r="E4" s="10" t="s">
        <v>63</v>
      </c>
      <c r="F4" s="13" t="s">
        <v>48</v>
      </c>
      <c r="G4" s="14" t="s">
        <v>59</v>
      </c>
      <c r="H4" s="10" t="s">
        <v>50</v>
      </c>
      <c r="I4" s="15" t="n">
        <v>86.5</v>
      </c>
      <c r="J4" s="10" t="s">
        <v>51</v>
      </c>
      <c r="K4" s="15" t="n">
        <v>78</v>
      </c>
      <c r="L4" s="11" t="n">
        <v>0</v>
      </c>
      <c r="M4" s="11" t="n">
        <v>0</v>
      </c>
      <c r="N4" s="10" t="s">
        <v>64</v>
      </c>
      <c r="O4" s="10"/>
      <c r="P4" s="10" t="s">
        <v>53</v>
      </c>
      <c r="Q4" s="16" t="n">
        <v>10</v>
      </c>
      <c r="R4" s="10"/>
      <c r="S4" s="10"/>
      <c r="T4" s="10"/>
      <c r="U4" s="11" t="str">
        <f aca="false">IF(E4="TRANSPORT",IF(T4="","",T4*5),IF(AL4="","",AL4))</f>
        <v/>
      </c>
      <c r="V4" s="10" t="s">
        <v>54</v>
      </c>
      <c r="W4" s="15" t="s">
        <v>65</v>
      </c>
      <c r="X4" s="15" t="s">
        <v>56</v>
      </c>
      <c r="Y4" s="17" t="n">
        <v>46212.304224537</v>
      </c>
      <c r="Z4" s="18" t="n">
        <f aca="false">IF(I4="",0,IF(ISNUMBER(SEARCH("mp",LOWER(J4))),I4,IF(ISNUMBER(SEARCH("ton",LOWER(J4))),I4/0.33,IF(ISNUMBER(SEARCH("m3",LOWER(J4))),I4*4,I4))))</f>
        <v>86.5</v>
      </c>
      <c r="AA4" s="18" t="n">
        <f aca="false">IF(I4="",0,IF(ISNUMBER(SEARCH("mp",LOWER(J4))),I4*0.33,IF(ISNUMBER(SEARCH("ton",LOWER(J4))),I4,I4*0.33)))</f>
        <v>28.545</v>
      </c>
      <c r="AB4" s="18" t="n">
        <f aca="false">Tabela_dane[[#This Row],[Wolumen_t]]*8.5</f>
        <v>242.6325</v>
      </c>
      <c r="AC4" s="18" t="n">
        <f aca="false">IF(G4&lt;&gt;"TAK",0,IF(OR(E4="ZAKUP",E4="PRODUKCJA"),Z4,IF(OR(E4="SPRZEDAŻ",E4="ZUŻYCIE"),-Z4,0)))</f>
        <v>0</v>
      </c>
      <c r="AD4" s="18" t="n">
        <f aca="false">IF(G4&lt;&gt;"TAK",0,IF(OR(E4="ZAKUP",E4="PRODUKCJA"),AA4,IF(OR(E4="SPRZEDAŻ",E4="ZUŻYCIE"),-AA4,0)))</f>
        <v>0</v>
      </c>
      <c r="AE4" s="19" t="n">
        <f aca="false">IF(E4="ZAKUP",IF(L4&lt;&gt;"",L4,IF(K4&lt;&gt;"",Z4*K4,0)),0)</f>
        <v>0</v>
      </c>
      <c r="AF4" s="19" t="n">
        <f aca="false">IF(E4="SPRZEDAŻ",IF(M4&lt;&gt;"",Z4*M4,0),0)</f>
        <v>0</v>
      </c>
      <c r="AG4" s="19" t="str">
        <f aca="false">IF(R4="","",IF(LOWER(R4)="brak","Brak",IF(OR(ISNUMBER(SEARCH("ric pl",LOWER(R4))),ISNUMBER(SEARCH("wojciechowski",LOWER(R4)))),"Własny","Zewnętrzny")))</f>
        <v/>
      </c>
      <c r="AH4" s="19" t="n">
        <f aca="false">Z4*Q4</f>
        <v>865</v>
      </c>
      <c r="AI4" s="19" t="str">
        <f aca="false">UPPER(TEXT(C4,"mmmm"))</f>
        <v>JULY</v>
      </c>
      <c r="AJ4" s="19" t="str">
        <f aca="false">IF(C4="","",TEXT(C4,"rrrr"))</f>
        <v>CE5786CE5786</v>
      </c>
      <c r="AK4" s="10"/>
      <c r="AL4" s="11"/>
      <c r="AM4" s="10" t="s">
        <v>58</v>
      </c>
      <c r="AN4" s="10" t="s">
        <v>59</v>
      </c>
      <c r="AO4" s="10"/>
      <c r="AP4" s="10"/>
      <c r="AQ4" s="10"/>
      <c r="AR4" s="10" t="s">
        <v>66</v>
      </c>
      <c r="AS4" s="10"/>
      <c r="AT4" s="15" t="n">
        <v>1</v>
      </c>
    </row>
    <row r="5" customFormat="false" ht="28.5" hidden="false" customHeight="true" outlineLevel="0" collapsed="false">
      <c r="A5" s="12" t="n">
        <v>46209</v>
      </c>
      <c r="B5" s="12" t="s">
        <v>56</v>
      </c>
      <c r="C5" s="12" t="n">
        <v>46209</v>
      </c>
      <c r="D5" s="10" t="s">
        <v>54</v>
      </c>
      <c r="E5" s="10" t="s">
        <v>63</v>
      </c>
      <c r="F5" s="13" t="s">
        <v>48</v>
      </c>
      <c r="G5" s="14" t="s">
        <v>49</v>
      </c>
      <c r="H5" s="10" t="s">
        <v>50</v>
      </c>
      <c r="I5" s="15" t="n">
        <v>86.5</v>
      </c>
      <c r="J5" s="10" t="s">
        <v>51</v>
      </c>
      <c r="K5" s="15" t="n">
        <v>70</v>
      </c>
      <c r="L5" s="11" t="n">
        <v>6747</v>
      </c>
      <c r="M5" s="11" t="n">
        <v>0</v>
      </c>
      <c r="N5" s="10" t="s">
        <v>52</v>
      </c>
      <c r="O5" s="10" t="s">
        <v>67</v>
      </c>
      <c r="P5" s="10"/>
      <c r="Q5" s="16" t="n">
        <v>0</v>
      </c>
      <c r="R5" s="10" t="s">
        <v>68</v>
      </c>
      <c r="S5" s="10" t="s">
        <v>69</v>
      </c>
      <c r="T5" s="10" t="n">
        <v>110</v>
      </c>
      <c r="U5" s="11" t="n">
        <f aca="false">IF(E5="TRANSPORT",IF(T5="","",T5*5),IF(AL5="","",AL5))</f>
        <v>550</v>
      </c>
      <c r="V5" s="10" t="s">
        <v>54</v>
      </c>
      <c r="W5" s="15" t="s">
        <v>70</v>
      </c>
      <c r="X5" s="15" t="s">
        <v>56</v>
      </c>
      <c r="Y5" s="17" t="n">
        <v>46212.3070949074</v>
      </c>
      <c r="Z5" s="18" t="n">
        <f aca="false">IF(I5="",0,IF(ISNUMBER(SEARCH("mp",LOWER(J5))),I5,IF(ISNUMBER(SEARCH("ton",LOWER(J5))),I5/0.33,IF(ISNUMBER(SEARCH("m3",LOWER(J5))),I5*4,I5))))</f>
        <v>86.5</v>
      </c>
      <c r="AA5" s="18" t="n">
        <f aca="false">IF(I5="",0,IF(ISNUMBER(SEARCH("mp",LOWER(J5))),I5*0.33,IF(ISNUMBER(SEARCH("ton",LOWER(J5))),I5,I5*0.33)))</f>
        <v>28.545</v>
      </c>
      <c r="AB5" s="18" t="n">
        <f aca="false">Tabela_dane[[#This Row],[Wolumen_t]]*8.5</f>
        <v>242.6325</v>
      </c>
      <c r="AC5" s="18" t="n">
        <f aca="false">IF(G5&lt;&gt;"TAK",0,IF(OR(E5="ZAKUP",E5="PRODUKCJA"),Z5,IF(OR(E5="SPRZEDAŻ",E5="ZUŻYCIE"),-Z5,0)))</f>
        <v>86.5</v>
      </c>
      <c r="AD5" s="18" t="n">
        <f aca="false">IF(G5&lt;&gt;"TAK",0,IF(OR(E5="ZAKUP",E5="PRODUKCJA"),AA5,IF(OR(E5="SPRZEDAŻ",E5="ZUŻYCIE"),-AA5,0)))</f>
        <v>28.545</v>
      </c>
      <c r="AE5" s="19" t="n">
        <f aca="false">IF(E5="ZAKUP",IF(L5&lt;&gt;"",L5,IF(K5&lt;&gt;"",Z5*K5,0)),0)</f>
        <v>6747</v>
      </c>
      <c r="AF5" s="19" t="n">
        <f aca="false">IF(E5="SPRZEDAŻ",IF(M5&lt;&gt;"",Z5*M5,0),0)</f>
        <v>0</v>
      </c>
      <c r="AG5" s="19" t="str">
        <f aca="false">IF(R5="","",IF(LOWER(R5)="brak","Brak",IF(OR(ISNUMBER(SEARCH("ric pl",LOWER(R5))),ISNUMBER(SEARCH("wojciechowski",LOWER(R5)))),"Własny","Zewnętrzny")))</f>
        <v>Zewnętrzny</v>
      </c>
      <c r="AH5" s="19" t="n">
        <f aca="false">Z5*Q5</f>
        <v>0</v>
      </c>
      <c r="AI5" s="19" t="str">
        <f aca="false">UPPER(TEXT(C5,"mmmm"))</f>
        <v>JULY</v>
      </c>
      <c r="AJ5" s="19" t="str">
        <f aca="false">IF(C5="","",TEXT(C5,"rrrr"))</f>
        <v>CE5786CE5786</v>
      </c>
      <c r="AK5" s="10"/>
      <c r="AL5" s="11" t="n">
        <v>550</v>
      </c>
      <c r="AM5" s="10" t="s">
        <v>71</v>
      </c>
      <c r="AN5" s="10" t="s">
        <v>49</v>
      </c>
      <c r="AO5" s="10"/>
      <c r="AP5" s="10"/>
      <c r="AQ5" s="10"/>
      <c r="AR5" s="10" t="s">
        <v>66</v>
      </c>
      <c r="AS5" s="10"/>
      <c r="AT5" s="15" t="n">
        <v>1</v>
      </c>
    </row>
    <row r="6" customFormat="false" ht="28.5" hidden="false" customHeight="true" outlineLevel="0" collapsed="false">
      <c r="A6" s="12" t="n">
        <v>46209</v>
      </c>
      <c r="B6" s="12"/>
      <c r="C6" s="12" t="n">
        <v>46209</v>
      </c>
      <c r="D6" s="10" t="s">
        <v>46</v>
      </c>
      <c r="E6" s="10" t="s">
        <v>63</v>
      </c>
      <c r="F6" s="13" t="s">
        <v>61</v>
      </c>
      <c r="G6" s="14" t="s">
        <v>59</v>
      </c>
      <c r="H6" s="10" t="s">
        <v>50</v>
      </c>
      <c r="I6" s="15" t="n">
        <v>82</v>
      </c>
      <c r="J6" s="10" t="s">
        <v>51</v>
      </c>
      <c r="K6" s="15" t="n">
        <v>78</v>
      </c>
      <c r="L6" s="11" t="n">
        <v>0</v>
      </c>
      <c r="M6" s="11" t="n">
        <v>0</v>
      </c>
      <c r="N6" s="10" t="s">
        <v>64</v>
      </c>
      <c r="O6" s="10"/>
      <c r="P6" s="10" t="s">
        <v>53</v>
      </c>
      <c r="Q6" s="16" t="n">
        <v>10</v>
      </c>
      <c r="R6" s="10"/>
      <c r="S6" s="10"/>
      <c r="T6" s="10" t="n">
        <v>0</v>
      </c>
      <c r="U6" s="11" t="n">
        <f aca="false">IF(E6="TRANSPORT",IF(T6="","",T6*5),IF(AL6="","",AL6))</f>
        <v>0</v>
      </c>
      <c r="V6" s="10" t="s">
        <v>54</v>
      </c>
      <c r="W6" s="15" t="s">
        <v>70</v>
      </c>
      <c r="X6" s="15" t="s">
        <v>56</v>
      </c>
      <c r="Y6" s="17" t="n">
        <v>46212.3100231482</v>
      </c>
      <c r="Z6" s="18" t="n">
        <f aca="false">IF(I6="",0,IF(ISNUMBER(SEARCH("mp",LOWER(J6))),I6,IF(ISNUMBER(SEARCH("ton",LOWER(J6))),I6/0.33,IF(ISNUMBER(SEARCH("m3",LOWER(J6))),I6*4,I6))))</f>
        <v>82</v>
      </c>
      <c r="AA6" s="18" t="n">
        <f aca="false">IF(I6="",0,IF(ISNUMBER(SEARCH("mp",LOWER(J6))),I6*0.33,IF(ISNUMBER(SEARCH("ton",LOWER(J6))),I6,I6*0.33)))</f>
        <v>27.06</v>
      </c>
      <c r="AB6" s="18" t="n">
        <f aca="false">Tabela_dane[[#This Row],[Wolumen_t]]*8.5</f>
        <v>230.01</v>
      </c>
      <c r="AC6" s="18" t="n">
        <f aca="false">IF(G6&lt;&gt;"TAK",0,IF(OR(E6="ZAKUP",E6="PRODUKCJA"),Z6,IF(OR(E6="SPRZEDAŻ",E6="ZUŻYCIE"),-Z6,0)))</f>
        <v>0</v>
      </c>
      <c r="AD6" s="18" t="n">
        <f aca="false">IF(G6&lt;&gt;"TAK",0,IF(OR(E6="ZAKUP",E6="PRODUKCJA"),AA6,IF(OR(E6="SPRZEDAŻ",E6="ZUŻYCIE"),-AA6,0)))</f>
        <v>0</v>
      </c>
      <c r="AE6" s="19" t="n">
        <f aca="false">IF(E6="ZAKUP",IF(L6&lt;&gt;"",L6,IF(K6&lt;&gt;"",Z6*K6,0)),0)</f>
        <v>0</v>
      </c>
      <c r="AF6" s="19" t="n">
        <f aca="false">IF(E6="SPRZEDAŻ",IF(M6&lt;&gt;"",Z6*M6,0),0)</f>
        <v>0</v>
      </c>
      <c r="AG6" s="19" t="str">
        <f aca="false">IF(R6="","",IF(LOWER(R6)="brak","Brak",IF(OR(ISNUMBER(SEARCH("ric pl",LOWER(R6))),ISNUMBER(SEARCH("wojciechowski",LOWER(R6)))),"Własny","Zewnętrzny")))</f>
        <v/>
      </c>
      <c r="AH6" s="19" t="n">
        <f aca="false">Z6*Q6</f>
        <v>820</v>
      </c>
      <c r="AI6" s="19" t="str">
        <f aca="false">UPPER(TEXT(C6,"mmmm"))</f>
        <v>JULY</v>
      </c>
      <c r="AJ6" s="19" t="str">
        <f aca="false">IF(C6="","",TEXT(C6,"rrrr"))</f>
        <v>CE5786CE5786</v>
      </c>
      <c r="AK6" s="10"/>
      <c r="AL6" s="11" t="n">
        <v>0</v>
      </c>
      <c r="AM6" s="10" t="s">
        <v>62</v>
      </c>
      <c r="AN6" s="10" t="s">
        <v>59</v>
      </c>
      <c r="AO6" s="10"/>
      <c r="AP6" s="10"/>
      <c r="AQ6" s="10"/>
      <c r="AR6" s="10" t="s">
        <v>66</v>
      </c>
      <c r="AS6" s="10"/>
      <c r="AT6" s="15" t="n">
        <v>1</v>
      </c>
    </row>
    <row r="7" customFormat="false" ht="28.5" hidden="false" customHeight="true" outlineLevel="0" collapsed="false">
      <c r="A7" s="12" t="n">
        <v>46209</v>
      </c>
      <c r="B7" s="12" t="s">
        <v>56</v>
      </c>
      <c r="C7" s="12" t="n">
        <v>46209</v>
      </c>
      <c r="D7" s="10" t="s">
        <v>54</v>
      </c>
      <c r="E7" s="10" t="s">
        <v>63</v>
      </c>
      <c r="F7" s="13" t="s">
        <v>61</v>
      </c>
      <c r="G7" s="14" t="s">
        <v>49</v>
      </c>
      <c r="H7" s="10" t="s">
        <v>50</v>
      </c>
      <c r="I7" s="15" t="n">
        <v>82</v>
      </c>
      <c r="J7" s="10" t="s">
        <v>51</v>
      </c>
      <c r="K7" s="15" t="n">
        <v>70</v>
      </c>
      <c r="L7" s="11" t="n">
        <v>6396</v>
      </c>
      <c r="M7" s="11" t="n">
        <v>0</v>
      </c>
      <c r="N7" s="10" t="s">
        <v>52</v>
      </c>
      <c r="O7" s="10" t="s">
        <v>67</v>
      </c>
      <c r="P7" s="10"/>
      <c r="Q7" s="16" t="n">
        <v>0</v>
      </c>
      <c r="R7" s="10" t="s">
        <v>72</v>
      </c>
      <c r="S7" s="10" t="s">
        <v>73</v>
      </c>
      <c r="T7" s="10" t="n">
        <v>110</v>
      </c>
      <c r="U7" s="11" t="n">
        <f aca="false">IF(E7="TRANSPORT",IF(T7="","",T7*5),IF(AL7="","",AL7))</f>
        <v>660</v>
      </c>
      <c r="V7" s="10" t="s">
        <v>54</v>
      </c>
      <c r="W7" s="15" t="s">
        <v>70</v>
      </c>
      <c r="X7" s="15" t="s">
        <v>56</v>
      </c>
      <c r="Y7" s="17" t="n">
        <v>46212.3115509259</v>
      </c>
      <c r="Z7" s="18" t="n">
        <f aca="false">IF(I7="",0,IF(ISNUMBER(SEARCH("mp",LOWER(J7))),I7,IF(ISNUMBER(SEARCH("ton",LOWER(J7))),I7/0.33,IF(ISNUMBER(SEARCH("m3",LOWER(J7))),I7*4,I7))))</f>
        <v>82</v>
      </c>
      <c r="AA7" s="18" t="n">
        <f aca="false">IF(I7="",0,IF(ISNUMBER(SEARCH("mp",LOWER(J7))),I7*0.33,IF(ISNUMBER(SEARCH("ton",LOWER(J7))),I7,I7*0.33)))</f>
        <v>27.06</v>
      </c>
      <c r="AB7" s="18" t="n">
        <f aca="false">Tabela_dane[[#This Row],[Wolumen_t]]*8.5</f>
        <v>230.01</v>
      </c>
      <c r="AC7" s="18" t="n">
        <f aca="false">IF(G7&lt;&gt;"TAK",0,IF(OR(E7="ZAKUP",E7="PRODUKCJA"),Z7,IF(OR(E7="SPRZEDAŻ",E7="ZUŻYCIE"),-Z7,0)))</f>
        <v>82</v>
      </c>
      <c r="AD7" s="18" t="n">
        <f aca="false">IF(G7&lt;&gt;"TAK",0,IF(OR(E7="ZAKUP",E7="PRODUKCJA"),AA7,IF(OR(E7="SPRZEDAŻ",E7="ZUŻYCIE"),-AA7,0)))</f>
        <v>27.06</v>
      </c>
      <c r="AE7" s="19" t="n">
        <f aca="false">IF(E7="ZAKUP",IF(L7&lt;&gt;"",L7,IF(K7&lt;&gt;"",Z7*K7,0)),0)</f>
        <v>6396</v>
      </c>
      <c r="AF7" s="19" t="n">
        <f aca="false">IF(E7="SPRZEDAŻ",IF(M7&lt;&gt;"",Z7*M7,0),0)</f>
        <v>0</v>
      </c>
      <c r="AG7" s="19" t="str">
        <f aca="false">IF(R7="","",IF(LOWER(R7)="brak","Brak",IF(OR(ISNUMBER(SEARCH("ric pl",LOWER(R7))),ISNUMBER(SEARCH("wojciechowski",LOWER(R7)))),"Własny","Zewnętrzny")))</f>
        <v>Zewnętrzny</v>
      </c>
      <c r="AH7" s="19" t="n">
        <f aca="false">Z7*Q7</f>
        <v>0</v>
      </c>
      <c r="AI7" s="19" t="str">
        <f aca="false">UPPER(TEXT(C7,"mmmm"))</f>
        <v>JULY</v>
      </c>
      <c r="AJ7" s="19" t="str">
        <f aca="false">IF(C7="","",TEXT(C7,"rrrr"))</f>
        <v>CE5786CE5786</v>
      </c>
      <c r="AK7" s="10"/>
      <c r="AL7" s="11" t="n">
        <v>660</v>
      </c>
      <c r="AM7" s="10" t="s">
        <v>74</v>
      </c>
      <c r="AN7" s="10" t="s">
        <v>49</v>
      </c>
      <c r="AO7" s="10"/>
      <c r="AP7" s="10"/>
      <c r="AQ7" s="10"/>
      <c r="AR7" s="10" t="s">
        <v>66</v>
      </c>
      <c r="AS7" s="10"/>
      <c r="AT7" s="15" t="n">
        <v>1</v>
      </c>
    </row>
    <row r="8" customFormat="false" ht="28.5" hidden="false" customHeight="true" outlineLevel="0" collapsed="false">
      <c r="A8" s="12" t="n">
        <v>46209</v>
      </c>
      <c r="B8" s="12"/>
      <c r="C8" s="12" t="n">
        <v>46209</v>
      </c>
      <c r="D8" s="10" t="s">
        <v>46</v>
      </c>
      <c r="E8" s="10" t="s">
        <v>63</v>
      </c>
      <c r="F8" s="20" t="s">
        <v>75</v>
      </c>
      <c r="G8" s="14" t="s">
        <v>49</v>
      </c>
      <c r="H8" s="10" t="s">
        <v>76</v>
      </c>
      <c r="I8" s="15" t="n">
        <v>29.5</v>
      </c>
      <c r="J8" s="10" t="s">
        <v>77</v>
      </c>
      <c r="K8" s="15" t="n">
        <v>230</v>
      </c>
      <c r="L8" s="11" t="n">
        <v>6785</v>
      </c>
      <c r="M8" s="11" t="n">
        <v>0</v>
      </c>
      <c r="N8" s="10" t="s">
        <v>64</v>
      </c>
      <c r="O8" s="10"/>
      <c r="P8" s="10"/>
      <c r="Q8" s="16" t="n">
        <v>0</v>
      </c>
      <c r="R8" s="10"/>
      <c r="S8" s="10"/>
      <c r="T8" s="10" t="n">
        <v>0</v>
      </c>
      <c r="U8" s="11" t="n">
        <f aca="false">IF(E8="TRANSPORT",IF(T8="","",T8*5),IF(AL8="","",AL8))</f>
        <v>0</v>
      </c>
      <c r="V8" s="10" t="s">
        <v>54</v>
      </c>
      <c r="W8" s="15" t="s">
        <v>70</v>
      </c>
      <c r="X8" s="15"/>
      <c r="Y8" s="17" t="n">
        <v>46213.4149074074</v>
      </c>
      <c r="Z8" s="18" t="n">
        <f aca="false">IF(I8="",0,IF(ISNUMBER(SEARCH("mp",LOWER(J8))),I8,IF(ISNUMBER(SEARCH("ton",LOWER(J8))),I8/0.33,IF(ISNUMBER(SEARCH("m3",LOWER(J8))),I8*4,I8))))</f>
        <v>118</v>
      </c>
      <c r="AA8" s="18" t="n">
        <f aca="false">IF(I8="",0,IF(ISNUMBER(SEARCH("mp",LOWER(J8))),I8*0.33,IF(ISNUMBER(SEARCH("ton",LOWER(J8))),I8,I8*0.33)))</f>
        <v>9.735</v>
      </c>
      <c r="AB8" s="18" t="n">
        <f aca="false">Tabela_dane[[#This Row],[Wolumen_t]]*8.5</f>
        <v>82.7475</v>
      </c>
      <c r="AC8" s="18" t="n">
        <f aca="false">IF(G8&lt;&gt;"TAK",0,IF(OR(E8="ZAKUP",E8="PRODUKCJA"),Z8,IF(OR(E8="SPRZEDAŻ",E8="ZUŻYCIE"),-Z8,0)))</f>
        <v>118</v>
      </c>
      <c r="AD8" s="18" t="n">
        <f aca="false">IF(G8&lt;&gt;"TAK",0,IF(OR(E8="ZAKUP",E8="PRODUKCJA"),AA8,IF(OR(E8="SPRZEDAŻ",E8="ZUŻYCIE"),-AA8,0)))</f>
        <v>9.735</v>
      </c>
      <c r="AE8" s="19" t="n">
        <f aca="false">IF(E8="ZAKUP",IF(L8&lt;&gt;"",L8,IF(K8&lt;&gt;"",Z8*K8,0)),0)</f>
        <v>6785</v>
      </c>
      <c r="AF8" s="19" t="n">
        <f aca="false">IF(E8="SPRZEDAŻ",IF(M8&lt;&gt;"",Z8*M8,0),0)</f>
        <v>0</v>
      </c>
      <c r="AG8" s="19" t="str">
        <f aca="false">IF(R8="","",IF(LOWER(R8)="brak","Brak",IF(OR(ISNUMBER(SEARCH("ric pl",LOWER(R8))),ISNUMBER(SEARCH("wojciechowski",LOWER(R8)))),"Własny","Zewnętrzny")))</f>
        <v/>
      </c>
      <c r="AH8" s="19" t="n">
        <f aca="false">Z8*Q8</f>
        <v>0</v>
      </c>
      <c r="AI8" s="19" t="str">
        <f aca="false">UPPER(TEXT(C8,"mmmm"))</f>
        <v>JULY</v>
      </c>
      <c r="AJ8" s="19" t="str">
        <f aca="false">IF(C8="","",TEXT(C8,"rrrr"))</f>
        <v>CE5786CE5786</v>
      </c>
      <c r="AK8" s="10"/>
      <c r="AL8" s="11" t="n">
        <v>0</v>
      </c>
      <c r="AM8" s="10" t="s">
        <v>78</v>
      </c>
      <c r="AN8" s="10" t="s">
        <v>59</v>
      </c>
      <c r="AO8" s="10"/>
      <c r="AP8" s="10"/>
      <c r="AQ8" s="10"/>
      <c r="AR8" s="10" t="s">
        <v>66</v>
      </c>
      <c r="AS8" s="10"/>
      <c r="AT8" s="15" t="n">
        <v>1</v>
      </c>
    </row>
    <row r="9" customFormat="false" ht="28.5" hidden="false" customHeight="true" outlineLevel="0" collapsed="false">
      <c r="A9" s="12" t="n">
        <v>46209</v>
      </c>
      <c r="B9" s="12"/>
      <c r="C9" s="12" t="n">
        <v>46209</v>
      </c>
      <c r="D9" s="10" t="s">
        <v>46</v>
      </c>
      <c r="E9" s="10" t="s">
        <v>79</v>
      </c>
      <c r="F9" s="13" t="s">
        <v>48</v>
      </c>
      <c r="G9" s="14" t="s">
        <v>59</v>
      </c>
      <c r="H9" s="10" t="s">
        <v>50</v>
      </c>
      <c r="I9" s="15" t="n">
        <v>86.5</v>
      </c>
      <c r="J9" s="10" t="s">
        <v>51</v>
      </c>
      <c r="K9" s="15" t="n">
        <v>0</v>
      </c>
      <c r="L9" s="11" t="n">
        <v>0</v>
      </c>
      <c r="M9" s="11" t="n">
        <v>0</v>
      </c>
      <c r="N9" s="10" t="s">
        <v>64</v>
      </c>
      <c r="O9" s="10"/>
      <c r="P9" s="10" t="s">
        <v>53</v>
      </c>
      <c r="Q9" s="16" t="n">
        <v>10</v>
      </c>
      <c r="R9" s="10"/>
      <c r="S9" s="10"/>
      <c r="T9" s="10"/>
      <c r="U9" s="11" t="str">
        <f aca="false">IF(E9="TRANSPORT",IF(T9="","",T9*5),IF(AL9="","",AL9))</f>
        <v/>
      </c>
      <c r="V9" s="10" t="s">
        <v>54</v>
      </c>
      <c r="W9" s="15" t="s">
        <v>80</v>
      </c>
      <c r="X9" s="15" t="s">
        <v>56</v>
      </c>
      <c r="Y9" s="17" t="n">
        <v>46212.304224537</v>
      </c>
      <c r="Z9" s="18" t="n">
        <f aca="false">IF(I9="",0,IF(ISNUMBER(SEARCH("mp",LOWER(J9))),I9,IF(ISNUMBER(SEARCH("ton",LOWER(J9))),I9/0.33,IF(ISNUMBER(SEARCH("m3",LOWER(J9))),I9*4,I9))))</f>
        <v>86.5</v>
      </c>
      <c r="AA9" s="18" t="n">
        <f aca="false">IF(I9="",0,IF(ISNUMBER(SEARCH("mp",LOWER(J9))),I9*0.33,IF(ISNUMBER(SEARCH("ton",LOWER(J9))),I9,I9*0.33)))</f>
        <v>28.545</v>
      </c>
      <c r="AB9" s="18" t="n">
        <f aca="false">Tabela_dane[[#This Row],[Wolumen_t]]*8.5</f>
        <v>242.6325</v>
      </c>
      <c r="AC9" s="18" t="n">
        <f aca="false">IF(G9&lt;&gt;"TAK",0,IF(OR(E9="ZAKUP",E9="PRODUKCJA"),Z9,IF(OR(E9="SPRZEDAŻ",E9="ZUŻYCIE"),-Z9,0)))</f>
        <v>0</v>
      </c>
      <c r="AD9" s="18" t="n">
        <f aca="false">IF(G9&lt;&gt;"TAK",0,IF(OR(E9="ZAKUP",E9="PRODUKCJA"),AA9,IF(OR(E9="SPRZEDAŻ",E9="ZUŻYCIE"),-AA9,0)))</f>
        <v>0</v>
      </c>
      <c r="AE9" s="19" t="n">
        <f aca="false">IF(E9="ZAKUP",IF(L9&lt;&gt;"",L9,IF(K9&lt;&gt;"",Z9*K9,0)),0)</f>
        <v>0</v>
      </c>
      <c r="AF9" s="19" t="n">
        <f aca="false">IF(E9="SPRZEDAŻ",IF(M9&lt;&gt;"",Z9*M9,0),0)</f>
        <v>0</v>
      </c>
      <c r="AG9" s="19" t="str">
        <f aca="false">IF(R9="","",IF(LOWER(R9)="brak","Brak",IF(OR(ISNUMBER(SEARCH("ric pl",LOWER(R9))),ISNUMBER(SEARCH("wojciechowski",LOWER(R9)))),"Własny","Zewnętrzny")))</f>
        <v/>
      </c>
      <c r="AH9" s="19" t="n">
        <f aca="false">Z9*Q9</f>
        <v>865</v>
      </c>
      <c r="AI9" s="19" t="str">
        <f aca="false">UPPER(TEXT(C9,"mmmm"))</f>
        <v>JULY</v>
      </c>
      <c r="AJ9" s="19" t="str">
        <f aca="false">IF(C9="","",TEXT(C9,"rrrr"))</f>
        <v>CE5786CE5786</v>
      </c>
      <c r="AK9" s="10"/>
      <c r="AL9" s="11"/>
      <c r="AM9" s="10" t="s">
        <v>58</v>
      </c>
      <c r="AN9" s="10" t="s">
        <v>59</v>
      </c>
      <c r="AO9" s="10"/>
      <c r="AP9" s="10"/>
      <c r="AQ9" s="10"/>
      <c r="AR9" s="10" t="s">
        <v>81</v>
      </c>
      <c r="AS9" s="10"/>
      <c r="AT9" s="15" t="n">
        <v>1</v>
      </c>
    </row>
    <row r="10" customFormat="false" ht="28.5" hidden="false" customHeight="true" outlineLevel="0" collapsed="false">
      <c r="A10" s="12" t="n">
        <v>46209</v>
      </c>
      <c r="B10" s="12"/>
      <c r="C10" s="12" t="n">
        <v>46209</v>
      </c>
      <c r="D10" s="10" t="s">
        <v>46</v>
      </c>
      <c r="E10" s="10" t="s">
        <v>79</v>
      </c>
      <c r="F10" s="13" t="s">
        <v>61</v>
      </c>
      <c r="G10" s="14" t="s">
        <v>59</v>
      </c>
      <c r="H10" s="10" t="s">
        <v>50</v>
      </c>
      <c r="I10" s="15" t="n">
        <v>82</v>
      </c>
      <c r="J10" s="10" t="s">
        <v>51</v>
      </c>
      <c r="K10" s="15" t="n">
        <v>0</v>
      </c>
      <c r="L10" s="11" t="n">
        <v>0</v>
      </c>
      <c r="M10" s="11" t="n">
        <v>0</v>
      </c>
      <c r="N10" s="10" t="s">
        <v>64</v>
      </c>
      <c r="O10" s="10"/>
      <c r="P10" s="10" t="s">
        <v>53</v>
      </c>
      <c r="Q10" s="16" t="n">
        <v>10</v>
      </c>
      <c r="R10" s="10"/>
      <c r="S10" s="10"/>
      <c r="T10" s="10" t="n">
        <v>0</v>
      </c>
      <c r="U10" s="11" t="n">
        <f aca="false">IF(E10="TRANSPORT",IF(T10="","",T10*5),IF(AL10="","",AL10))</f>
        <v>0</v>
      </c>
      <c r="V10" s="10" t="s">
        <v>54</v>
      </c>
      <c r="W10" s="15" t="s">
        <v>80</v>
      </c>
      <c r="X10" s="15" t="s">
        <v>56</v>
      </c>
      <c r="Y10" s="17" t="n">
        <v>46212.3100231482</v>
      </c>
      <c r="Z10" s="18" t="n">
        <f aca="false">IF(I10="",0,IF(ISNUMBER(SEARCH("mp",LOWER(J10))),I10,IF(ISNUMBER(SEARCH("ton",LOWER(J10))),I10/0.33,IF(ISNUMBER(SEARCH("m3",LOWER(J10))),I10*4,I10))))</f>
        <v>82</v>
      </c>
      <c r="AA10" s="18" t="n">
        <f aca="false">IF(I10="",0,IF(ISNUMBER(SEARCH("mp",LOWER(J10))),I10*0.33,IF(ISNUMBER(SEARCH("ton",LOWER(J10))),I10,I10*0.33)))</f>
        <v>27.06</v>
      </c>
      <c r="AB10" s="18" t="n">
        <f aca="false">Tabela_dane[[#This Row],[Wolumen_t]]*8.5</f>
        <v>230.01</v>
      </c>
      <c r="AC10" s="18" t="n">
        <f aca="false">IF(G10&lt;&gt;"TAK",0,IF(OR(E10="ZAKUP",E10="PRODUKCJA"),Z10,IF(OR(E10="SPRZEDAŻ",E10="ZUŻYCIE"),-Z10,0)))</f>
        <v>0</v>
      </c>
      <c r="AD10" s="18" t="n">
        <f aca="false">IF(G10&lt;&gt;"TAK",0,IF(OR(E10="ZAKUP",E10="PRODUKCJA"),AA10,IF(OR(E10="SPRZEDAŻ",E10="ZUŻYCIE"),-AA10,0)))</f>
        <v>0</v>
      </c>
      <c r="AE10" s="19" t="n">
        <f aca="false">IF(E10="ZAKUP",IF(L10&lt;&gt;"",L10,IF(K10&lt;&gt;"",Z10*K10,0)),0)</f>
        <v>0</v>
      </c>
      <c r="AF10" s="19" t="n">
        <f aca="false">IF(E10="SPRZEDAŻ",IF(M10&lt;&gt;"",Z10*M10,0),0)</f>
        <v>0</v>
      </c>
      <c r="AG10" s="19" t="str">
        <f aca="false">IF(R10="","",IF(LOWER(R10)="brak","Brak",IF(OR(ISNUMBER(SEARCH("ric pl",LOWER(R10))),ISNUMBER(SEARCH("wojciechowski",LOWER(R10)))),"Własny","Zewnętrzny")))</f>
        <v/>
      </c>
      <c r="AH10" s="19" t="n">
        <f aca="false">Z10*Q10</f>
        <v>820</v>
      </c>
      <c r="AI10" s="19" t="str">
        <f aca="false">UPPER(TEXT(C10,"mmmm"))</f>
        <v>JULY</v>
      </c>
      <c r="AJ10" s="19" t="str">
        <f aca="false">IF(C10="","",TEXT(C10,"rrrr"))</f>
        <v>CE5786CE5786</v>
      </c>
      <c r="AK10" s="10"/>
      <c r="AL10" s="11" t="n">
        <v>0</v>
      </c>
      <c r="AM10" s="10" t="s">
        <v>62</v>
      </c>
      <c r="AN10" s="10" t="s">
        <v>59</v>
      </c>
      <c r="AO10" s="10"/>
      <c r="AP10" s="10"/>
      <c r="AQ10" s="10"/>
      <c r="AR10" s="10" t="s">
        <v>81</v>
      </c>
      <c r="AS10" s="10"/>
      <c r="AT10" s="15" t="n">
        <v>1</v>
      </c>
    </row>
    <row r="11" customFormat="false" ht="28.5" hidden="false" customHeight="true" outlineLevel="0" collapsed="false">
      <c r="A11" s="12" t="n">
        <v>46210</v>
      </c>
      <c r="B11" s="12"/>
      <c r="C11" s="12" t="n">
        <v>46210</v>
      </c>
      <c r="D11" s="10" t="s">
        <v>46</v>
      </c>
      <c r="E11" s="10" t="s">
        <v>47</v>
      </c>
      <c r="F11" s="13" t="s">
        <v>82</v>
      </c>
      <c r="G11" s="14" t="s">
        <v>49</v>
      </c>
      <c r="H11" s="10" t="s">
        <v>50</v>
      </c>
      <c r="I11" s="15" t="n">
        <v>88</v>
      </c>
      <c r="J11" s="10" t="s">
        <v>51</v>
      </c>
      <c r="K11" s="15" t="n">
        <v>0</v>
      </c>
      <c r="L11" s="11" t="n">
        <v>0</v>
      </c>
      <c r="M11" s="11" t="n">
        <v>0</v>
      </c>
      <c r="N11" s="10" t="s">
        <v>52</v>
      </c>
      <c r="O11" s="10"/>
      <c r="P11" s="10" t="s">
        <v>53</v>
      </c>
      <c r="Q11" s="16" t="n">
        <v>10</v>
      </c>
      <c r="R11" s="10"/>
      <c r="S11" s="10"/>
      <c r="T11" s="10" t="n">
        <v>0</v>
      </c>
      <c r="U11" s="11" t="n">
        <f aca="false">IF(E11="TRANSPORT",IF(T11="","",T11*5),IF(AL11="","",AL11))</f>
        <v>0</v>
      </c>
      <c r="V11" s="10" t="s">
        <v>54</v>
      </c>
      <c r="W11" s="15" t="s">
        <v>55</v>
      </c>
      <c r="X11" s="15" t="s">
        <v>56</v>
      </c>
      <c r="Y11" s="17" t="n">
        <v>46212.3144675926</v>
      </c>
      <c r="Z11" s="18" t="n">
        <f aca="false">IF(I11="",0,IF(ISNUMBER(SEARCH("mp",LOWER(J11))),I11,IF(ISNUMBER(SEARCH("ton",LOWER(J11))),I11/0.33,IF(ISNUMBER(SEARCH("m3",LOWER(J11))),I11*4,I11))))</f>
        <v>88</v>
      </c>
      <c r="AA11" s="18" t="n">
        <f aca="false">IF(I11="",0,IF(ISNUMBER(SEARCH("mp",LOWER(J11))),I11*0.33,IF(ISNUMBER(SEARCH("ton",LOWER(J11))),I11,I11*0.33)))</f>
        <v>29.04</v>
      </c>
      <c r="AB11" s="18" t="n">
        <f aca="false">Tabela_dane[[#This Row],[Wolumen_t]]*8.5</f>
        <v>246.84</v>
      </c>
      <c r="AC11" s="18" t="n">
        <f aca="false">IF(G11&lt;&gt;"TAK",0,IF(OR(E11="ZAKUP",E11="PRODUKCJA"),Z11,IF(OR(E11="SPRZEDAŻ",E11="ZUŻYCIE"),-Z11,0)))</f>
        <v>88</v>
      </c>
      <c r="AD11" s="18" t="n">
        <f aca="false">IF(G11&lt;&gt;"TAK",0,IF(OR(E11="ZAKUP",E11="PRODUKCJA"),AA11,IF(OR(E11="SPRZEDAŻ",E11="ZUŻYCIE"),-AA11,0)))</f>
        <v>29.04</v>
      </c>
      <c r="AE11" s="19" t="n">
        <f aca="false">IF(E11="ZAKUP",IF(L11&lt;&gt;"",L11,IF(K11&lt;&gt;"",Z11*K11,0)),0)</f>
        <v>0</v>
      </c>
      <c r="AF11" s="19" t="n">
        <f aca="false">IF(E11="SPRZEDAŻ",IF(M11&lt;&gt;"",Z11*M11,0),0)</f>
        <v>0</v>
      </c>
      <c r="AG11" s="19" t="str">
        <f aca="false">IF(R11="","",IF(LOWER(R11)="brak","Brak",IF(OR(ISNUMBER(SEARCH("ric pl",LOWER(R11))),ISNUMBER(SEARCH("wojciechowski",LOWER(R11)))),"Własny","Zewnętrzny")))</f>
        <v/>
      </c>
      <c r="AH11" s="19" t="n">
        <f aca="false">Z11*Q11</f>
        <v>880</v>
      </c>
      <c r="AI11" s="19" t="str">
        <f aca="false">UPPER(TEXT(C11,"mmmm"))</f>
        <v>JULY</v>
      </c>
      <c r="AJ11" s="19" t="str">
        <f aca="false">IF(C11="","",TEXT(C11,"rrrr"))</f>
        <v>CE5786CE5786</v>
      </c>
      <c r="AK11" s="10"/>
      <c r="AL11" s="11" t="n">
        <v>0</v>
      </c>
      <c r="AM11" s="10" t="s">
        <v>83</v>
      </c>
      <c r="AN11" s="10" t="s">
        <v>59</v>
      </c>
      <c r="AO11" s="10"/>
      <c r="AP11" s="10"/>
      <c r="AQ11" s="10"/>
      <c r="AR11" s="10" t="s">
        <v>60</v>
      </c>
      <c r="AS11" s="10"/>
      <c r="AT11" s="15" t="n">
        <v>1</v>
      </c>
    </row>
    <row r="12" customFormat="false" ht="28.5" hidden="false" customHeight="true" outlineLevel="0" collapsed="false">
      <c r="A12" s="12" t="n">
        <v>46210</v>
      </c>
      <c r="B12" s="12"/>
      <c r="C12" s="12" t="n">
        <v>46210</v>
      </c>
      <c r="D12" s="10" t="s">
        <v>46</v>
      </c>
      <c r="E12" s="10" t="s">
        <v>47</v>
      </c>
      <c r="F12" s="13" t="s">
        <v>84</v>
      </c>
      <c r="G12" s="14" t="s">
        <v>49</v>
      </c>
      <c r="H12" s="10" t="s">
        <v>50</v>
      </c>
      <c r="I12" s="15" t="n">
        <v>84</v>
      </c>
      <c r="J12" s="10" t="s">
        <v>51</v>
      </c>
      <c r="K12" s="15" t="n">
        <v>0</v>
      </c>
      <c r="L12" s="11" t="n">
        <v>0</v>
      </c>
      <c r="M12" s="11" t="n">
        <v>0</v>
      </c>
      <c r="N12" s="10" t="s">
        <v>52</v>
      </c>
      <c r="O12" s="10"/>
      <c r="P12" s="10" t="s">
        <v>53</v>
      </c>
      <c r="Q12" s="16" t="n">
        <v>10</v>
      </c>
      <c r="R12" s="10"/>
      <c r="S12" s="10"/>
      <c r="T12" s="10" t="n">
        <v>0</v>
      </c>
      <c r="U12" s="11" t="n">
        <f aca="false">IF(E12="TRANSPORT",IF(T12="","",T12*5),IF(AL12="","",AL12))</f>
        <v>0</v>
      </c>
      <c r="V12" s="10" t="s">
        <v>54</v>
      </c>
      <c r="W12" s="15" t="s">
        <v>55</v>
      </c>
      <c r="X12" s="15" t="s">
        <v>56</v>
      </c>
      <c r="Y12" s="17" t="n">
        <v>46212.3189814815</v>
      </c>
      <c r="Z12" s="18" t="n">
        <f aca="false">IF(I12="",0,IF(ISNUMBER(SEARCH("mp",LOWER(J12))),I12,IF(ISNUMBER(SEARCH("ton",LOWER(J12))),I12/0.33,IF(ISNUMBER(SEARCH("m3",LOWER(J12))),I12*4,I12))))</f>
        <v>84</v>
      </c>
      <c r="AA12" s="18" t="n">
        <f aca="false">IF(I12="",0,IF(ISNUMBER(SEARCH("mp",LOWER(J12))),I12*0.33,IF(ISNUMBER(SEARCH("ton",LOWER(J12))),I12,I12*0.33)))</f>
        <v>27.72</v>
      </c>
      <c r="AB12" s="18" t="n">
        <f aca="false">Tabela_dane[[#This Row],[Wolumen_t]]*8.5</f>
        <v>235.62</v>
      </c>
      <c r="AC12" s="18" t="n">
        <f aca="false">IF(G12&lt;&gt;"TAK",0,IF(OR(E12="ZAKUP",E12="PRODUKCJA"),Z12,IF(OR(E12="SPRZEDAŻ",E12="ZUŻYCIE"),-Z12,0)))</f>
        <v>84</v>
      </c>
      <c r="AD12" s="18" t="n">
        <f aca="false">IF(G12&lt;&gt;"TAK",0,IF(OR(E12="ZAKUP",E12="PRODUKCJA"),AA12,IF(OR(E12="SPRZEDAŻ",E12="ZUŻYCIE"),-AA12,0)))</f>
        <v>27.72</v>
      </c>
      <c r="AE12" s="19" t="n">
        <f aca="false">IF(E12="ZAKUP",IF(L12&lt;&gt;"",L12,IF(K12&lt;&gt;"",Z12*K12,0)),0)</f>
        <v>0</v>
      </c>
      <c r="AF12" s="19" t="n">
        <f aca="false">IF(E12="SPRZEDAŻ",IF(M12&lt;&gt;"",Z12*M12,0),0)</f>
        <v>0</v>
      </c>
      <c r="AG12" s="19" t="str">
        <f aca="false">IF(R12="","",IF(LOWER(R12)="brak","Brak",IF(OR(ISNUMBER(SEARCH("ric pl",LOWER(R12))),ISNUMBER(SEARCH("wojciechowski",LOWER(R12)))),"Własny","Zewnętrzny")))</f>
        <v/>
      </c>
      <c r="AH12" s="19" t="n">
        <f aca="false">Z12*Q12</f>
        <v>840</v>
      </c>
      <c r="AI12" s="19" t="str">
        <f aca="false">UPPER(TEXT(C12,"mmmm"))</f>
        <v>JULY</v>
      </c>
      <c r="AJ12" s="19" t="str">
        <f aca="false">IF(C12="","",TEXT(C12,"rrrr"))</f>
        <v>CE5786CE5786</v>
      </c>
      <c r="AK12" s="10"/>
      <c r="AL12" s="11" t="n">
        <v>0</v>
      </c>
      <c r="AM12" s="10" t="s">
        <v>85</v>
      </c>
      <c r="AN12" s="10" t="s">
        <v>59</v>
      </c>
      <c r="AO12" s="10"/>
      <c r="AP12" s="10"/>
      <c r="AQ12" s="10"/>
      <c r="AR12" s="10" t="s">
        <v>60</v>
      </c>
      <c r="AS12" s="10"/>
      <c r="AT12" s="15" t="n">
        <v>1</v>
      </c>
    </row>
    <row r="13" customFormat="false" ht="28.5" hidden="false" customHeight="true" outlineLevel="0" collapsed="false">
      <c r="A13" s="12" t="n">
        <v>46210</v>
      </c>
      <c r="B13" s="12"/>
      <c r="C13" s="12" t="n">
        <v>46210</v>
      </c>
      <c r="D13" s="10" t="s">
        <v>46</v>
      </c>
      <c r="E13" s="10" t="s">
        <v>47</v>
      </c>
      <c r="F13" s="13" t="s">
        <v>86</v>
      </c>
      <c r="G13" s="14" t="s">
        <v>49</v>
      </c>
      <c r="H13" s="10" t="s">
        <v>50</v>
      </c>
      <c r="I13" s="15" t="n">
        <v>88</v>
      </c>
      <c r="J13" s="10" t="s">
        <v>51</v>
      </c>
      <c r="K13" s="15" t="n">
        <v>0</v>
      </c>
      <c r="L13" s="11" t="n">
        <v>0</v>
      </c>
      <c r="M13" s="11" t="n">
        <v>0</v>
      </c>
      <c r="N13" s="10" t="s">
        <v>52</v>
      </c>
      <c r="O13" s="10"/>
      <c r="P13" s="10" t="s">
        <v>53</v>
      </c>
      <c r="Q13" s="16" t="n">
        <v>10</v>
      </c>
      <c r="R13" s="10"/>
      <c r="S13" s="10"/>
      <c r="T13" s="10" t="n">
        <v>0</v>
      </c>
      <c r="U13" s="11" t="n">
        <f aca="false">IF(E13="TRANSPORT",IF(T13="","",T13*5),IF(AL13="","",AL13))</f>
        <v>0</v>
      </c>
      <c r="V13" s="10" t="s">
        <v>54</v>
      </c>
      <c r="W13" s="15" t="s">
        <v>55</v>
      </c>
      <c r="X13" s="15" t="s">
        <v>56</v>
      </c>
      <c r="Y13" s="17" t="n">
        <v>46212.3281134259</v>
      </c>
      <c r="Z13" s="18" t="n">
        <f aca="false">IF(I13="",0,IF(ISNUMBER(SEARCH("mp",LOWER(J13))),I13,IF(ISNUMBER(SEARCH("ton",LOWER(J13))),I13/0.33,IF(ISNUMBER(SEARCH("m3",LOWER(J13))),I13*4,I13))))</f>
        <v>88</v>
      </c>
      <c r="AA13" s="18" t="n">
        <f aca="false">IF(I13="",0,IF(ISNUMBER(SEARCH("mp",LOWER(J13))),I13*0.33,IF(ISNUMBER(SEARCH("ton",LOWER(J13))),I13,I13*0.33)))</f>
        <v>29.04</v>
      </c>
      <c r="AB13" s="18" t="n">
        <f aca="false">Tabela_dane[[#This Row],[Wolumen_t]]*8.5</f>
        <v>246.84</v>
      </c>
      <c r="AC13" s="18" t="n">
        <f aca="false">IF(G13&lt;&gt;"TAK",0,IF(OR(E13="ZAKUP",E13="PRODUKCJA"),Z13,IF(OR(E13="SPRZEDAŻ",E13="ZUŻYCIE"),-Z13,0)))</f>
        <v>88</v>
      </c>
      <c r="AD13" s="18" t="n">
        <f aca="false">IF(G13&lt;&gt;"TAK",0,IF(OR(E13="ZAKUP",E13="PRODUKCJA"),AA13,IF(OR(E13="SPRZEDAŻ",E13="ZUŻYCIE"),-AA13,0)))</f>
        <v>29.04</v>
      </c>
      <c r="AE13" s="19" t="n">
        <f aca="false">IF(E13="ZAKUP",IF(L13&lt;&gt;"",L13,IF(K13&lt;&gt;"",Z13*K13,0)),0)</f>
        <v>0</v>
      </c>
      <c r="AF13" s="19" t="n">
        <f aca="false">IF(E13="SPRZEDAŻ",IF(M13&lt;&gt;"",Z13*M13,0),0)</f>
        <v>0</v>
      </c>
      <c r="AG13" s="19" t="str">
        <f aca="false">IF(R13="","",IF(LOWER(R13)="brak","Brak",IF(OR(ISNUMBER(SEARCH("ric pl",LOWER(R13))),ISNUMBER(SEARCH("wojciechowski",LOWER(R13)))),"Własny","Zewnętrzny")))</f>
        <v/>
      </c>
      <c r="AH13" s="19" t="n">
        <f aca="false">Z13*Q13</f>
        <v>880</v>
      </c>
      <c r="AI13" s="19" t="str">
        <f aca="false">UPPER(TEXT(C13,"mmmm"))</f>
        <v>JULY</v>
      </c>
      <c r="AJ13" s="19" t="str">
        <f aca="false">IF(C13="","",TEXT(C13,"rrrr"))</f>
        <v>CE5786CE5786</v>
      </c>
      <c r="AK13" s="10"/>
      <c r="AL13" s="11" t="n">
        <v>0</v>
      </c>
      <c r="AM13" s="10" t="s">
        <v>87</v>
      </c>
      <c r="AN13" s="10" t="s">
        <v>59</v>
      </c>
      <c r="AO13" s="10"/>
      <c r="AP13" s="10"/>
      <c r="AQ13" s="10"/>
      <c r="AR13" s="10" t="s">
        <v>60</v>
      </c>
      <c r="AS13" s="10"/>
      <c r="AT13" s="15" t="n">
        <v>1</v>
      </c>
    </row>
    <row r="14" customFormat="false" ht="28.5" hidden="false" customHeight="true" outlineLevel="0" collapsed="false">
      <c r="A14" s="12" t="n">
        <v>46210</v>
      </c>
      <c r="B14" s="12"/>
      <c r="C14" s="12" t="n">
        <v>46210</v>
      </c>
      <c r="D14" s="10" t="s">
        <v>46</v>
      </c>
      <c r="E14" s="10" t="s">
        <v>47</v>
      </c>
      <c r="F14" s="13" t="s">
        <v>88</v>
      </c>
      <c r="G14" s="14" t="s">
        <v>49</v>
      </c>
      <c r="H14" s="10" t="s">
        <v>50</v>
      </c>
      <c r="I14" s="15" t="n">
        <v>88</v>
      </c>
      <c r="J14" s="10" t="s">
        <v>51</v>
      </c>
      <c r="K14" s="15" t="n">
        <v>0</v>
      </c>
      <c r="L14" s="11" t="n">
        <v>0</v>
      </c>
      <c r="M14" s="11" t="n">
        <v>0</v>
      </c>
      <c r="N14" s="10" t="s">
        <v>52</v>
      </c>
      <c r="O14" s="10"/>
      <c r="P14" s="10" t="s">
        <v>53</v>
      </c>
      <c r="Q14" s="16" t="n">
        <v>10</v>
      </c>
      <c r="R14" s="10"/>
      <c r="S14" s="10"/>
      <c r="T14" s="10" t="n">
        <v>0</v>
      </c>
      <c r="U14" s="11" t="n">
        <f aca="false">IF(E14="TRANSPORT",IF(T14="","",T14*5),IF(AL14="","",AL14))</f>
        <v>0</v>
      </c>
      <c r="V14" s="10" t="s">
        <v>54</v>
      </c>
      <c r="W14" s="15" t="s">
        <v>55</v>
      </c>
      <c r="X14" s="15" t="s">
        <v>56</v>
      </c>
      <c r="Y14" s="17" t="n">
        <v>46212.332650463</v>
      </c>
      <c r="Z14" s="18" t="n">
        <f aca="false">IF(I14="",0,IF(ISNUMBER(SEARCH("mp",LOWER(J14))),I14,IF(ISNUMBER(SEARCH("ton",LOWER(J14))),I14/0.33,IF(ISNUMBER(SEARCH("m3",LOWER(J14))),I14*4,I14))))</f>
        <v>88</v>
      </c>
      <c r="AA14" s="18" t="n">
        <f aca="false">IF(I14="",0,IF(ISNUMBER(SEARCH("mp",LOWER(J14))),I14*0.33,IF(ISNUMBER(SEARCH("ton",LOWER(J14))),I14,I14*0.33)))</f>
        <v>29.04</v>
      </c>
      <c r="AB14" s="18" t="n">
        <f aca="false">Tabela_dane[[#This Row],[Wolumen_t]]*8.5</f>
        <v>246.84</v>
      </c>
      <c r="AC14" s="18" t="n">
        <f aca="false">IF(G14&lt;&gt;"TAK",0,IF(OR(E14="ZAKUP",E14="PRODUKCJA"),Z14,IF(OR(E14="SPRZEDAŻ",E14="ZUŻYCIE"),-Z14,0)))</f>
        <v>88</v>
      </c>
      <c r="AD14" s="18" t="n">
        <f aca="false">IF(G14&lt;&gt;"TAK",0,IF(OR(E14="ZAKUP",E14="PRODUKCJA"),AA14,IF(OR(E14="SPRZEDAŻ",E14="ZUŻYCIE"),-AA14,0)))</f>
        <v>29.04</v>
      </c>
      <c r="AE14" s="19" t="n">
        <f aca="false">IF(E14="ZAKUP",IF(L14&lt;&gt;"",L14,IF(K14&lt;&gt;"",Z14*K14,0)),0)</f>
        <v>0</v>
      </c>
      <c r="AF14" s="19" t="n">
        <f aca="false">IF(E14="SPRZEDAŻ",IF(M14&lt;&gt;"",Z14*M14,0),0)</f>
        <v>0</v>
      </c>
      <c r="AG14" s="19" t="str">
        <f aca="false">IF(R14="","",IF(LOWER(R14)="brak","Brak",IF(OR(ISNUMBER(SEARCH("ric pl",LOWER(R14))),ISNUMBER(SEARCH("wojciechowski",LOWER(R14)))),"Własny","Zewnętrzny")))</f>
        <v/>
      </c>
      <c r="AH14" s="19" t="n">
        <f aca="false">Z14*Q14</f>
        <v>880</v>
      </c>
      <c r="AI14" s="19" t="str">
        <f aca="false">UPPER(TEXT(C14,"mmmm"))</f>
        <v>JULY</v>
      </c>
      <c r="AJ14" s="19" t="str">
        <f aca="false">IF(C14="","",TEXT(C14,"rrrr"))</f>
        <v>CE5786CE5786</v>
      </c>
      <c r="AK14" s="10"/>
      <c r="AL14" s="11" t="n">
        <v>0</v>
      </c>
      <c r="AM14" s="10" t="s">
        <v>89</v>
      </c>
      <c r="AN14" s="10" t="s">
        <v>59</v>
      </c>
      <c r="AO14" s="10"/>
      <c r="AP14" s="10"/>
      <c r="AQ14" s="10"/>
      <c r="AR14" s="10" t="s">
        <v>60</v>
      </c>
      <c r="AS14" s="10"/>
      <c r="AT14" s="15" t="n">
        <v>1</v>
      </c>
    </row>
    <row r="15" customFormat="false" ht="28.5" hidden="false" customHeight="true" outlineLevel="0" collapsed="false">
      <c r="A15" s="12" t="n">
        <v>46210</v>
      </c>
      <c r="B15" s="12"/>
      <c r="C15" s="12" t="n">
        <v>46210</v>
      </c>
      <c r="D15" s="10" t="s">
        <v>46</v>
      </c>
      <c r="E15" s="10" t="s">
        <v>47</v>
      </c>
      <c r="F15" s="13" t="s">
        <v>90</v>
      </c>
      <c r="G15" s="14" t="s">
        <v>49</v>
      </c>
      <c r="H15" s="10" t="s">
        <v>50</v>
      </c>
      <c r="I15" s="15" t="n">
        <v>88</v>
      </c>
      <c r="J15" s="10" t="s">
        <v>51</v>
      </c>
      <c r="K15" s="15" t="n">
        <v>0</v>
      </c>
      <c r="L15" s="11" t="n">
        <v>0</v>
      </c>
      <c r="M15" s="11" t="n">
        <v>0</v>
      </c>
      <c r="N15" s="10" t="s">
        <v>52</v>
      </c>
      <c r="O15" s="10"/>
      <c r="P15" s="10" t="s">
        <v>53</v>
      </c>
      <c r="Q15" s="16" t="n">
        <v>10</v>
      </c>
      <c r="R15" s="10"/>
      <c r="S15" s="10"/>
      <c r="T15" s="10" t="n">
        <v>0</v>
      </c>
      <c r="U15" s="11" t="n">
        <f aca="false">IF(E15="TRANSPORT",IF(T15="","",T15*5),IF(AL15="","",AL15))</f>
        <v>0</v>
      </c>
      <c r="V15" s="10" t="s">
        <v>54</v>
      </c>
      <c r="W15" s="15" t="s">
        <v>55</v>
      </c>
      <c r="X15" s="15" t="s">
        <v>56</v>
      </c>
      <c r="Y15" s="17" t="n">
        <v>46212.3362731482</v>
      </c>
      <c r="Z15" s="18" t="n">
        <f aca="false">IF(I15="",0,IF(ISNUMBER(SEARCH("mp",LOWER(J15))),I15,IF(ISNUMBER(SEARCH("ton",LOWER(J15))),I15/0.33,IF(ISNUMBER(SEARCH("m3",LOWER(J15))),I15*4,I15))))</f>
        <v>88</v>
      </c>
      <c r="AA15" s="18" t="n">
        <f aca="false">IF(I15="",0,IF(ISNUMBER(SEARCH("mp",LOWER(J15))),I15*0.33,IF(ISNUMBER(SEARCH("ton",LOWER(J15))),I15,I15*0.33)))</f>
        <v>29.04</v>
      </c>
      <c r="AB15" s="18" t="n">
        <f aca="false">Tabela_dane[[#This Row],[Wolumen_t]]*8.5</f>
        <v>246.84</v>
      </c>
      <c r="AC15" s="18" t="n">
        <f aca="false">IF(G15&lt;&gt;"TAK",0,IF(OR(E15="ZAKUP",E15="PRODUKCJA"),Z15,IF(OR(E15="SPRZEDAŻ",E15="ZUŻYCIE"),-Z15,0)))</f>
        <v>88</v>
      </c>
      <c r="AD15" s="18" t="n">
        <f aca="false">IF(G15&lt;&gt;"TAK",0,IF(OR(E15="ZAKUP",E15="PRODUKCJA"),AA15,IF(OR(E15="SPRZEDAŻ",E15="ZUŻYCIE"),-AA15,0)))</f>
        <v>29.04</v>
      </c>
      <c r="AE15" s="19" t="n">
        <f aca="false">IF(E15="ZAKUP",IF(L15&lt;&gt;"",L15,IF(K15&lt;&gt;"",Z15*K15,0)),0)</f>
        <v>0</v>
      </c>
      <c r="AF15" s="19" t="n">
        <f aca="false">IF(E15="SPRZEDAŻ",IF(M15&lt;&gt;"",Z15*M15,0),0)</f>
        <v>0</v>
      </c>
      <c r="AG15" s="19" t="str">
        <f aca="false">IF(R15="","",IF(LOWER(R15)="brak","Brak",IF(OR(ISNUMBER(SEARCH("ric pl",LOWER(R15))),ISNUMBER(SEARCH("wojciechowski",LOWER(R15)))),"Własny","Zewnętrzny")))</f>
        <v/>
      </c>
      <c r="AH15" s="19" t="n">
        <f aca="false">Z15*Q15</f>
        <v>880</v>
      </c>
      <c r="AI15" s="19" t="str">
        <f aca="false">UPPER(TEXT(C15,"mmmm"))</f>
        <v>JULY</v>
      </c>
      <c r="AJ15" s="19" t="str">
        <f aca="false">IF(C15="","",TEXT(C15,"rrrr"))</f>
        <v>CE5786CE5786</v>
      </c>
      <c r="AK15" s="10"/>
      <c r="AL15" s="11" t="n">
        <v>0</v>
      </c>
      <c r="AM15" s="10" t="s">
        <v>91</v>
      </c>
      <c r="AN15" s="10" t="s">
        <v>59</v>
      </c>
      <c r="AO15" s="10"/>
      <c r="AP15" s="10"/>
      <c r="AQ15" s="10"/>
      <c r="AR15" s="10" t="s">
        <v>60</v>
      </c>
      <c r="AS15" s="10"/>
      <c r="AT15" s="15" t="n">
        <v>1</v>
      </c>
    </row>
    <row r="16" customFormat="false" ht="28.5" hidden="false" customHeight="true" outlineLevel="0" collapsed="false">
      <c r="A16" s="12" t="n">
        <v>46210</v>
      </c>
      <c r="B16" s="12"/>
      <c r="C16" s="12" t="n">
        <v>46210</v>
      </c>
      <c r="D16" s="10" t="s">
        <v>46</v>
      </c>
      <c r="E16" s="10" t="s">
        <v>63</v>
      </c>
      <c r="F16" s="13" t="s">
        <v>82</v>
      </c>
      <c r="G16" s="14" t="s">
        <v>59</v>
      </c>
      <c r="H16" s="10" t="s">
        <v>50</v>
      </c>
      <c r="I16" s="15" t="n">
        <v>88</v>
      </c>
      <c r="J16" s="10" t="s">
        <v>51</v>
      </c>
      <c r="K16" s="15" t="n">
        <v>78</v>
      </c>
      <c r="L16" s="11" t="n">
        <v>0</v>
      </c>
      <c r="M16" s="11" t="n">
        <v>0</v>
      </c>
      <c r="N16" s="10" t="s">
        <v>64</v>
      </c>
      <c r="O16" s="10"/>
      <c r="P16" s="10" t="s">
        <v>53</v>
      </c>
      <c r="Q16" s="16" t="n">
        <v>10</v>
      </c>
      <c r="R16" s="10"/>
      <c r="S16" s="10"/>
      <c r="T16" s="10" t="n">
        <v>0</v>
      </c>
      <c r="U16" s="11" t="n">
        <f aca="false">IF(E16="TRANSPORT",IF(T16="","",T16*5),IF(AL16="","",AL16))</f>
        <v>0</v>
      </c>
      <c r="V16" s="10" t="s">
        <v>54</v>
      </c>
      <c r="W16" s="15" t="s">
        <v>65</v>
      </c>
      <c r="X16" s="15" t="s">
        <v>56</v>
      </c>
      <c r="Y16" s="17" t="n">
        <v>46212.3144675926</v>
      </c>
      <c r="Z16" s="18" t="n">
        <f aca="false">IF(I16="",0,IF(ISNUMBER(SEARCH("mp",LOWER(J16))),I16,IF(ISNUMBER(SEARCH("ton",LOWER(J16))),I16/0.33,IF(ISNUMBER(SEARCH("m3",LOWER(J16))),I16*4,I16))))</f>
        <v>88</v>
      </c>
      <c r="AA16" s="18" t="n">
        <f aca="false">IF(I16="",0,IF(ISNUMBER(SEARCH("mp",LOWER(J16))),I16*0.33,IF(ISNUMBER(SEARCH("ton",LOWER(J16))),I16,I16*0.33)))</f>
        <v>29.04</v>
      </c>
      <c r="AB16" s="18" t="n">
        <f aca="false">Tabela_dane[[#This Row],[Wolumen_t]]*8.5</f>
        <v>246.84</v>
      </c>
      <c r="AC16" s="18" t="n">
        <f aca="false">IF(G16&lt;&gt;"TAK",0,IF(OR(E16="ZAKUP",E16="PRODUKCJA"),Z16,IF(OR(E16="SPRZEDAŻ",E16="ZUŻYCIE"),-Z16,0)))</f>
        <v>0</v>
      </c>
      <c r="AD16" s="18" t="n">
        <f aca="false">IF(G16&lt;&gt;"TAK",0,IF(OR(E16="ZAKUP",E16="PRODUKCJA"),AA16,IF(OR(E16="SPRZEDAŻ",E16="ZUŻYCIE"),-AA16,0)))</f>
        <v>0</v>
      </c>
      <c r="AE16" s="19" t="n">
        <f aca="false">IF(E16="ZAKUP",IF(L16&lt;&gt;"",L16,IF(K16&lt;&gt;"",Z16*K16,0)),0)</f>
        <v>0</v>
      </c>
      <c r="AF16" s="19" t="n">
        <f aca="false">IF(E16="SPRZEDAŻ",IF(M16&lt;&gt;"",Z16*M16,0),0)</f>
        <v>0</v>
      </c>
      <c r="AG16" s="19" t="str">
        <f aca="false">IF(R16="","",IF(LOWER(R16)="brak","Brak",IF(OR(ISNUMBER(SEARCH("ric pl",LOWER(R16))),ISNUMBER(SEARCH("wojciechowski",LOWER(R16)))),"Własny","Zewnętrzny")))</f>
        <v/>
      </c>
      <c r="AH16" s="19" t="n">
        <f aca="false">Z16*Q16</f>
        <v>880</v>
      </c>
      <c r="AI16" s="19" t="str">
        <f aca="false">UPPER(TEXT(C16,"mmmm"))</f>
        <v>JULY</v>
      </c>
      <c r="AJ16" s="19" t="str">
        <f aca="false">IF(C16="","",TEXT(C16,"rrrr"))</f>
        <v>CE5786CE5786</v>
      </c>
      <c r="AK16" s="10"/>
      <c r="AL16" s="11" t="n">
        <v>0</v>
      </c>
      <c r="AM16" s="10" t="s">
        <v>83</v>
      </c>
      <c r="AN16" s="10" t="s">
        <v>59</v>
      </c>
      <c r="AO16" s="10"/>
      <c r="AP16" s="10"/>
      <c r="AQ16" s="10"/>
      <c r="AR16" s="10" t="s">
        <v>66</v>
      </c>
      <c r="AS16" s="10"/>
      <c r="AT16" s="15" t="n">
        <v>1</v>
      </c>
    </row>
    <row r="17" customFormat="false" ht="28.5" hidden="false" customHeight="true" outlineLevel="0" collapsed="false">
      <c r="A17" s="12" t="n">
        <v>46210</v>
      </c>
      <c r="B17" s="12" t="s">
        <v>56</v>
      </c>
      <c r="C17" s="12" t="n">
        <v>46210</v>
      </c>
      <c r="D17" s="10" t="s">
        <v>54</v>
      </c>
      <c r="E17" s="10" t="s">
        <v>63</v>
      </c>
      <c r="F17" s="13" t="s">
        <v>82</v>
      </c>
      <c r="G17" s="14" t="s">
        <v>49</v>
      </c>
      <c r="H17" s="10" t="s">
        <v>50</v>
      </c>
      <c r="I17" s="15" t="n">
        <v>88</v>
      </c>
      <c r="J17" s="10" t="s">
        <v>51</v>
      </c>
      <c r="K17" s="15" t="n">
        <v>70</v>
      </c>
      <c r="L17" s="11" t="n">
        <v>6864</v>
      </c>
      <c r="M17" s="11" t="n">
        <v>0</v>
      </c>
      <c r="N17" s="10" t="s">
        <v>52</v>
      </c>
      <c r="O17" s="10" t="s">
        <v>67</v>
      </c>
      <c r="P17" s="10"/>
      <c r="Q17" s="16" t="n">
        <v>0</v>
      </c>
      <c r="R17" s="10" t="s">
        <v>68</v>
      </c>
      <c r="S17" s="10" t="s">
        <v>69</v>
      </c>
      <c r="T17" s="10" t="n">
        <v>110</v>
      </c>
      <c r="U17" s="11" t="n">
        <f aca="false">IF(E17="TRANSPORT",IF(T17="","",T17*5),IF(AL17="","",AL17))</f>
        <v>550</v>
      </c>
      <c r="V17" s="10" t="s">
        <v>54</v>
      </c>
      <c r="W17" s="15" t="s">
        <v>70</v>
      </c>
      <c r="X17" s="15" t="s">
        <v>56</v>
      </c>
      <c r="Y17" s="17" t="n">
        <v>46212.3155092593</v>
      </c>
      <c r="Z17" s="18" t="n">
        <f aca="false">IF(I17="",0,IF(ISNUMBER(SEARCH("mp",LOWER(J17))),I17,IF(ISNUMBER(SEARCH("ton",LOWER(J17))),I17/0.33,IF(ISNUMBER(SEARCH("m3",LOWER(J17))),I17*4,I17))))</f>
        <v>88</v>
      </c>
      <c r="AA17" s="18" t="n">
        <f aca="false">IF(I17="",0,IF(ISNUMBER(SEARCH("mp",LOWER(J17))),I17*0.33,IF(ISNUMBER(SEARCH("ton",LOWER(J17))),I17,I17*0.33)))</f>
        <v>29.04</v>
      </c>
      <c r="AB17" s="18" t="n">
        <f aca="false">Tabela_dane[[#This Row],[Wolumen_t]]*8.5</f>
        <v>246.84</v>
      </c>
      <c r="AC17" s="18" t="n">
        <f aca="false">IF(G17&lt;&gt;"TAK",0,IF(OR(E17="ZAKUP",E17="PRODUKCJA"),Z17,IF(OR(E17="SPRZEDAŻ",E17="ZUŻYCIE"),-Z17,0)))</f>
        <v>88</v>
      </c>
      <c r="AD17" s="18" t="n">
        <f aca="false">IF(G17&lt;&gt;"TAK",0,IF(OR(E17="ZAKUP",E17="PRODUKCJA"),AA17,IF(OR(E17="SPRZEDAŻ",E17="ZUŻYCIE"),-AA17,0)))</f>
        <v>29.04</v>
      </c>
      <c r="AE17" s="19" t="n">
        <f aca="false">IF(E17="ZAKUP",IF(L17&lt;&gt;"",L17,IF(K17&lt;&gt;"",Z17*K17,0)),0)</f>
        <v>6864</v>
      </c>
      <c r="AF17" s="19" t="n">
        <f aca="false">IF(E17="SPRZEDAŻ",IF(M17&lt;&gt;"",Z17*M17,0),0)</f>
        <v>0</v>
      </c>
      <c r="AG17" s="19" t="str">
        <f aca="false">IF(R17="","",IF(LOWER(R17)="brak","Brak",IF(OR(ISNUMBER(SEARCH("ric pl",LOWER(R17))),ISNUMBER(SEARCH("wojciechowski",LOWER(R17)))),"Własny","Zewnętrzny")))</f>
        <v>Zewnętrzny</v>
      </c>
      <c r="AH17" s="19" t="n">
        <f aca="false">Z17*Q17</f>
        <v>0</v>
      </c>
      <c r="AI17" s="19" t="str">
        <f aca="false">UPPER(TEXT(C17,"mmmm"))</f>
        <v>JULY</v>
      </c>
      <c r="AJ17" s="19" t="str">
        <f aca="false">IF(C17="","",TEXT(C17,"rrrr"))</f>
        <v>CE5786CE5786</v>
      </c>
      <c r="AK17" s="10"/>
      <c r="AL17" s="11" t="n">
        <v>550</v>
      </c>
      <c r="AM17" s="10" t="s">
        <v>92</v>
      </c>
      <c r="AN17" s="10" t="s">
        <v>49</v>
      </c>
      <c r="AO17" s="10"/>
      <c r="AP17" s="10"/>
      <c r="AQ17" s="10"/>
      <c r="AR17" s="10" t="s">
        <v>66</v>
      </c>
      <c r="AS17" s="10"/>
      <c r="AT17" s="15" t="n">
        <v>1</v>
      </c>
    </row>
    <row r="18" customFormat="false" ht="28.5" hidden="false" customHeight="true" outlineLevel="0" collapsed="false">
      <c r="A18" s="12" t="n">
        <v>46210</v>
      </c>
      <c r="B18" s="12"/>
      <c r="C18" s="12" t="n">
        <v>46210</v>
      </c>
      <c r="D18" s="10" t="s">
        <v>46</v>
      </c>
      <c r="E18" s="10" t="s">
        <v>63</v>
      </c>
      <c r="F18" s="13" t="s">
        <v>84</v>
      </c>
      <c r="G18" s="14" t="s">
        <v>59</v>
      </c>
      <c r="H18" s="10" t="s">
        <v>50</v>
      </c>
      <c r="I18" s="15" t="n">
        <v>84</v>
      </c>
      <c r="J18" s="10" t="s">
        <v>51</v>
      </c>
      <c r="K18" s="15" t="n">
        <v>78</v>
      </c>
      <c r="L18" s="11" t="n">
        <v>0</v>
      </c>
      <c r="M18" s="11" t="n">
        <v>0</v>
      </c>
      <c r="N18" s="10" t="s">
        <v>64</v>
      </c>
      <c r="O18" s="10"/>
      <c r="P18" s="10" t="s">
        <v>53</v>
      </c>
      <c r="Q18" s="16" t="n">
        <v>10</v>
      </c>
      <c r="R18" s="10"/>
      <c r="S18" s="10"/>
      <c r="T18" s="10" t="n">
        <v>0</v>
      </c>
      <c r="U18" s="11" t="n">
        <f aca="false">IF(E18="TRANSPORT",IF(T18="","",T18*5),IF(AL18="","",AL18))</f>
        <v>0</v>
      </c>
      <c r="V18" s="10" t="s">
        <v>54</v>
      </c>
      <c r="W18" s="15" t="s">
        <v>70</v>
      </c>
      <c r="X18" s="15" t="s">
        <v>56</v>
      </c>
      <c r="Y18" s="17" t="n">
        <v>46212.3189699074</v>
      </c>
      <c r="Z18" s="18" t="n">
        <f aca="false">IF(I18="",0,IF(ISNUMBER(SEARCH("mp",LOWER(J18))),I18,IF(ISNUMBER(SEARCH("ton",LOWER(J18))),I18/0.33,IF(ISNUMBER(SEARCH("m3",LOWER(J18))),I18*4,I18))))</f>
        <v>84</v>
      </c>
      <c r="AA18" s="18" t="n">
        <f aca="false">IF(I18="",0,IF(ISNUMBER(SEARCH("mp",LOWER(J18))),I18*0.33,IF(ISNUMBER(SEARCH("ton",LOWER(J18))),I18,I18*0.33)))</f>
        <v>27.72</v>
      </c>
      <c r="AB18" s="18" t="n">
        <f aca="false">Tabela_dane[[#This Row],[Wolumen_t]]*8.5</f>
        <v>235.62</v>
      </c>
      <c r="AC18" s="18" t="n">
        <f aca="false">IF(G18&lt;&gt;"TAK",0,IF(OR(E18="ZAKUP",E18="PRODUKCJA"),Z18,IF(OR(E18="SPRZEDAŻ",E18="ZUŻYCIE"),-Z18,0)))</f>
        <v>0</v>
      </c>
      <c r="AD18" s="18" t="n">
        <f aca="false">IF(G18&lt;&gt;"TAK",0,IF(OR(E18="ZAKUP",E18="PRODUKCJA"),AA18,IF(OR(E18="SPRZEDAŻ",E18="ZUŻYCIE"),-AA18,0)))</f>
        <v>0</v>
      </c>
      <c r="AE18" s="19" t="n">
        <f aca="false">IF(E18="ZAKUP",IF(L18&lt;&gt;"",L18,IF(K18&lt;&gt;"",Z18*K18,0)),0)</f>
        <v>0</v>
      </c>
      <c r="AF18" s="19" t="n">
        <f aca="false">IF(E18="SPRZEDAŻ",IF(M18&lt;&gt;"",Z18*M18,0),0)</f>
        <v>0</v>
      </c>
      <c r="AG18" s="19" t="str">
        <f aca="false">IF(R18="","",IF(LOWER(R18)="brak","Brak",IF(OR(ISNUMBER(SEARCH("ric pl",LOWER(R18))),ISNUMBER(SEARCH("wojciechowski",LOWER(R18)))),"Własny","Zewnętrzny")))</f>
        <v/>
      </c>
      <c r="AH18" s="19" t="n">
        <f aca="false">Z18*Q18</f>
        <v>840</v>
      </c>
      <c r="AI18" s="19" t="str">
        <f aca="false">UPPER(TEXT(C18,"mmmm"))</f>
        <v>JULY</v>
      </c>
      <c r="AJ18" s="19" t="str">
        <f aca="false">IF(C18="","",TEXT(C18,"rrrr"))</f>
        <v>CE5786CE5786</v>
      </c>
      <c r="AK18" s="10"/>
      <c r="AL18" s="11" t="n">
        <v>0</v>
      </c>
      <c r="AM18" s="10" t="s">
        <v>85</v>
      </c>
      <c r="AN18" s="10" t="s">
        <v>59</v>
      </c>
      <c r="AO18" s="10"/>
      <c r="AP18" s="10"/>
      <c r="AQ18" s="10"/>
      <c r="AR18" s="10" t="s">
        <v>66</v>
      </c>
      <c r="AS18" s="10"/>
      <c r="AT18" s="15" t="n">
        <v>1</v>
      </c>
    </row>
    <row r="19" customFormat="false" ht="28.5" hidden="false" customHeight="true" outlineLevel="0" collapsed="false">
      <c r="A19" s="12" t="n">
        <v>46210</v>
      </c>
      <c r="B19" s="12" t="s">
        <v>56</v>
      </c>
      <c r="C19" s="12" t="n">
        <v>46210</v>
      </c>
      <c r="D19" s="10" t="s">
        <v>54</v>
      </c>
      <c r="E19" s="10" t="s">
        <v>63</v>
      </c>
      <c r="F19" s="13" t="s">
        <v>84</v>
      </c>
      <c r="G19" s="14" t="s">
        <v>49</v>
      </c>
      <c r="H19" s="10" t="s">
        <v>50</v>
      </c>
      <c r="I19" s="15" t="n">
        <v>63</v>
      </c>
      <c r="J19" s="10" t="s">
        <v>51</v>
      </c>
      <c r="K19" s="15" t="n">
        <v>70</v>
      </c>
      <c r="L19" s="11" t="n">
        <v>4914</v>
      </c>
      <c r="M19" s="11" t="n">
        <v>0</v>
      </c>
      <c r="N19" s="10" t="s">
        <v>52</v>
      </c>
      <c r="O19" s="10" t="s">
        <v>67</v>
      </c>
      <c r="P19" s="10"/>
      <c r="Q19" s="16" t="n">
        <v>0</v>
      </c>
      <c r="R19" s="10" t="s">
        <v>72</v>
      </c>
      <c r="S19" s="10" t="s">
        <v>73</v>
      </c>
      <c r="T19" s="10" t="n">
        <v>110</v>
      </c>
      <c r="U19" s="11" t="n">
        <f aca="false">IF(E19="TRANSPORT",IF(T19="","",T19*5),IF(AL19="","",AL19))</f>
        <v>660</v>
      </c>
      <c r="V19" s="10" t="s">
        <v>54</v>
      </c>
      <c r="W19" s="15" t="s">
        <v>70</v>
      </c>
      <c r="X19" s="15" t="s">
        <v>56</v>
      </c>
      <c r="Y19" s="17" t="n">
        <v>46212.3224884259</v>
      </c>
      <c r="Z19" s="18" t="n">
        <f aca="false">IF(I19="",0,IF(ISNUMBER(SEARCH("mp",LOWER(J19))),I19,IF(ISNUMBER(SEARCH("ton",LOWER(J19))),I19/0.33,IF(ISNUMBER(SEARCH("m3",LOWER(J19))),I19*4,I19))))</f>
        <v>63</v>
      </c>
      <c r="AA19" s="18" t="n">
        <f aca="false">IF(I19="",0,IF(ISNUMBER(SEARCH("mp",LOWER(J19))),I19*0.33,IF(ISNUMBER(SEARCH("ton",LOWER(J19))),I19,I19*0.33)))</f>
        <v>20.79</v>
      </c>
      <c r="AB19" s="18" t="n">
        <f aca="false">Tabela_dane[[#This Row],[Wolumen_t]]*8.5</f>
        <v>176.715</v>
      </c>
      <c r="AC19" s="18" t="n">
        <f aca="false">IF(G19&lt;&gt;"TAK",0,IF(OR(E19="ZAKUP",E19="PRODUKCJA"),Z19,IF(OR(E19="SPRZEDAŻ",E19="ZUŻYCIE"),-Z19,0)))</f>
        <v>63</v>
      </c>
      <c r="AD19" s="18" t="n">
        <f aca="false">IF(G19&lt;&gt;"TAK",0,IF(OR(E19="ZAKUP",E19="PRODUKCJA"),AA19,IF(OR(E19="SPRZEDAŻ",E19="ZUŻYCIE"),-AA19,0)))</f>
        <v>20.79</v>
      </c>
      <c r="AE19" s="19" t="n">
        <f aca="false">IF(E19="ZAKUP",IF(L19&lt;&gt;"",L19,IF(K19&lt;&gt;"",Z19*K19,0)),0)</f>
        <v>4914</v>
      </c>
      <c r="AF19" s="19" t="n">
        <f aca="false">IF(E19="SPRZEDAŻ",IF(M19&lt;&gt;"",Z19*M19,0),0)</f>
        <v>0</v>
      </c>
      <c r="AG19" s="19" t="str">
        <f aca="false">IF(R19="","",IF(LOWER(R19)="brak","Brak",IF(OR(ISNUMBER(SEARCH("ric pl",LOWER(R19))),ISNUMBER(SEARCH("wojciechowski",LOWER(R19)))),"Własny","Zewnętrzny")))</f>
        <v>Zewnętrzny</v>
      </c>
      <c r="AH19" s="19" t="n">
        <f aca="false">Z19*Q19</f>
        <v>0</v>
      </c>
      <c r="AI19" s="19" t="str">
        <f aca="false">UPPER(TEXT(C19,"mmmm"))</f>
        <v>JULY</v>
      </c>
      <c r="AJ19" s="19" t="str">
        <f aca="false">IF(C19="","",TEXT(C19,"rrrr"))</f>
        <v>CE5786CE5786</v>
      </c>
      <c r="AK19" s="10"/>
      <c r="AL19" s="11" t="n">
        <v>660</v>
      </c>
      <c r="AM19" s="10" t="s">
        <v>93</v>
      </c>
      <c r="AN19" s="10" t="s">
        <v>49</v>
      </c>
      <c r="AO19" s="10"/>
      <c r="AP19" s="10"/>
      <c r="AQ19" s="10"/>
      <c r="AR19" s="10" t="s">
        <v>66</v>
      </c>
      <c r="AS19" s="10"/>
      <c r="AT19" s="15" t="n">
        <v>1</v>
      </c>
    </row>
    <row r="20" customFormat="false" ht="28.5" hidden="false" customHeight="true" outlineLevel="0" collapsed="false">
      <c r="A20" s="12" t="n">
        <v>46210</v>
      </c>
      <c r="B20" s="12"/>
      <c r="C20" s="12" t="n">
        <v>46210</v>
      </c>
      <c r="D20" s="10" t="s">
        <v>46</v>
      </c>
      <c r="E20" s="10" t="s">
        <v>63</v>
      </c>
      <c r="F20" s="13" t="s">
        <v>86</v>
      </c>
      <c r="G20" s="14" t="s">
        <v>59</v>
      </c>
      <c r="H20" s="10" t="s">
        <v>50</v>
      </c>
      <c r="I20" s="15" t="n">
        <v>88</v>
      </c>
      <c r="J20" s="10" t="s">
        <v>51</v>
      </c>
      <c r="K20" s="15" t="n">
        <v>78</v>
      </c>
      <c r="L20" s="11" t="n">
        <v>0</v>
      </c>
      <c r="M20" s="11" t="n">
        <v>0</v>
      </c>
      <c r="N20" s="10" t="s">
        <v>64</v>
      </c>
      <c r="O20" s="10"/>
      <c r="P20" s="10" t="s">
        <v>53</v>
      </c>
      <c r="Q20" s="16" t="n">
        <v>10</v>
      </c>
      <c r="R20" s="10"/>
      <c r="S20" s="10"/>
      <c r="T20" s="10" t="n">
        <v>0</v>
      </c>
      <c r="U20" s="11" t="n">
        <f aca="false">IF(E20="TRANSPORT",IF(T20="","",T20*5),IF(AL20="","",AL20))</f>
        <v>0</v>
      </c>
      <c r="V20" s="10" t="s">
        <v>54</v>
      </c>
      <c r="W20" s="15" t="s">
        <v>70</v>
      </c>
      <c r="X20" s="15" t="s">
        <v>56</v>
      </c>
      <c r="Y20" s="17" t="n">
        <v>46212.3281134259</v>
      </c>
      <c r="Z20" s="18" t="n">
        <f aca="false">IF(I20="",0,IF(ISNUMBER(SEARCH("mp",LOWER(J20))),I20,IF(ISNUMBER(SEARCH("ton",LOWER(J20))),I20/0.33,IF(ISNUMBER(SEARCH("m3",LOWER(J20))),I20*4,I20))))</f>
        <v>88</v>
      </c>
      <c r="AA20" s="18" t="n">
        <f aca="false">IF(I20="",0,IF(ISNUMBER(SEARCH("mp",LOWER(J20))),I20*0.33,IF(ISNUMBER(SEARCH("ton",LOWER(J20))),I20,I20*0.33)))</f>
        <v>29.04</v>
      </c>
      <c r="AB20" s="18" t="n">
        <f aca="false">Tabela_dane[[#This Row],[Wolumen_t]]*8.5</f>
        <v>246.84</v>
      </c>
      <c r="AC20" s="18" t="n">
        <f aca="false">IF(G20&lt;&gt;"TAK",0,IF(OR(E20="ZAKUP",E20="PRODUKCJA"),Z20,IF(OR(E20="SPRZEDAŻ",E20="ZUŻYCIE"),-Z20,0)))</f>
        <v>0</v>
      </c>
      <c r="AD20" s="18" t="n">
        <f aca="false">IF(G20&lt;&gt;"TAK",0,IF(OR(E20="ZAKUP",E20="PRODUKCJA"),AA20,IF(OR(E20="SPRZEDAŻ",E20="ZUŻYCIE"),-AA20,0)))</f>
        <v>0</v>
      </c>
      <c r="AE20" s="19" t="n">
        <f aca="false">IF(E20="ZAKUP",IF(L20&lt;&gt;"",L20,IF(K20&lt;&gt;"",Z20*K20,0)),0)</f>
        <v>0</v>
      </c>
      <c r="AF20" s="19" t="n">
        <f aca="false">IF(E20="SPRZEDAŻ",IF(M20&lt;&gt;"",Z20*M20,0),0)</f>
        <v>0</v>
      </c>
      <c r="AG20" s="19" t="str">
        <f aca="false">IF(R20="","",IF(LOWER(R20)="brak","Brak",IF(OR(ISNUMBER(SEARCH("ric pl",LOWER(R20))),ISNUMBER(SEARCH("wojciechowski",LOWER(R20)))),"Własny","Zewnętrzny")))</f>
        <v/>
      </c>
      <c r="AH20" s="19" t="n">
        <f aca="false">Z20*Q20</f>
        <v>880</v>
      </c>
      <c r="AI20" s="19" t="str">
        <f aca="false">UPPER(TEXT(C20,"mmmm"))</f>
        <v>JULY</v>
      </c>
      <c r="AJ20" s="19" t="str">
        <f aca="false">IF(C20="","",TEXT(C20,"rrrr"))</f>
        <v>CE5786CE5786</v>
      </c>
      <c r="AK20" s="10"/>
      <c r="AL20" s="11" t="n">
        <v>0</v>
      </c>
      <c r="AM20" s="10" t="s">
        <v>87</v>
      </c>
      <c r="AN20" s="10" t="s">
        <v>59</v>
      </c>
      <c r="AO20" s="10"/>
      <c r="AP20" s="10"/>
      <c r="AQ20" s="10"/>
      <c r="AR20" s="10" t="s">
        <v>66</v>
      </c>
      <c r="AS20" s="10"/>
      <c r="AT20" s="15" t="n">
        <v>1</v>
      </c>
    </row>
    <row r="21" customFormat="false" ht="28.5" hidden="false" customHeight="true" outlineLevel="0" collapsed="false">
      <c r="A21" s="12" t="n">
        <v>46210</v>
      </c>
      <c r="B21" s="12" t="s">
        <v>56</v>
      </c>
      <c r="C21" s="12" t="n">
        <v>46210</v>
      </c>
      <c r="D21" s="10" t="s">
        <v>54</v>
      </c>
      <c r="E21" s="10" t="s">
        <v>63</v>
      </c>
      <c r="F21" s="13" t="s">
        <v>86</v>
      </c>
      <c r="G21" s="14" t="s">
        <v>49</v>
      </c>
      <c r="H21" s="10" t="s">
        <v>50</v>
      </c>
      <c r="I21" s="15" t="n">
        <v>88</v>
      </c>
      <c r="J21" s="10" t="s">
        <v>51</v>
      </c>
      <c r="K21" s="15" t="n">
        <v>70</v>
      </c>
      <c r="L21" s="11" t="n">
        <v>6864</v>
      </c>
      <c r="M21" s="11" t="n">
        <v>0</v>
      </c>
      <c r="N21" s="10" t="s">
        <v>52</v>
      </c>
      <c r="O21" s="10" t="s">
        <v>67</v>
      </c>
      <c r="P21" s="10"/>
      <c r="Q21" s="16" t="n">
        <v>0</v>
      </c>
      <c r="R21" s="10" t="s">
        <v>94</v>
      </c>
      <c r="S21" s="10" t="s">
        <v>95</v>
      </c>
      <c r="T21" s="10" t="n">
        <v>110</v>
      </c>
      <c r="U21" s="11" t="n">
        <f aca="false">IF(E21="TRANSPORT",IF(T21="","",T21*5),IF(AL21="","",AL21))</f>
        <v>550</v>
      </c>
      <c r="V21" s="10" t="s">
        <v>54</v>
      </c>
      <c r="W21" s="15" t="s">
        <v>70</v>
      </c>
      <c r="X21" s="15" t="s">
        <v>56</v>
      </c>
      <c r="Y21" s="17" t="n">
        <v>46212.3291435185</v>
      </c>
      <c r="Z21" s="18" t="n">
        <f aca="false">IF(I21="",0,IF(ISNUMBER(SEARCH("mp",LOWER(J21))),I21,IF(ISNUMBER(SEARCH("ton",LOWER(J21))),I21/0.33,IF(ISNUMBER(SEARCH("m3",LOWER(J21))),I21*4,I21))))</f>
        <v>88</v>
      </c>
      <c r="AA21" s="18" t="n">
        <f aca="false">IF(I21="",0,IF(ISNUMBER(SEARCH("mp",LOWER(J21))),I21*0.33,IF(ISNUMBER(SEARCH("ton",LOWER(J21))),I21,I21*0.33)))</f>
        <v>29.04</v>
      </c>
      <c r="AB21" s="18" t="n">
        <f aca="false">Tabela_dane[[#This Row],[Wolumen_t]]*8.5</f>
        <v>246.84</v>
      </c>
      <c r="AC21" s="18" t="n">
        <f aca="false">IF(G21&lt;&gt;"TAK",0,IF(OR(E21="ZAKUP",E21="PRODUKCJA"),Z21,IF(OR(E21="SPRZEDAŻ",E21="ZUŻYCIE"),-Z21,0)))</f>
        <v>88</v>
      </c>
      <c r="AD21" s="18" t="n">
        <f aca="false">IF(G21&lt;&gt;"TAK",0,IF(OR(E21="ZAKUP",E21="PRODUKCJA"),AA21,IF(OR(E21="SPRZEDAŻ",E21="ZUŻYCIE"),-AA21,0)))</f>
        <v>29.04</v>
      </c>
      <c r="AE21" s="19" t="n">
        <f aca="false">IF(E21="ZAKUP",IF(L21&lt;&gt;"",L21,IF(K21&lt;&gt;"",Z21*K21,0)),0)</f>
        <v>6864</v>
      </c>
      <c r="AF21" s="19" t="n">
        <f aca="false">IF(E21="SPRZEDAŻ",IF(M21&lt;&gt;"",Z21*M21,0),0)</f>
        <v>0</v>
      </c>
      <c r="AG21" s="19" t="str">
        <f aca="false">IF(R21="","",IF(LOWER(R21)="brak","Brak",IF(OR(ISNUMBER(SEARCH("ric pl",LOWER(R21))),ISNUMBER(SEARCH("wojciechowski",LOWER(R21)))),"Własny","Zewnętrzny")))</f>
        <v>Zewnętrzny</v>
      </c>
      <c r="AH21" s="19" t="n">
        <f aca="false">Z21*Q21</f>
        <v>0</v>
      </c>
      <c r="AI21" s="19" t="str">
        <f aca="false">UPPER(TEXT(C21,"mmmm"))</f>
        <v>JULY</v>
      </c>
      <c r="AJ21" s="19" t="str">
        <f aca="false">IF(C21="","",TEXT(C21,"rrrr"))</f>
        <v>CE5786CE5786</v>
      </c>
      <c r="AK21" s="10"/>
      <c r="AL21" s="11" t="n">
        <v>550</v>
      </c>
      <c r="AM21" s="10" t="s">
        <v>96</v>
      </c>
      <c r="AN21" s="10" t="s">
        <v>49</v>
      </c>
      <c r="AO21" s="10"/>
      <c r="AP21" s="10"/>
      <c r="AQ21" s="10"/>
      <c r="AR21" s="10" t="s">
        <v>66</v>
      </c>
      <c r="AS21" s="10"/>
      <c r="AT21" s="15" t="n">
        <v>1</v>
      </c>
    </row>
    <row r="22" customFormat="false" ht="28.5" hidden="false" customHeight="true" outlineLevel="0" collapsed="false">
      <c r="A22" s="12" t="n">
        <v>46210</v>
      </c>
      <c r="B22" s="12"/>
      <c r="C22" s="12" t="n">
        <v>46210</v>
      </c>
      <c r="D22" s="10" t="s">
        <v>46</v>
      </c>
      <c r="E22" s="10" t="s">
        <v>63</v>
      </c>
      <c r="F22" s="13" t="s">
        <v>88</v>
      </c>
      <c r="G22" s="14" t="s">
        <v>59</v>
      </c>
      <c r="H22" s="10" t="s">
        <v>50</v>
      </c>
      <c r="I22" s="15" t="n">
        <v>88</v>
      </c>
      <c r="J22" s="10" t="s">
        <v>51</v>
      </c>
      <c r="K22" s="15" t="n">
        <v>78</v>
      </c>
      <c r="L22" s="11" t="n">
        <v>0</v>
      </c>
      <c r="M22" s="11" t="n">
        <v>0</v>
      </c>
      <c r="N22" s="10" t="s">
        <v>64</v>
      </c>
      <c r="O22" s="10"/>
      <c r="P22" s="10" t="s">
        <v>53</v>
      </c>
      <c r="Q22" s="16" t="n">
        <v>10</v>
      </c>
      <c r="R22" s="10"/>
      <c r="S22" s="10"/>
      <c r="T22" s="10" t="n">
        <v>0</v>
      </c>
      <c r="U22" s="11" t="n">
        <f aca="false">IF(E22="TRANSPORT",IF(T22="","",T22*5),IF(AL22="","",AL22))</f>
        <v>0</v>
      </c>
      <c r="V22" s="10" t="s">
        <v>54</v>
      </c>
      <c r="W22" s="15" t="s">
        <v>70</v>
      </c>
      <c r="X22" s="15" t="s">
        <v>56</v>
      </c>
      <c r="Y22" s="17" t="n">
        <v>46212.332650463</v>
      </c>
      <c r="Z22" s="18" t="n">
        <f aca="false">IF(I22="",0,IF(ISNUMBER(SEARCH("mp",LOWER(J22))),I22,IF(ISNUMBER(SEARCH("ton",LOWER(J22))),I22/0.33,IF(ISNUMBER(SEARCH("m3",LOWER(J22))),I22*4,I22))))</f>
        <v>88</v>
      </c>
      <c r="AA22" s="18" t="n">
        <f aca="false">IF(I22="",0,IF(ISNUMBER(SEARCH("mp",LOWER(J22))),I22*0.33,IF(ISNUMBER(SEARCH("ton",LOWER(J22))),I22,I22*0.33)))</f>
        <v>29.04</v>
      </c>
      <c r="AB22" s="18" t="n">
        <f aca="false">Tabela_dane[[#This Row],[Wolumen_t]]*8.5</f>
        <v>246.84</v>
      </c>
      <c r="AC22" s="18" t="n">
        <f aca="false">IF(G22&lt;&gt;"TAK",0,IF(OR(E22="ZAKUP",E22="PRODUKCJA"),Z22,IF(OR(E22="SPRZEDAŻ",E22="ZUŻYCIE"),-Z22,0)))</f>
        <v>0</v>
      </c>
      <c r="AD22" s="18" t="n">
        <f aca="false">IF(G22&lt;&gt;"TAK",0,IF(OR(E22="ZAKUP",E22="PRODUKCJA"),AA22,IF(OR(E22="SPRZEDAŻ",E22="ZUŻYCIE"),-AA22,0)))</f>
        <v>0</v>
      </c>
      <c r="AE22" s="19" t="n">
        <f aca="false">IF(E22="ZAKUP",IF(L22&lt;&gt;"",L22,IF(K22&lt;&gt;"",Z22*K22,0)),0)</f>
        <v>0</v>
      </c>
      <c r="AF22" s="19" t="n">
        <f aca="false">IF(E22="SPRZEDAŻ",IF(M22&lt;&gt;"",Z22*M22,0),0)</f>
        <v>0</v>
      </c>
      <c r="AG22" s="19" t="str">
        <f aca="false">IF(R22="","",IF(LOWER(R22)="brak","Brak",IF(OR(ISNUMBER(SEARCH("ric pl",LOWER(R22))),ISNUMBER(SEARCH("wojciechowski",LOWER(R22)))),"Własny","Zewnętrzny")))</f>
        <v/>
      </c>
      <c r="AH22" s="19" t="n">
        <f aca="false">Z22*Q22</f>
        <v>880</v>
      </c>
      <c r="AI22" s="19" t="str">
        <f aca="false">UPPER(TEXT(C22,"mmmm"))</f>
        <v>JULY</v>
      </c>
      <c r="AJ22" s="19" t="str">
        <f aca="false">IF(C22="","",TEXT(C22,"rrrr"))</f>
        <v>CE5786CE5786</v>
      </c>
      <c r="AK22" s="10"/>
      <c r="AL22" s="11" t="n">
        <v>0</v>
      </c>
      <c r="AM22" s="10" t="s">
        <v>89</v>
      </c>
      <c r="AN22" s="10" t="s">
        <v>59</v>
      </c>
      <c r="AO22" s="10"/>
      <c r="AP22" s="10"/>
      <c r="AQ22" s="10"/>
      <c r="AR22" s="10" t="s">
        <v>66</v>
      </c>
      <c r="AS22" s="10"/>
      <c r="AT22" s="15" t="n">
        <v>1</v>
      </c>
    </row>
    <row r="23" customFormat="false" ht="28.5" hidden="false" customHeight="true" outlineLevel="0" collapsed="false">
      <c r="A23" s="12" t="n">
        <v>46210</v>
      </c>
      <c r="B23" s="12" t="s">
        <v>56</v>
      </c>
      <c r="C23" s="12" t="n">
        <v>46210</v>
      </c>
      <c r="D23" s="10" t="s">
        <v>54</v>
      </c>
      <c r="E23" s="10" t="s">
        <v>63</v>
      </c>
      <c r="F23" s="13" t="s">
        <v>88</v>
      </c>
      <c r="G23" s="14" t="s">
        <v>49</v>
      </c>
      <c r="H23" s="10" t="s">
        <v>50</v>
      </c>
      <c r="I23" s="15" t="n">
        <v>88</v>
      </c>
      <c r="J23" s="10" t="s">
        <v>51</v>
      </c>
      <c r="K23" s="15" t="n">
        <v>70</v>
      </c>
      <c r="L23" s="11" t="n">
        <v>6864</v>
      </c>
      <c r="M23" s="11" t="n">
        <v>0</v>
      </c>
      <c r="N23" s="10" t="s">
        <v>52</v>
      </c>
      <c r="O23" s="10" t="s">
        <v>67</v>
      </c>
      <c r="P23" s="10"/>
      <c r="Q23" s="16" t="n">
        <v>0</v>
      </c>
      <c r="R23" s="10" t="s">
        <v>97</v>
      </c>
      <c r="S23" s="10" t="s">
        <v>98</v>
      </c>
      <c r="T23" s="10" t="n">
        <v>110</v>
      </c>
      <c r="U23" s="11" t="n">
        <f aca="false">IF(E23="TRANSPORT",IF(T23="","",T23*5),IF(AL23="","",AL23))</f>
        <v>550</v>
      </c>
      <c r="V23" s="10" t="s">
        <v>54</v>
      </c>
      <c r="W23" s="15" t="s">
        <v>70</v>
      </c>
      <c r="X23" s="15" t="s">
        <v>56</v>
      </c>
      <c r="Y23" s="17" t="n">
        <v>46212.3340393519</v>
      </c>
      <c r="Z23" s="18" t="n">
        <f aca="false">IF(I23="",0,IF(ISNUMBER(SEARCH("mp",LOWER(J23))),I23,IF(ISNUMBER(SEARCH("ton",LOWER(J23))),I23/0.33,IF(ISNUMBER(SEARCH("m3",LOWER(J23))),I23*4,I23))))</f>
        <v>88</v>
      </c>
      <c r="AA23" s="18" t="n">
        <f aca="false">IF(I23="",0,IF(ISNUMBER(SEARCH("mp",LOWER(J23))),I23*0.33,IF(ISNUMBER(SEARCH("ton",LOWER(J23))),I23,I23*0.33)))</f>
        <v>29.04</v>
      </c>
      <c r="AB23" s="18" t="n">
        <f aca="false">Tabela_dane[[#This Row],[Wolumen_t]]*8.5</f>
        <v>246.84</v>
      </c>
      <c r="AC23" s="18" t="n">
        <f aca="false">IF(G23&lt;&gt;"TAK",0,IF(OR(E23="ZAKUP",E23="PRODUKCJA"),Z23,IF(OR(E23="SPRZEDAŻ",E23="ZUŻYCIE"),-Z23,0)))</f>
        <v>88</v>
      </c>
      <c r="AD23" s="18" t="n">
        <f aca="false">IF(G23&lt;&gt;"TAK",0,IF(OR(E23="ZAKUP",E23="PRODUKCJA"),AA23,IF(OR(E23="SPRZEDAŻ",E23="ZUŻYCIE"),-AA23,0)))</f>
        <v>29.04</v>
      </c>
      <c r="AE23" s="19" t="n">
        <f aca="false">IF(E23="ZAKUP",IF(L23&lt;&gt;"",L23,IF(K23&lt;&gt;"",Z23*K23,0)),0)</f>
        <v>6864</v>
      </c>
      <c r="AF23" s="19" t="n">
        <f aca="false">IF(E23="SPRZEDAŻ",IF(M23&lt;&gt;"",Z23*M23,0),0)</f>
        <v>0</v>
      </c>
      <c r="AG23" s="19" t="str">
        <f aca="false">IF(R23="","",IF(LOWER(R23)="brak","Brak",IF(OR(ISNUMBER(SEARCH("ric pl",LOWER(R23))),ISNUMBER(SEARCH("wojciechowski",LOWER(R23)))),"Własny","Zewnętrzny")))</f>
        <v>Zewnętrzny</v>
      </c>
      <c r="AH23" s="19" t="n">
        <f aca="false">Z23*Q23</f>
        <v>0</v>
      </c>
      <c r="AI23" s="19" t="str">
        <f aca="false">UPPER(TEXT(C23,"mmmm"))</f>
        <v>JULY</v>
      </c>
      <c r="AJ23" s="19" t="str">
        <f aca="false">IF(C23="","",TEXT(C23,"rrrr"))</f>
        <v>CE5786CE5786</v>
      </c>
      <c r="AK23" s="10"/>
      <c r="AL23" s="11" t="n">
        <v>550</v>
      </c>
      <c r="AM23" s="10" t="s">
        <v>99</v>
      </c>
      <c r="AN23" s="10" t="s">
        <v>49</v>
      </c>
      <c r="AO23" s="10"/>
      <c r="AP23" s="10"/>
      <c r="AQ23" s="10"/>
      <c r="AR23" s="10" t="s">
        <v>66</v>
      </c>
      <c r="AS23" s="10"/>
      <c r="AT23" s="15" t="n">
        <v>1</v>
      </c>
    </row>
    <row r="24" customFormat="false" ht="28.5" hidden="false" customHeight="true" outlineLevel="0" collapsed="false">
      <c r="A24" s="12" t="n">
        <v>46210</v>
      </c>
      <c r="B24" s="12"/>
      <c r="C24" s="12" t="n">
        <v>46210</v>
      </c>
      <c r="D24" s="10" t="s">
        <v>46</v>
      </c>
      <c r="E24" s="10" t="s">
        <v>63</v>
      </c>
      <c r="F24" s="13" t="s">
        <v>90</v>
      </c>
      <c r="G24" s="14" t="s">
        <v>59</v>
      </c>
      <c r="H24" s="10" t="s">
        <v>50</v>
      </c>
      <c r="I24" s="15" t="n">
        <v>88</v>
      </c>
      <c r="J24" s="10" t="s">
        <v>51</v>
      </c>
      <c r="K24" s="15" t="n">
        <v>78</v>
      </c>
      <c r="L24" s="11" t="n">
        <v>0</v>
      </c>
      <c r="M24" s="11" t="n">
        <v>0</v>
      </c>
      <c r="N24" s="10" t="s">
        <v>64</v>
      </c>
      <c r="O24" s="10"/>
      <c r="P24" s="10" t="s">
        <v>53</v>
      </c>
      <c r="Q24" s="16" t="n">
        <v>10</v>
      </c>
      <c r="R24" s="10"/>
      <c r="S24" s="10"/>
      <c r="T24" s="10" t="n">
        <v>0</v>
      </c>
      <c r="U24" s="11" t="n">
        <f aca="false">IF(E24="TRANSPORT",IF(T24="","",T24*5),IF(AL24="","",AL24))</f>
        <v>0</v>
      </c>
      <c r="V24" s="10" t="s">
        <v>54</v>
      </c>
      <c r="W24" s="15" t="s">
        <v>65</v>
      </c>
      <c r="X24" s="15" t="s">
        <v>56</v>
      </c>
      <c r="Y24" s="17" t="n">
        <v>46212.3362731482</v>
      </c>
      <c r="Z24" s="18" t="n">
        <f aca="false">IF(I24="",0,IF(ISNUMBER(SEARCH("mp",LOWER(J24))),I24,IF(ISNUMBER(SEARCH("ton",LOWER(J24))),I24/0.33,IF(ISNUMBER(SEARCH("m3",LOWER(J24))),I24*4,I24))))</f>
        <v>88</v>
      </c>
      <c r="AA24" s="18" t="n">
        <f aca="false">IF(I24="",0,IF(ISNUMBER(SEARCH("mp",LOWER(J24))),I24*0.33,IF(ISNUMBER(SEARCH("ton",LOWER(J24))),I24,I24*0.33)))</f>
        <v>29.04</v>
      </c>
      <c r="AB24" s="18" t="n">
        <f aca="false">Tabela_dane[[#This Row],[Wolumen_t]]*8.5</f>
        <v>246.84</v>
      </c>
      <c r="AC24" s="18" t="n">
        <f aca="false">IF(G24&lt;&gt;"TAK",0,IF(OR(E24="ZAKUP",E24="PRODUKCJA"),Z24,IF(OR(E24="SPRZEDAŻ",E24="ZUŻYCIE"),-Z24,0)))</f>
        <v>0</v>
      </c>
      <c r="AD24" s="18" t="n">
        <f aca="false">IF(G24&lt;&gt;"TAK",0,IF(OR(E24="ZAKUP",E24="PRODUKCJA"),AA24,IF(OR(E24="SPRZEDAŻ",E24="ZUŻYCIE"),-AA24,0)))</f>
        <v>0</v>
      </c>
      <c r="AE24" s="19" t="n">
        <f aca="false">IF(E24="ZAKUP",IF(L24&lt;&gt;"",L24,IF(K24&lt;&gt;"",Z24*K24,0)),0)</f>
        <v>0</v>
      </c>
      <c r="AF24" s="19" t="n">
        <f aca="false">IF(E24="SPRZEDAŻ",IF(M24&lt;&gt;"",Z24*M24,0),0)</f>
        <v>0</v>
      </c>
      <c r="AG24" s="19" t="str">
        <f aca="false">IF(R24="","",IF(LOWER(R24)="brak","Brak",IF(OR(ISNUMBER(SEARCH("ric pl",LOWER(R24))),ISNUMBER(SEARCH("wojciechowski",LOWER(R24)))),"Własny","Zewnętrzny")))</f>
        <v/>
      </c>
      <c r="AH24" s="19" t="n">
        <f aca="false">Z24*Q24</f>
        <v>880</v>
      </c>
      <c r="AI24" s="19" t="str">
        <f aca="false">UPPER(TEXT(C24,"mmmm"))</f>
        <v>JULY</v>
      </c>
      <c r="AJ24" s="19" t="str">
        <f aca="false">IF(C24="","",TEXT(C24,"rrrr"))</f>
        <v>CE5786CE5786</v>
      </c>
      <c r="AK24" s="10"/>
      <c r="AL24" s="11" t="n">
        <v>0</v>
      </c>
      <c r="AM24" s="10" t="s">
        <v>91</v>
      </c>
      <c r="AN24" s="10" t="s">
        <v>59</v>
      </c>
      <c r="AO24" s="10"/>
      <c r="AP24" s="10"/>
      <c r="AQ24" s="10"/>
      <c r="AR24" s="10" t="s">
        <v>66</v>
      </c>
      <c r="AS24" s="10"/>
      <c r="AT24" s="15" t="n">
        <v>1</v>
      </c>
    </row>
    <row r="25" customFormat="false" ht="28.5" hidden="false" customHeight="true" outlineLevel="0" collapsed="false">
      <c r="A25" s="12" t="n">
        <v>46210</v>
      </c>
      <c r="B25" s="12" t="s">
        <v>56</v>
      </c>
      <c r="C25" s="12" t="n">
        <v>46210</v>
      </c>
      <c r="D25" s="10" t="s">
        <v>54</v>
      </c>
      <c r="E25" s="10" t="s">
        <v>63</v>
      </c>
      <c r="F25" s="13" t="s">
        <v>90</v>
      </c>
      <c r="G25" s="14" t="s">
        <v>49</v>
      </c>
      <c r="H25" s="10" t="s">
        <v>50</v>
      </c>
      <c r="I25" s="15" t="n">
        <v>88</v>
      </c>
      <c r="J25" s="10" t="s">
        <v>51</v>
      </c>
      <c r="K25" s="15" t="n">
        <v>70</v>
      </c>
      <c r="L25" s="11" t="n">
        <v>6864</v>
      </c>
      <c r="M25" s="11" t="n">
        <v>0</v>
      </c>
      <c r="N25" s="10" t="s">
        <v>52</v>
      </c>
      <c r="O25" s="10" t="s">
        <v>67</v>
      </c>
      <c r="P25" s="10"/>
      <c r="Q25" s="16" t="n">
        <v>0</v>
      </c>
      <c r="R25" s="10" t="s">
        <v>94</v>
      </c>
      <c r="S25" s="10" t="s">
        <v>95</v>
      </c>
      <c r="T25" s="10" t="n">
        <v>110</v>
      </c>
      <c r="U25" s="11" t="n">
        <f aca="false">IF(E25="TRANSPORT",IF(T25="","",T25*5),IF(AL25="","",AL25))</f>
        <v>550</v>
      </c>
      <c r="V25" s="10" t="s">
        <v>54</v>
      </c>
      <c r="W25" s="15" t="s">
        <v>70</v>
      </c>
      <c r="X25" s="15" t="s">
        <v>56</v>
      </c>
      <c r="Y25" s="17" t="n">
        <v>46212.3373958333</v>
      </c>
      <c r="Z25" s="18" t="n">
        <f aca="false">IF(I25="",0,IF(ISNUMBER(SEARCH("mp",LOWER(J25))),I25,IF(ISNUMBER(SEARCH("ton",LOWER(J25))),I25/0.33,IF(ISNUMBER(SEARCH("m3",LOWER(J25))),I25*4,I25))))</f>
        <v>88</v>
      </c>
      <c r="AA25" s="18" t="n">
        <f aca="false">IF(I25="",0,IF(ISNUMBER(SEARCH("mp",LOWER(J25))),I25*0.33,IF(ISNUMBER(SEARCH("ton",LOWER(J25))),I25,I25*0.33)))</f>
        <v>29.04</v>
      </c>
      <c r="AB25" s="18" t="n">
        <f aca="false">Tabela_dane[[#This Row],[Wolumen_t]]*8.5</f>
        <v>246.84</v>
      </c>
      <c r="AC25" s="18" t="n">
        <f aca="false">IF(G25&lt;&gt;"TAK",0,IF(OR(E25="ZAKUP",E25="PRODUKCJA"),Z25,IF(OR(E25="SPRZEDAŻ",E25="ZUŻYCIE"),-Z25,0)))</f>
        <v>88</v>
      </c>
      <c r="AD25" s="18" t="n">
        <f aca="false">IF(G25&lt;&gt;"TAK",0,IF(OR(E25="ZAKUP",E25="PRODUKCJA"),AA25,IF(OR(E25="SPRZEDAŻ",E25="ZUŻYCIE"),-AA25,0)))</f>
        <v>29.04</v>
      </c>
      <c r="AE25" s="19" t="n">
        <f aca="false">IF(E25="ZAKUP",IF(L25&lt;&gt;"",L25,IF(K25&lt;&gt;"",Z25*K25,0)),0)</f>
        <v>6864</v>
      </c>
      <c r="AF25" s="19" t="n">
        <f aca="false">IF(E25="SPRZEDAŻ",IF(M25&lt;&gt;"",Z25*M25,0),0)</f>
        <v>0</v>
      </c>
      <c r="AG25" s="19" t="str">
        <f aca="false">IF(R25="","",IF(LOWER(R25)="brak","Brak",IF(OR(ISNUMBER(SEARCH("ric pl",LOWER(R25))),ISNUMBER(SEARCH("wojciechowski",LOWER(R25)))),"Własny","Zewnętrzny")))</f>
        <v>Zewnętrzny</v>
      </c>
      <c r="AH25" s="19" t="n">
        <f aca="false">Z25*Q25</f>
        <v>0</v>
      </c>
      <c r="AI25" s="19" t="str">
        <f aca="false">UPPER(TEXT(C25,"mmmm"))</f>
        <v>JULY</v>
      </c>
      <c r="AJ25" s="19" t="str">
        <f aca="false">IF(C25="","",TEXT(C25,"rrrr"))</f>
        <v>CE5786CE5786</v>
      </c>
      <c r="AK25" s="10"/>
      <c r="AL25" s="11" t="n">
        <v>550</v>
      </c>
      <c r="AM25" s="10" t="s">
        <v>100</v>
      </c>
      <c r="AN25" s="10" t="s">
        <v>49</v>
      </c>
      <c r="AO25" s="10"/>
      <c r="AP25" s="10"/>
      <c r="AQ25" s="10"/>
      <c r="AR25" s="10" t="s">
        <v>66</v>
      </c>
      <c r="AS25" s="10"/>
      <c r="AT25" s="15" t="n">
        <v>1</v>
      </c>
    </row>
    <row r="26" customFormat="false" ht="28.5" hidden="false" customHeight="true" outlineLevel="0" collapsed="false">
      <c r="A26" s="12" t="n">
        <v>46210</v>
      </c>
      <c r="B26" s="12"/>
      <c r="C26" s="12" t="n">
        <v>46210</v>
      </c>
      <c r="D26" s="10" t="s">
        <v>101</v>
      </c>
      <c r="E26" s="10" t="s">
        <v>63</v>
      </c>
      <c r="F26" s="13" t="s">
        <v>102</v>
      </c>
      <c r="G26" s="14" t="s">
        <v>49</v>
      </c>
      <c r="H26" s="10" t="s">
        <v>76</v>
      </c>
      <c r="I26" s="15" t="n">
        <v>26.36</v>
      </c>
      <c r="J26" s="10" t="s">
        <v>103</v>
      </c>
      <c r="K26" s="15" t="n">
        <v>265</v>
      </c>
      <c r="L26" s="11" t="n">
        <v>6985.4</v>
      </c>
      <c r="M26" s="11" t="n">
        <v>0</v>
      </c>
      <c r="N26" s="10" t="s">
        <v>104</v>
      </c>
      <c r="O26" s="10"/>
      <c r="P26" s="10"/>
      <c r="Q26" s="16" t="n">
        <v>0</v>
      </c>
      <c r="R26" s="10"/>
      <c r="S26" s="10"/>
      <c r="T26" s="10" t="n">
        <v>0</v>
      </c>
      <c r="U26" s="11" t="n">
        <f aca="false">IF(E26="TRANSPORT",IF(T26="","",T26*5),IF(AL26="","",AL26))</f>
        <v>0</v>
      </c>
      <c r="V26" s="10" t="s">
        <v>54</v>
      </c>
      <c r="W26" s="15" t="s">
        <v>70</v>
      </c>
      <c r="X26" s="15"/>
      <c r="Y26" s="17" t="n">
        <v>46216.5304398148</v>
      </c>
      <c r="Z26" s="18" t="n">
        <f aca="false">IF(I26="",0,IF(ISNUMBER(SEARCH("mp",LOWER(J26))),I26,IF(ISNUMBER(SEARCH("ton",LOWER(J26))),I26/0.33,IF(ISNUMBER(SEARCH("m3",LOWER(J26))),I26*4,I26))))</f>
        <v>79.8787878787879</v>
      </c>
      <c r="AA26" s="18" t="n">
        <f aca="false">IF(I26="",0,IF(ISNUMBER(SEARCH("mp",LOWER(J26))),I26*0.33,IF(ISNUMBER(SEARCH("ton",LOWER(J26))),I26,I26*0.33)))</f>
        <v>26.36</v>
      </c>
      <c r="AB26" s="18" t="n">
        <f aca="false">Tabela_dane[[#This Row],[Wolumen_t]]*8.5</f>
        <v>224.06</v>
      </c>
      <c r="AC26" s="18" t="n">
        <f aca="false">IF(G26&lt;&gt;"TAK",0,IF(OR(E26="ZAKUP",E26="PRODUKCJA"),Z26,IF(OR(E26="SPRZEDAŻ",E26="ZUŻYCIE"),-Z26,0)))</f>
        <v>79.8787878787879</v>
      </c>
      <c r="AD26" s="18" t="n">
        <f aca="false">IF(G26&lt;&gt;"TAK",0,IF(OR(E26="ZAKUP",E26="PRODUKCJA"),AA26,IF(OR(E26="SPRZEDAŻ",E26="ZUŻYCIE"),-AA26,0)))</f>
        <v>26.36</v>
      </c>
      <c r="AE26" s="19" t="n">
        <f aca="false">IF(E26="ZAKUP",IF(L26&lt;&gt;"",L26,IF(K26&lt;&gt;"",Z26*K26,0)),0)</f>
        <v>6985.4</v>
      </c>
      <c r="AF26" s="19" t="n">
        <f aca="false">IF(E26="SPRZEDAŻ",IF(M26&lt;&gt;"",Z26*M26,0),0)</f>
        <v>0</v>
      </c>
      <c r="AG26" s="19" t="str">
        <f aca="false">IF(R26="","",IF(LOWER(R26)="brak","Brak",IF(OR(ISNUMBER(SEARCH("ric pl",LOWER(R26))),ISNUMBER(SEARCH("wojciechowski",LOWER(R26)))),"Własny","Zewnętrzny")))</f>
        <v/>
      </c>
      <c r="AH26" s="19" t="n">
        <f aca="false">Z26*Q26</f>
        <v>0</v>
      </c>
      <c r="AI26" s="19" t="str">
        <f aca="false">UPPER(TEXT(C26,"mmmm"))</f>
        <v>JULY</v>
      </c>
      <c r="AJ26" s="19" t="str">
        <f aca="false">IF(C26="","",TEXT(C26,"rrrr"))</f>
        <v>CE5786CE5786</v>
      </c>
      <c r="AK26" s="10"/>
      <c r="AL26" s="11" t="n">
        <v>0</v>
      </c>
      <c r="AM26" s="10" t="s">
        <v>105</v>
      </c>
      <c r="AN26" s="10" t="s">
        <v>59</v>
      </c>
      <c r="AO26" s="10"/>
      <c r="AP26" s="10"/>
      <c r="AQ26" s="10"/>
      <c r="AR26" s="10" t="s">
        <v>66</v>
      </c>
      <c r="AS26" s="10"/>
      <c r="AT26" s="15" t="n">
        <v>1</v>
      </c>
    </row>
    <row r="27" customFormat="false" ht="28.5" hidden="false" customHeight="true" outlineLevel="0" collapsed="false">
      <c r="A27" s="12" t="n">
        <v>46210</v>
      </c>
      <c r="B27" s="12"/>
      <c r="C27" s="12" t="n">
        <v>46210</v>
      </c>
      <c r="D27" s="10" t="s">
        <v>46</v>
      </c>
      <c r="E27" s="10" t="s">
        <v>79</v>
      </c>
      <c r="F27" s="13" t="s">
        <v>82</v>
      </c>
      <c r="G27" s="14" t="s">
        <v>59</v>
      </c>
      <c r="H27" s="10" t="s">
        <v>50</v>
      </c>
      <c r="I27" s="15" t="n">
        <v>88</v>
      </c>
      <c r="J27" s="10" t="s">
        <v>51</v>
      </c>
      <c r="K27" s="15" t="n">
        <v>0</v>
      </c>
      <c r="L27" s="11" t="n">
        <v>0</v>
      </c>
      <c r="M27" s="11" t="n">
        <v>0</v>
      </c>
      <c r="N27" s="10" t="s">
        <v>64</v>
      </c>
      <c r="O27" s="10"/>
      <c r="P27" s="10" t="s">
        <v>53</v>
      </c>
      <c r="Q27" s="16" t="n">
        <v>10</v>
      </c>
      <c r="R27" s="10"/>
      <c r="S27" s="10"/>
      <c r="T27" s="10" t="n">
        <v>0</v>
      </c>
      <c r="U27" s="11" t="n">
        <f aca="false">IF(E27="TRANSPORT",IF(T27="","",T27*5),IF(AL27="","",AL27))</f>
        <v>0</v>
      </c>
      <c r="V27" s="10" t="s">
        <v>54</v>
      </c>
      <c r="W27" s="15" t="s">
        <v>80</v>
      </c>
      <c r="X27" s="15" t="s">
        <v>56</v>
      </c>
      <c r="Y27" s="17" t="n">
        <v>46212.3144675926</v>
      </c>
      <c r="Z27" s="18" t="n">
        <f aca="false">IF(I27="",0,IF(ISNUMBER(SEARCH("mp",LOWER(J27))),I27,IF(ISNUMBER(SEARCH("ton",LOWER(J27))),I27/0.33,IF(ISNUMBER(SEARCH("m3",LOWER(J27))),I27*4,I27))))</f>
        <v>88</v>
      </c>
      <c r="AA27" s="18" t="n">
        <f aca="false">IF(I27="",0,IF(ISNUMBER(SEARCH("mp",LOWER(J27))),I27*0.33,IF(ISNUMBER(SEARCH("ton",LOWER(J27))),I27,I27*0.33)))</f>
        <v>29.04</v>
      </c>
      <c r="AB27" s="18" t="n">
        <f aca="false">Tabela_dane[[#This Row],[Wolumen_t]]*8.5</f>
        <v>246.84</v>
      </c>
      <c r="AC27" s="18" t="n">
        <f aca="false">IF(G27&lt;&gt;"TAK",0,IF(OR(E27="ZAKUP",E27="PRODUKCJA"),Z27,IF(OR(E27="SPRZEDAŻ",E27="ZUŻYCIE"),-Z27,0)))</f>
        <v>0</v>
      </c>
      <c r="AD27" s="18" t="n">
        <f aca="false">IF(G27&lt;&gt;"TAK",0,IF(OR(E27="ZAKUP",E27="PRODUKCJA"),AA27,IF(OR(E27="SPRZEDAŻ",E27="ZUŻYCIE"),-AA27,0)))</f>
        <v>0</v>
      </c>
      <c r="AE27" s="19" t="n">
        <f aca="false">IF(E27="ZAKUP",IF(L27&lt;&gt;"",L27,IF(K27&lt;&gt;"",Z27*K27,0)),0)</f>
        <v>0</v>
      </c>
      <c r="AF27" s="19" t="n">
        <f aca="false">IF(E27="SPRZEDAŻ",IF(M27&lt;&gt;"",Z27*M27,0),0)</f>
        <v>0</v>
      </c>
      <c r="AG27" s="19" t="str">
        <f aca="false">IF(R27="","",IF(LOWER(R27)="brak","Brak",IF(OR(ISNUMBER(SEARCH("ric pl",LOWER(R27))),ISNUMBER(SEARCH("wojciechowski",LOWER(R27)))),"Własny","Zewnętrzny")))</f>
        <v/>
      </c>
      <c r="AH27" s="19" t="n">
        <f aca="false">Z27*Q27</f>
        <v>880</v>
      </c>
      <c r="AI27" s="19" t="str">
        <f aca="false">UPPER(TEXT(C27,"mmmm"))</f>
        <v>JULY</v>
      </c>
      <c r="AJ27" s="19" t="str">
        <f aca="false">IF(C27="","",TEXT(C27,"rrrr"))</f>
        <v>CE5786CE5786</v>
      </c>
      <c r="AK27" s="10"/>
      <c r="AL27" s="11" t="n">
        <v>0</v>
      </c>
      <c r="AM27" s="10" t="s">
        <v>83</v>
      </c>
      <c r="AN27" s="10" t="s">
        <v>59</v>
      </c>
      <c r="AO27" s="10"/>
      <c r="AP27" s="10"/>
      <c r="AQ27" s="10"/>
      <c r="AR27" s="10" t="s">
        <v>81</v>
      </c>
      <c r="AS27" s="10"/>
      <c r="AT27" s="15" t="n">
        <v>1</v>
      </c>
    </row>
    <row r="28" customFormat="false" ht="28.5" hidden="false" customHeight="true" outlineLevel="0" collapsed="false">
      <c r="A28" s="12" t="n">
        <v>46210</v>
      </c>
      <c r="B28" s="12"/>
      <c r="C28" s="12" t="n">
        <v>46210</v>
      </c>
      <c r="D28" s="10" t="s">
        <v>46</v>
      </c>
      <c r="E28" s="10" t="s">
        <v>79</v>
      </c>
      <c r="F28" s="13" t="s">
        <v>84</v>
      </c>
      <c r="G28" s="14" t="s">
        <v>59</v>
      </c>
      <c r="H28" s="10" t="s">
        <v>50</v>
      </c>
      <c r="I28" s="15" t="n">
        <v>21</v>
      </c>
      <c r="J28" s="10" t="s">
        <v>77</v>
      </c>
      <c r="K28" s="15" t="n">
        <v>0</v>
      </c>
      <c r="L28" s="11" t="n">
        <v>0</v>
      </c>
      <c r="M28" s="11" t="n">
        <v>0</v>
      </c>
      <c r="N28" s="10" t="s">
        <v>64</v>
      </c>
      <c r="O28" s="10"/>
      <c r="P28" s="10" t="s">
        <v>53</v>
      </c>
      <c r="Q28" s="16" t="n">
        <v>10</v>
      </c>
      <c r="R28" s="10"/>
      <c r="S28" s="10"/>
      <c r="T28" s="10" t="n">
        <v>0</v>
      </c>
      <c r="U28" s="11" t="n">
        <f aca="false">IF(E28="TRANSPORT",IF(T28="","",T28*5),IF(AL28="","",AL28))</f>
        <v>0</v>
      </c>
      <c r="V28" s="10" t="s">
        <v>54</v>
      </c>
      <c r="W28" s="15" t="s">
        <v>80</v>
      </c>
      <c r="X28" s="15" t="s">
        <v>56</v>
      </c>
      <c r="Y28" s="17" t="n">
        <v>46212.3189814815</v>
      </c>
      <c r="Z28" s="18" t="n">
        <f aca="false">IF(I28="",0,IF(ISNUMBER(SEARCH("mp",LOWER(J28))),I28,IF(ISNUMBER(SEARCH("ton",LOWER(J28))),I28/0.33,IF(ISNUMBER(SEARCH("m3",LOWER(J28))),I28*4,I28))))</f>
        <v>84</v>
      </c>
      <c r="AA28" s="18" t="n">
        <f aca="false">IF(I28="",0,IF(ISNUMBER(SEARCH("mp",LOWER(J28))),I28*0.33,IF(ISNUMBER(SEARCH("ton",LOWER(J28))),I28,I28*0.33)))</f>
        <v>6.93</v>
      </c>
      <c r="AB28" s="18" t="n">
        <f aca="false">Tabela_dane[[#This Row],[Wolumen_t]]*8.5</f>
        <v>58.905</v>
      </c>
      <c r="AC28" s="18" t="n">
        <f aca="false">IF(G28&lt;&gt;"TAK",0,IF(OR(E28="ZAKUP",E28="PRODUKCJA"),Z28,IF(OR(E28="SPRZEDAŻ",E28="ZUŻYCIE"),-Z28,0)))</f>
        <v>0</v>
      </c>
      <c r="AD28" s="18" t="n">
        <f aca="false">IF(G28&lt;&gt;"TAK",0,IF(OR(E28="ZAKUP",E28="PRODUKCJA"),AA28,IF(OR(E28="SPRZEDAŻ",E28="ZUŻYCIE"),-AA28,0)))</f>
        <v>0</v>
      </c>
      <c r="AE28" s="19" t="n">
        <f aca="false">IF(E28="ZAKUP",IF(L28&lt;&gt;"",L28,IF(K28&lt;&gt;"",Z28*K28,0)),0)</f>
        <v>0</v>
      </c>
      <c r="AF28" s="19" t="n">
        <f aca="false">IF(E28="SPRZEDAŻ",IF(M28&lt;&gt;"",Z28*M28,0),0)</f>
        <v>0</v>
      </c>
      <c r="AG28" s="19" t="str">
        <f aca="false">IF(R28="","",IF(LOWER(R28)="brak","Brak",IF(OR(ISNUMBER(SEARCH("ric pl",LOWER(R28))),ISNUMBER(SEARCH("wojciechowski",LOWER(R28)))),"Własny","Zewnętrzny")))</f>
        <v/>
      </c>
      <c r="AH28" s="19" t="n">
        <f aca="false">Z28*Q28</f>
        <v>840</v>
      </c>
      <c r="AI28" s="19" t="str">
        <f aca="false">UPPER(TEXT(C28,"mmmm"))</f>
        <v>JULY</v>
      </c>
      <c r="AJ28" s="19" t="str">
        <f aca="false">IF(C28="","",TEXT(C28,"rrrr"))</f>
        <v>CE5786CE5786</v>
      </c>
      <c r="AK28" s="10"/>
      <c r="AL28" s="11" t="n">
        <v>0</v>
      </c>
      <c r="AM28" s="10" t="s">
        <v>85</v>
      </c>
      <c r="AN28" s="10" t="s">
        <v>59</v>
      </c>
      <c r="AO28" s="10"/>
      <c r="AP28" s="10"/>
      <c r="AQ28" s="10"/>
      <c r="AR28" s="10" t="s">
        <v>81</v>
      </c>
      <c r="AS28" s="10"/>
      <c r="AT28" s="15" t="n">
        <v>1</v>
      </c>
    </row>
    <row r="29" customFormat="false" ht="28.5" hidden="false" customHeight="true" outlineLevel="0" collapsed="false">
      <c r="A29" s="12" t="n">
        <v>46210</v>
      </c>
      <c r="B29" s="12"/>
      <c r="C29" s="12" t="n">
        <v>46210</v>
      </c>
      <c r="D29" s="10" t="s">
        <v>46</v>
      </c>
      <c r="E29" s="10" t="s">
        <v>79</v>
      </c>
      <c r="F29" s="13" t="s">
        <v>86</v>
      </c>
      <c r="G29" s="14" t="s">
        <v>59</v>
      </c>
      <c r="H29" s="10" t="s">
        <v>50</v>
      </c>
      <c r="I29" s="15" t="n">
        <v>88</v>
      </c>
      <c r="J29" s="10" t="s">
        <v>51</v>
      </c>
      <c r="K29" s="15" t="n">
        <v>0</v>
      </c>
      <c r="L29" s="11" t="n">
        <v>0</v>
      </c>
      <c r="M29" s="11" t="n">
        <v>0</v>
      </c>
      <c r="N29" s="10" t="s">
        <v>64</v>
      </c>
      <c r="O29" s="10"/>
      <c r="P29" s="10" t="s">
        <v>53</v>
      </c>
      <c r="Q29" s="16" t="n">
        <v>10</v>
      </c>
      <c r="R29" s="10"/>
      <c r="S29" s="10"/>
      <c r="T29" s="10" t="n">
        <v>0</v>
      </c>
      <c r="U29" s="11" t="n">
        <f aca="false">IF(E29="TRANSPORT",IF(T29="","",T29*5),IF(AL29="","",AL29))</f>
        <v>0</v>
      </c>
      <c r="V29" s="10" t="s">
        <v>54</v>
      </c>
      <c r="W29" s="15" t="s">
        <v>80</v>
      </c>
      <c r="X29" s="15" t="s">
        <v>56</v>
      </c>
      <c r="Y29" s="17" t="n">
        <v>46212.3281134259</v>
      </c>
      <c r="Z29" s="18" t="n">
        <f aca="false">IF(I29="",0,IF(ISNUMBER(SEARCH("mp",LOWER(J29))),I29,IF(ISNUMBER(SEARCH("ton",LOWER(J29))),I29/0.33,IF(ISNUMBER(SEARCH("m3",LOWER(J29))),I29*4,I29))))</f>
        <v>88</v>
      </c>
      <c r="AA29" s="18" t="n">
        <f aca="false">IF(I29="",0,IF(ISNUMBER(SEARCH("mp",LOWER(J29))),I29*0.33,IF(ISNUMBER(SEARCH("ton",LOWER(J29))),I29,I29*0.33)))</f>
        <v>29.04</v>
      </c>
      <c r="AB29" s="18" t="n">
        <f aca="false">Tabela_dane[[#This Row],[Wolumen_t]]*8.5</f>
        <v>246.84</v>
      </c>
      <c r="AC29" s="18" t="n">
        <f aca="false">IF(G29&lt;&gt;"TAK",0,IF(OR(E29="ZAKUP",E29="PRODUKCJA"),Z29,IF(OR(E29="SPRZEDAŻ",E29="ZUŻYCIE"),-Z29,0)))</f>
        <v>0</v>
      </c>
      <c r="AD29" s="18" t="n">
        <f aca="false">IF(G29&lt;&gt;"TAK",0,IF(OR(E29="ZAKUP",E29="PRODUKCJA"),AA29,IF(OR(E29="SPRZEDAŻ",E29="ZUŻYCIE"),-AA29,0)))</f>
        <v>0</v>
      </c>
      <c r="AE29" s="19" t="n">
        <f aca="false">IF(E29="ZAKUP",IF(L29&lt;&gt;"",L29,IF(K29&lt;&gt;"",Z29*K29,0)),0)</f>
        <v>0</v>
      </c>
      <c r="AF29" s="19" t="n">
        <f aca="false">IF(E29="SPRZEDAŻ",IF(M29&lt;&gt;"",Z29*M29,0),0)</f>
        <v>0</v>
      </c>
      <c r="AG29" s="19" t="str">
        <f aca="false">IF(R29="","",IF(LOWER(R29)="brak","Brak",IF(OR(ISNUMBER(SEARCH("ric pl",LOWER(R29))),ISNUMBER(SEARCH("wojciechowski",LOWER(R29)))),"Własny","Zewnętrzny")))</f>
        <v/>
      </c>
      <c r="AH29" s="19" t="n">
        <f aca="false">Z29*Q29</f>
        <v>880</v>
      </c>
      <c r="AI29" s="19" t="str">
        <f aca="false">UPPER(TEXT(C29,"mmmm"))</f>
        <v>JULY</v>
      </c>
      <c r="AJ29" s="19" t="str">
        <f aca="false">IF(C29="","",TEXT(C29,"rrrr"))</f>
        <v>CE5786CE5786</v>
      </c>
      <c r="AK29" s="10"/>
      <c r="AL29" s="11" t="n">
        <v>0</v>
      </c>
      <c r="AM29" s="10" t="s">
        <v>87</v>
      </c>
      <c r="AN29" s="10" t="s">
        <v>59</v>
      </c>
      <c r="AO29" s="10"/>
      <c r="AP29" s="10"/>
      <c r="AQ29" s="10"/>
      <c r="AR29" s="10" t="s">
        <v>81</v>
      </c>
      <c r="AS29" s="10"/>
      <c r="AT29" s="15" t="n">
        <v>1</v>
      </c>
    </row>
    <row r="30" customFormat="false" ht="28.5" hidden="false" customHeight="true" outlineLevel="0" collapsed="false">
      <c r="A30" s="12" t="n">
        <v>46210</v>
      </c>
      <c r="B30" s="12"/>
      <c r="C30" s="12" t="n">
        <v>46210</v>
      </c>
      <c r="D30" s="10" t="s">
        <v>46</v>
      </c>
      <c r="E30" s="10" t="s">
        <v>79</v>
      </c>
      <c r="F30" s="13" t="s">
        <v>88</v>
      </c>
      <c r="G30" s="14" t="s">
        <v>59</v>
      </c>
      <c r="H30" s="10" t="s">
        <v>50</v>
      </c>
      <c r="I30" s="15" t="n">
        <v>88</v>
      </c>
      <c r="J30" s="10" t="s">
        <v>51</v>
      </c>
      <c r="K30" s="15" t="n">
        <v>0</v>
      </c>
      <c r="L30" s="11" t="n">
        <v>0</v>
      </c>
      <c r="M30" s="11" t="n">
        <v>0</v>
      </c>
      <c r="N30" s="10" t="s">
        <v>64</v>
      </c>
      <c r="O30" s="10"/>
      <c r="P30" s="10" t="s">
        <v>53</v>
      </c>
      <c r="Q30" s="16" t="n">
        <v>10</v>
      </c>
      <c r="R30" s="10"/>
      <c r="S30" s="10"/>
      <c r="T30" s="10" t="n">
        <v>0</v>
      </c>
      <c r="U30" s="11" t="n">
        <f aca="false">IF(E30="TRANSPORT",IF(T30="","",T30*5),IF(AL30="","",AL30))</f>
        <v>0</v>
      </c>
      <c r="V30" s="10" t="s">
        <v>54</v>
      </c>
      <c r="W30" s="15" t="s">
        <v>80</v>
      </c>
      <c r="X30" s="15" t="s">
        <v>56</v>
      </c>
      <c r="Y30" s="17" t="n">
        <v>46212.332650463</v>
      </c>
      <c r="Z30" s="18" t="n">
        <f aca="false">IF(I30="",0,IF(ISNUMBER(SEARCH("mp",LOWER(J30))),I30,IF(ISNUMBER(SEARCH("ton",LOWER(J30))),I30/0.33,IF(ISNUMBER(SEARCH("m3",LOWER(J30))),I30*4,I30))))</f>
        <v>88</v>
      </c>
      <c r="AA30" s="18" t="n">
        <f aca="false">IF(I30="",0,IF(ISNUMBER(SEARCH("mp",LOWER(J30))),I30*0.33,IF(ISNUMBER(SEARCH("ton",LOWER(J30))),I30,I30*0.33)))</f>
        <v>29.04</v>
      </c>
      <c r="AB30" s="18" t="n">
        <f aca="false">Tabela_dane[[#This Row],[Wolumen_t]]*8.5</f>
        <v>246.84</v>
      </c>
      <c r="AC30" s="18" t="n">
        <f aca="false">IF(G30&lt;&gt;"TAK",0,IF(OR(E30="ZAKUP",E30="PRODUKCJA"),Z30,IF(OR(E30="SPRZEDAŻ",E30="ZUŻYCIE"),-Z30,0)))</f>
        <v>0</v>
      </c>
      <c r="AD30" s="18" t="n">
        <f aca="false">IF(G30&lt;&gt;"TAK",0,IF(OR(E30="ZAKUP",E30="PRODUKCJA"),AA30,IF(OR(E30="SPRZEDAŻ",E30="ZUŻYCIE"),-AA30,0)))</f>
        <v>0</v>
      </c>
      <c r="AE30" s="19" t="n">
        <f aca="false">IF(E30="ZAKUP",IF(L30&lt;&gt;"",L30,IF(K30&lt;&gt;"",Z30*K30,0)),0)</f>
        <v>0</v>
      </c>
      <c r="AF30" s="19" t="n">
        <f aca="false">IF(E30="SPRZEDAŻ",IF(M30&lt;&gt;"",Z30*M30,0),0)</f>
        <v>0</v>
      </c>
      <c r="AG30" s="19" t="str">
        <f aca="false">IF(R30="","",IF(LOWER(R30)="brak","Brak",IF(OR(ISNUMBER(SEARCH("ric pl",LOWER(R30))),ISNUMBER(SEARCH("wojciechowski",LOWER(R30)))),"Własny","Zewnętrzny")))</f>
        <v/>
      </c>
      <c r="AH30" s="19" t="n">
        <f aca="false">Z30*Q30</f>
        <v>880</v>
      </c>
      <c r="AI30" s="19" t="str">
        <f aca="false">UPPER(TEXT(C30,"mmmm"))</f>
        <v>JULY</v>
      </c>
      <c r="AJ30" s="19" t="str">
        <f aca="false">IF(C30="","",TEXT(C30,"rrrr"))</f>
        <v>CE5786CE5786</v>
      </c>
      <c r="AK30" s="10"/>
      <c r="AL30" s="11" t="n">
        <v>0</v>
      </c>
      <c r="AM30" s="10" t="s">
        <v>89</v>
      </c>
      <c r="AN30" s="10" t="s">
        <v>59</v>
      </c>
      <c r="AO30" s="10"/>
      <c r="AP30" s="10"/>
      <c r="AQ30" s="10"/>
      <c r="AR30" s="10" t="s">
        <v>81</v>
      </c>
      <c r="AS30" s="10"/>
      <c r="AT30" s="15" t="n">
        <v>1</v>
      </c>
    </row>
    <row r="31" customFormat="false" ht="28.5" hidden="false" customHeight="true" outlineLevel="0" collapsed="false">
      <c r="A31" s="12" t="n">
        <v>46210</v>
      </c>
      <c r="B31" s="12"/>
      <c r="C31" s="12" t="n">
        <v>46210</v>
      </c>
      <c r="D31" s="10" t="s">
        <v>46</v>
      </c>
      <c r="E31" s="10" t="s">
        <v>79</v>
      </c>
      <c r="F31" s="13" t="s">
        <v>90</v>
      </c>
      <c r="G31" s="14" t="s">
        <v>59</v>
      </c>
      <c r="H31" s="10" t="s">
        <v>50</v>
      </c>
      <c r="I31" s="15" t="n">
        <v>88</v>
      </c>
      <c r="J31" s="10" t="s">
        <v>51</v>
      </c>
      <c r="K31" s="15" t="n">
        <v>0</v>
      </c>
      <c r="L31" s="11" t="n">
        <v>0</v>
      </c>
      <c r="M31" s="11" t="n">
        <v>0</v>
      </c>
      <c r="N31" s="10" t="s">
        <v>64</v>
      </c>
      <c r="O31" s="10"/>
      <c r="P31" s="10" t="s">
        <v>53</v>
      </c>
      <c r="Q31" s="16" t="n">
        <v>10</v>
      </c>
      <c r="R31" s="10"/>
      <c r="S31" s="10"/>
      <c r="T31" s="10" t="n">
        <v>0</v>
      </c>
      <c r="U31" s="11" t="n">
        <f aca="false">IF(E31="TRANSPORT",IF(T31="","",T31*5),IF(AL31="","",AL31))</f>
        <v>0</v>
      </c>
      <c r="V31" s="10" t="s">
        <v>54</v>
      </c>
      <c r="W31" s="15" t="s">
        <v>80</v>
      </c>
      <c r="X31" s="15" t="s">
        <v>56</v>
      </c>
      <c r="Y31" s="17" t="n">
        <v>46212.3362731482</v>
      </c>
      <c r="Z31" s="18" t="n">
        <f aca="false">IF(I31="",0,IF(ISNUMBER(SEARCH("mp",LOWER(J31))),I31,IF(ISNUMBER(SEARCH("ton",LOWER(J31))),I31/0.33,IF(ISNUMBER(SEARCH("m3",LOWER(J31))),I31*4,I31))))</f>
        <v>88</v>
      </c>
      <c r="AA31" s="18" t="n">
        <f aca="false">IF(I31="",0,IF(ISNUMBER(SEARCH("mp",LOWER(J31))),I31*0.33,IF(ISNUMBER(SEARCH("ton",LOWER(J31))),I31,I31*0.33)))</f>
        <v>29.04</v>
      </c>
      <c r="AB31" s="18" t="n">
        <f aca="false">Tabela_dane[[#This Row],[Wolumen_t]]*8.5</f>
        <v>246.84</v>
      </c>
      <c r="AC31" s="18" t="n">
        <f aca="false">IF(G31&lt;&gt;"TAK",0,IF(OR(E31="ZAKUP",E31="PRODUKCJA"),Z31,IF(OR(E31="SPRZEDAŻ",E31="ZUŻYCIE"),-Z31,0)))</f>
        <v>0</v>
      </c>
      <c r="AD31" s="18" t="n">
        <f aca="false">IF(G31&lt;&gt;"TAK",0,IF(OR(E31="ZAKUP",E31="PRODUKCJA"),AA31,IF(OR(E31="SPRZEDAŻ",E31="ZUŻYCIE"),-AA31,0)))</f>
        <v>0</v>
      </c>
      <c r="AE31" s="19" t="n">
        <f aca="false">IF(E31="ZAKUP",IF(L31&lt;&gt;"",L31,IF(K31&lt;&gt;"",Z31*K31,0)),0)</f>
        <v>0</v>
      </c>
      <c r="AF31" s="19" t="n">
        <f aca="false">IF(E31="SPRZEDAŻ",IF(M31&lt;&gt;"",Z31*M31,0),0)</f>
        <v>0</v>
      </c>
      <c r="AG31" s="19" t="str">
        <f aca="false">IF(R31="","",IF(LOWER(R31)="brak","Brak",IF(OR(ISNUMBER(SEARCH("ric pl",LOWER(R31))),ISNUMBER(SEARCH("wojciechowski",LOWER(R31)))),"Własny","Zewnętrzny")))</f>
        <v/>
      </c>
      <c r="AH31" s="19" t="n">
        <f aca="false">Z31*Q31</f>
        <v>880</v>
      </c>
      <c r="AI31" s="19" t="str">
        <f aca="false">UPPER(TEXT(C31,"mmmm"))</f>
        <v>JULY</v>
      </c>
      <c r="AJ31" s="19" t="str">
        <f aca="false">IF(C31="","",TEXT(C31,"rrrr"))</f>
        <v>CE5786CE5786</v>
      </c>
      <c r="AK31" s="10"/>
      <c r="AL31" s="11" t="n">
        <v>0</v>
      </c>
      <c r="AM31" s="10" t="s">
        <v>91</v>
      </c>
      <c r="AN31" s="10" t="s">
        <v>59</v>
      </c>
      <c r="AO31" s="10"/>
      <c r="AP31" s="10"/>
      <c r="AQ31" s="10"/>
      <c r="AR31" s="10" t="s">
        <v>81</v>
      </c>
      <c r="AS31" s="10"/>
      <c r="AT31" s="15" t="n">
        <v>1</v>
      </c>
    </row>
    <row r="32" customFormat="false" ht="28.5" hidden="false" customHeight="true" outlineLevel="0" collapsed="false">
      <c r="A32" s="12" t="n">
        <v>46211</v>
      </c>
      <c r="B32" s="12" t="s">
        <v>106</v>
      </c>
      <c r="C32" s="12" t="n">
        <v>46211</v>
      </c>
      <c r="D32" s="10" t="s">
        <v>106</v>
      </c>
      <c r="E32" s="10" t="s">
        <v>107</v>
      </c>
      <c r="F32" s="21" t="s">
        <v>108</v>
      </c>
      <c r="G32" s="14" t="s">
        <v>49</v>
      </c>
      <c r="H32" s="10"/>
      <c r="I32" s="15" t="n">
        <v>86</v>
      </c>
      <c r="J32" s="10" t="s">
        <v>51</v>
      </c>
      <c r="K32" s="15" t="n">
        <v>0</v>
      </c>
      <c r="L32" s="11" t="n">
        <v>0</v>
      </c>
      <c r="M32" s="11" t="n">
        <v>0</v>
      </c>
      <c r="N32" s="10" t="s">
        <v>52</v>
      </c>
      <c r="O32" s="10" t="s">
        <v>67</v>
      </c>
      <c r="P32" s="10"/>
      <c r="Q32" s="16" t="n">
        <v>0</v>
      </c>
      <c r="R32" s="10" t="s">
        <v>68</v>
      </c>
      <c r="S32" s="10" t="s">
        <v>69</v>
      </c>
      <c r="T32" s="10" t="n">
        <v>40</v>
      </c>
      <c r="U32" s="11" t="n">
        <f aca="false">IF(E32="TRANSPORT",IF(T32="","",T32*5),IF(AL32="","",AL32))</f>
        <v>200</v>
      </c>
      <c r="V32" s="10" t="s">
        <v>54</v>
      </c>
      <c r="W32" s="15" t="s">
        <v>70</v>
      </c>
      <c r="X32" s="15" t="s">
        <v>106</v>
      </c>
      <c r="Y32" s="17" t="n">
        <v>46212.0309722222</v>
      </c>
      <c r="Z32" s="18" t="n">
        <f aca="false">IF(I32="",0,IF(ISNUMBER(SEARCH("mp",LOWER(J32))),I32,IF(ISNUMBER(SEARCH("ton",LOWER(J32))),I32/0.33,IF(ISNUMBER(SEARCH("m3",LOWER(J32))),I32*4,I32))))</f>
        <v>86</v>
      </c>
      <c r="AA32" s="18" t="n">
        <f aca="false">IF(I32="",0,IF(ISNUMBER(SEARCH("mp",LOWER(J32))),I32*0.33,IF(ISNUMBER(SEARCH("ton",LOWER(J32))),I32,I32*0.33)))</f>
        <v>28.38</v>
      </c>
      <c r="AB32" s="18" t="n">
        <f aca="false">Tabela_dane[[#This Row],[Wolumen_t]]*8.5</f>
        <v>241.23</v>
      </c>
      <c r="AC32" s="18" t="n">
        <f aca="false">IF(G32&lt;&gt;"TAK",0,IF(OR(E32="ZAKUP",E32="PRODUKCJA"),Z32,IF(OR(E32="SPRZEDAŻ",E32="ZUŻYCIE"),-Z32,0)))</f>
        <v>0</v>
      </c>
      <c r="AD32" s="18" t="n">
        <f aca="false">IF(G32&lt;&gt;"TAK",0,IF(OR(E32="ZAKUP",E32="PRODUKCJA"),AA32,IF(OR(E32="SPRZEDAŻ",E32="ZUŻYCIE"),-AA32,0)))</f>
        <v>0</v>
      </c>
      <c r="AE32" s="19" t="n">
        <f aca="false">IF(E32="ZAKUP",IF(L32&lt;&gt;"",L32,IF(K32&lt;&gt;"",Z32*K32,0)),0)</f>
        <v>0</v>
      </c>
      <c r="AF32" s="19" t="n">
        <f aca="false">IF(E32="SPRZEDAŻ",IF(M32&lt;&gt;"",Z32*M32,0),0)</f>
        <v>0</v>
      </c>
      <c r="AG32" s="19" t="str">
        <f aca="false">IF(R32="","",IF(LOWER(R32)="brak","Brak",IF(OR(ISNUMBER(SEARCH("ric pl",LOWER(R32))),ISNUMBER(SEARCH("wojciechowski",LOWER(R32)))),"Własny","Zewnętrzny")))</f>
        <v>Zewnętrzny</v>
      </c>
      <c r="AH32" s="19" t="n">
        <f aca="false">Z32*Q32</f>
        <v>0</v>
      </c>
      <c r="AI32" s="19" t="str">
        <f aca="false">UPPER(TEXT(C32,"mmmm"))</f>
        <v>JULY</v>
      </c>
      <c r="AJ32" s="19" t="str">
        <f aca="false">IF(C32="","",TEXT(C32,"rrrr"))</f>
        <v>CE5786CE5786</v>
      </c>
      <c r="AK32" s="10"/>
      <c r="AL32" s="11" t="n">
        <v>200</v>
      </c>
      <c r="AM32" s="10" t="s">
        <v>109</v>
      </c>
      <c r="AN32" s="10" t="s">
        <v>49</v>
      </c>
      <c r="AO32" s="10"/>
      <c r="AP32" s="10"/>
      <c r="AQ32" s="10"/>
      <c r="AR32" s="10" t="s">
        <v>66</v>
      </c>
      <c r="AS32" s="10"/>
      <c r="AT32" s="15" t="n">
        <v>1</v>
      </c>
    </row>
    <row r="33" customFormat="false" ht="28.5" hidden="false" customHeight="true" outlineLevel="0" collapsed="false">
      <c r="A33" s="12" t="n">
        <v>46211</v>
      </c>
      <c r="B33" s="12" t="s">
        <v>106</v>
      </c>
      <c r="C33" s="12" t="n">
        <v>46211</v>
      </c>
      <c r="D33" s="10" t="s">
        <v>106</v>
      </c>
      <c r="E33" s="10" t="s">
        <v>107</v>
      </c>
      <c r="F33" s="21" t="s">
        <v>110</v>
      </c>
      <c r="G33" s="14" t="s">
        <v>49</v>
      </c>
      <c r="H33" s="10"/>
      <c r="I33" s="15" t="n">
        <v>88</v>
      </c>
      <c r="J33" s="10" t="s">
        <v>51</v>
      </c>
      <c r="K33" s="15" t="n">
        <v>0</v>
      </c>
      <c r="L33" s="11" t="n">
        <v>0</v>
      </c>
      <c r="M33" s="11" t="n">
        <v>0</v>
      </c>
      <c r="N33" s="10" t="s">
        <v>52</v>
      </c>
      <c r="O33" s="10" t="s">
        <v>67</v>
      </c>
      <c r="P33" s="10"/>
      <c r="Q33" s="16" t="n">
        <v>0</v>
      </c>
      <c r="R33" s="10" t="s">
        <v>94</v>
      </c>
      <c r="S33" s="10" t="s">
        <v>95</v>
      </c>
      <c r="T33" s="10" t="n">
        <v>40</v>
      </c>
      <c r="U33" s="11" t="n">
        <f aca="false">IF(E33="TRANSPORT",IF(T33="","",T33*5),IF(AL33="","",AL33))</f>
        <v>200</v>
      </c>
      <c r="V33" s="10" t="s">
        <v>54</v>
      </c>
      <c r="W33" s="15" t="s">
        <v>70</v>
      </c>
      <c r="X33" s="15" t="s">
        <v>106</v>
      </c>
      <c r="Y33" s="17" t="n">
        <v>46212.0330324074</v>
      </c>
      <c r="Z33" s="18" t="n">
        <f aca="false">IF(I33="",0,IF(ISNUMBER(SEARCH("mp",LOWER(J33))),I33,IF(ISNUMBER(SEARCH("ton",LOWER(J33))),I33/0.33,IF(ISNUMBER(SEARCH("m3",LOWER(J33))),I33*4,I33))))</f>
        <v>88</v>
      </c>
      <c r="AA33" s="18" t="n">
        <f aca="false">IF(I33="",0,IF(ISNUMBER(SEARCH("mp",LOWER(J33))),I33*0.33,IF(ISNUMBER(SEARCH("ton",LOWER(J33))),I33,I33*0.33)))</f>
        <v>29.04</v>
      </c>
      <c r="AB33" s="18" t="n">
        <f aca="false">Tabela_dane[[#This Row],[Wolumen_t]]*8.5</f>
        <v>246.84</v>
      </c>
      <c r="AC33" s="18" t="n">
        <f aca="false">IF(G33&lt;&gt;"TAK",0,IF(OR(E33="ZAKUP",E33="PRODUKCJA"),Z33,IF(OR(E33="SPRZEDAŻ",E33="ZUŻYCIE"),-Z33,0)))</f>
        <v>0</v>
      </c>
      <c r="AD33" s="18" t="n">
        <f aca="false">IF(G33&lt;&gt;"TAK",0,IF(OR(E33="ZAKUP",E33="PRODUKCJA"),AA33,IF(OR(E33="SPRZEDAŻ",E33="ZUŻYCIE"),-AA33,0)))</f>
        <v>0</v>
      </c>
      <c r="AE33" s="19" t="n">
        <f aca="false">IF(E33="ZAKUP",IF(L33&lt;&gt;"",L33,IF(K33&lt;&gt;"",Z33*K33,0)),0)</f>
        <v>0</v>
      </c>
      <c r="AF33" s="19" t="n">
        <f aca="false">IF(E33="SPRZEDAŻ",IF(M33&lt;&gt;"",Z33*M33,0),0)</f>
        <v>0</v>
      </c>
      <c r="AG33" s="19" t="str">
        <f aca="false">IF(R33="","",IF(LOWER(R33)="brak","Brak",IF(OR(ISNUMBER(SEARCH("ric pl",LOWER(R33))),ISNUMBER(SEARCH("wojciechowski",LOWER(R33)))),"Własny","Zewnętrzny")))</f>
        <v>Zewnętrzny</v>
      </c>
      <c r="AH33" s="19" t="n">
        <f aca="false">Z33*Q33</f>
        <v>0</v>
      </c>
      <c r="AI33" s="19" t="str">
        <f aca="false">UPPER(TEXT(C33,"mmmm"))</f>
        <v>JULY</v>
      </c>
      <c r="AJ33" s="19" t="str">
        <f aca="false">IF(C33="","",TEXT(C33,"rrrr"))</f>
        <v>CE5786CE5786</v>
      </c>
      <c r="AK33" s="10"/>
      <c r="AL33" s="11" t="n">
        <v>200</v>
      </c>
      <c r="AM33" s="10" t="s">
        <v>111</v>
      </c>
      <c r="AN33" s="10" t="s">
        <v>49</v>
      </c>
      <c r="AO33" s="10"/>
      <c r="AP33" s="10"/>
      <c r="AQ33" s="10"/>
      <c r="AR33" s="10" t="s">
        <v>66</v>
      </c>
      <c r="AS33" s="10"/>
      <c r="AT33" s="15" t="n">
        <v>1</v>
      </c>
    </row>
    <row r="34" customFormat="false" ht="28.5" hidden="false" customHeight="true" outlineLevel="0" collapsed="false">
      <c r="A34" s="12" t="n">
        <v>46211</v>
      </c>
      <c r="B34" s="12" t="s">
        <v>106</v>
      </c>
      <c r="C34" s="12" t="n">
        <v>46211</v>
      </c>
      <c r="D34" s="10" t="s">
        <v>106</v>
      </c>
      <c r="E34" s="10" t="s">
        <v>107</v>
      </c>
      <c r="F34" s="21" t="s">
        <v>112</v>
      </c>
      <c r="G34" s="14" t="s">
        <v>49</v>
      </c>
      <c r="H34" s="10"/>
      <c r="I34" s="15" t="n">
        <v>86</v>
      </c>
      <c r="J34" s="10" t="s">
        <v>51</v>
      </c>
      <c r="K34" s="15" t="n">
        <v>0</v>
      </c>
      <c r="L34" s="11" t="n">
        <v>0</v>
      </c>
      <c r="M34" s="11" t="n">
        <v>0</v>
      </c>
      <c r="N34" s="10" t="s">
        <v>52</v>
      </c>
      <c r="O34" s="10" t="s">
        <v>67</v>
      </c>
      <c r="P34" s="10"/>
      <c r="Q34" s="16" t="n">
        <v>0</v>
      </c>
      <c r="R34" s="10" t="s">
        <v>68</v>
      </c>
      <c r="S34" s="10" t="s">
        <v>69</v>
      </c>
      <c r="T34" s="10" t="n">
        <v>40</v>
      </c>
      <c r="U34" s="11" t="n">
        <f aca="false">IF(E34="TRANSPORT",IF(T34="","",T34*5),IF(AL34="","",AL34))</f>
        <v>200</v>
      </c>
      <c r="V34" s="10" t="s">
        <v>54</v>
      </c>
      <c r="W34" s="15" t="s">
        <v>70</v>
      </c>
      <c r="X34" s="15" t="s">
        <v>106</v>
      </c>
      <c r="Y34" s="17" t="n">
        <v>46212.0383912037</v>
      </c>
      <c r="Z34" s="18" t="n">
        <f aca="false">IF(I34="",0,IF(ISNUMBER(SEARCH("mp",LOWER(J34))),I34,IF(ISNUMBER(SEARCH("ton",LOWER(J34))),I34/0.33,IF(ISNUMBER(SEARCH("m3",LOWER(J34))),I34*4,I34))))</f>
        <v>86</v>
      </c>
      <c r="AA34" s="18" t="n">
        <f aca="false">IF(I34="",0,IF(ISNUMBER(SEARCH("mp",LOWER(J34))),I34*0.33,IF(ISNUMBER(SEARCH("ton",LOWER(J34))),I34,I34*0.33)))</f>
        <v>28.38</v>
      </c>
      <c r="AB34" s="18" t="n">
        <f aca="false">Tabela_dane[[#This Row],[Wolumen_t]]*8.5</f>
        <v>241.23</v>
      </c>
      <c r="AC34" s="18" t="n">
        <f aca="false">IF(G34&lt;&gt;"TAK",0,IF(OR(E34="ZAKUP",E34="PRODUKCJA"),Z34,IF(OR(E34="SPRZEDAŻ",E34="ZUŻYCIE"),-Z34,0)))</f>
        <v>0</v>
      </c>
      <c r="AD34" s="18" t="n">
        <f aca="false">IF(G34&lt;&gt;"TAK",0,IF(OR(E34="ZAKUP",E34="PRODUKCJA"),AA34,IF(OR(E34="SPRZEDAŻ",E34="ZUŻYCIE"),-AA34,0)))</f>
        <v>0</v>
      </c>
      <c r="AE34" s="19" t="n">
        <f aca="false">IF(E34="ZAKUP",IF(L34&lt;&gt;"",L34,IF(K34&lt;&gt;"",Z34*K34,0)),0)</f>
        <v>0</v>
      </c>
      <c r="AF34" s="19" t="n">
        <f aca="false">IF(E34="SPRZEDAŻ",IF(M34&lt;&gt;"",Z34*M34,0),0)</f>
        <v>0</v>
      </c>
      <c r="AG34" s="19" t="str">
        <f aca="false">IF(R34="","",IF(LOWER(R34)="brak","Brak",IF(OR(ISNUMBER(SEARCH("ric pl",LOWER(R34))),ISNUMBER(SEARCH("wojciechowski",LOWER(R34)))),"Własny","Zewnętrzny")))</f>
        <v>Zewnętrzny</v>
      </c>
      <c r="AH34" s="19" t="n">
        <f aca="false">Z34*Q34</f>
        <v>0</v>
      </c>
      <c r="AI34" s="19" t="str">
        <f aca="false">UPPER(TEXT(C34,"mmmm"))</f>
        <v>JULY</v>
      </c>
      <c r="AJ34" s="19" t="str">
        <f aca="false">IF(C34="","",TEXT(C34,"rrrr"))</f>
        <v>CE5786CE5786</v>
      </c>
      <c r="AK34" s="10"/>
      <c r="AL34" s="11" t="n">
        <v>200</v>
      </c>
      <c r="AM34" s="10" t="s">
        <v>113</v>
      </c>
      <c r="AN34" s="10" t="s">
        <v>49</v>
      </c>
      <c r="AO34" s="10"/>
      <c r="AP34" s="10"/>
      <c r="AQ34" s="10"/>
      <c r="AR34" s="10" t="s">
        <v>66</v>
      </c>
      <c r="AS34" s="10"/>
      <c r="AT34" s="15" t="n">
        <v>1</v>
      </c>
    </row>
    <row r="35" customFormat="false" ht="28.5" hidden="false" customHeight="true" outlineLevel="0" collapsed="false">
      <c r="A35" s="12" t="n">
        <v>46211</v>
      </c>
      <c r="B35" s="12" t="s">
        <v>106</v>
      </c>
      <c r="C35" s="12" t="n">
        <v>46211</v>
      </c>
      <c r="D35" s="10" t="s">
        <v>106</v>
      </c>
      <c r="E35" s="10" t="s">
        <v>107</v>
      </c>
      <c r="F35" s="21" t="s">
        <v>114</v>
      </c>
      <c r="G35" s="14" t="s">
        <v>49</v>
      </c>
      <c r="H35" s="10"/>
      <c r="I35" s="15" t="n">
        <v>88</v>
      </c>
      <c r="J35" s="10" t="s">
        <v>51</v>
      </c>
      <c r="K35" s="15" t="n">
        <v>0</v>
      </c>
      <c r="L35" s="11" t="n">
        <v>0</v>
      </c>
      <c r="M35" s="11" t="n">
        <v>0</v>
      </c>
      <c r="N35" s="10" t="s">
        <v>52</v>
      </c>
      <c r="O35" s="10" t="s">
        <v>67</v>
      </c>
      <c r="P35" s="10"/>
      <c r="Q35" s="16" t="n">
        <v>0</v>
      </c>
      <c r="R35" s="10" t="s">
        <v>94</v>
      </c>
      <c r="S35" s="10" t="s">
        <v>95</v>
      </c>
      <c r="T35" s="10" t="n">
        <v>40</v>
      </c>
      <c r="U35" s="11" t="n">
        <f aca="false">IF(E35="TRANSPORT",IF(T35="","",T35*5),IF(AL35="","",AL35))</f>
        <v>200</v>
      </c>
      <c r="V35" s="10" t="s">
        <v>54</v>
      </c>
      <c r="W35" s="15" t="s">
        <v>65</v>
      </c>
      <c r="X35" s="15" t="s">
        <v>106</v>
      </c>
      <c r="Y35" s="17" t="n">
        <v>46212.0402083333</v>
      </c>
      <c r="Z35" s="18" t="n">
        <f aca="false">IF(I35="",0,IF(ISNUMBER(SEARCH("mp",LOWER(J35))),I35,IF(ISNUMBER(SEARCH("ton",LOWER(J35))),I35/0.33,IF(ISNUMBER(SEARCH("m3",LOWER(J35))),I35*4,I35))))</f>
        <v>88</v>
      </c>
      <c r="AA35" s="18" t="n">
        <f aca="false">IF(I35="",0,IF(ISNUMBER(SEARCH("mp",LOWER(J35))),I35*0.33,IF(ISNUMBER(SEARCH("ton",LOWER(J35))),I35,I35*0.33)))</f>
        <v>29.04</v>
      </c>
      <c r="AB35" s="18" t="n">
        <f aca="false">Tabela_dane[[#This Row],[Wolumen_t]]*8.5</f>
        <v>246.84</v>
      </c>
      <c r="AC35" s="18" t="n">
        <f aca="false">IF(G35&lt;&gt;"TAK",0,IF(OR(E35="ZAKUP",E35="PRODUKCJA"),Z35,IF(OR(E35="SPRZEDAŻ",E35="ZUŻYCIE"),-Z35,0)))</f>
        <v>0</v>
      </c>
      <c r="AD35" s="18" t="n">
        <f aca="false">IF(G35&lt;&gt;"TAK",0,IF(OR(E35="ZAKUP",E35="PRODUKCJA"),AA35,IF(OR(E35="SPRZEDAŻ",E35="ZUŻYCIE"),-AA35,0)))</f>
        <v>0</v>
      </c>
      <c r="AE35" s="19" t="n">
        <f aca="false">IF(E35="ZAKUP",IF(L35&lt;&gt;"",L35,IF(K35&lt;&gt;"",Z35*K35,0)),0)</f>
        <v>0</v>
      </c>
      <c r="AF35" s="19" t="n">
        <f aca="false">IF(E35="SPRZEDAŻ",IF(M35&lt;&gt;"",Z35*M35,0),0)</f>
        <v>0</v>
      </c>
      <c r="AG35" s="19" t="str">
        <f aca="false">IF(R35="","",IF(LOWER(R35)="brak","Brak",IF(OR(ISNUMBER(SEARCH("ric pl",LOWER(R35))),ISNUMBER(SEARCH("wojciechowski",LOWER(R35)))),"Własny","Zewnętrzny")))</f>
        <v>Zewnętrzny</v>
      </c>
      <c r="AH35" s="19" t="n">
        <f aca="false">Z35*Q35</f>
        <v>0</v>
      </c>
      <c r="AI35" s="19" t="str">
        <f aca="false">UPPER(TEXT(C35,"mmmm"))</f>
        <v>JULY</v>
      </c>
      <c r="AJ35" s="19" t="str">
        <f aca="false">IF(C35="","",TEXT(C35,"rrrr"))</f>
        <v>CE5786CE5786</v>
      </c>
      <c r="AK35" s="10"/>
      <c r="AL35" s="11" t="n">
        <v>200</v>
      </c>
      <c r="AM35" s="10" t="s">
        <v>115</v>
      </c>
      <c r="AN35" s="10" t="s">
        <v>49</v>
      </c>
      <c r="AO35" s="10"/>
      <c r="AP35" s="10"/>
      <c r="AQ35" s="10"/>
      <c r="AR35" s="10" t="s">
        <v>66</v>
      </c>
      <c r="AS35" s="10"/>
      <c r="AT35" s="15" t="n">
        <v>1</v>
      </c>
    </row>
    <row r="36" customFormat="false" ht="28.5" hidden="false" customHeight="true" outlineLevel="0" collapsed="false">
      <c r="A36" s="12" t="n">
        <v>46211</v>
      </c>
      <c r="B36" s="12" t="s">
        <v>106</v>
      </c>
      <c r="C36" s="12" t="n">
        <v>46211</v>
      </c>
      <c r="D36" s="10" t="s">
        <v>106</v>
      </c>
      <c r="E36" s="10" t="s">
        <v>107</v>
      </c>
      <c r="F36" s="21" t="s">
        <v>116</v>
      </c>
      <c r="G36" s="14" t="s">
        <v>49</v>
      </c>
      <c r="H36" s="10"/>
      <c r="I36" s="15" t="n">
        <v>61</v>
      </c>
      <c r="J36" s="10" t="s">
        <v>51</v>
      </c>
      <c r="K36" s="15" t="n">
        <v>0</v>
      </c>
      <c r="L36" s="11" t="n">
        <v>0</v>
      </c>
      <c r="M36" s="11" t="n">
        <v>0</v>
      </c>
      <c r="N36" s="10" t="s">
        <v>52</v>
      </c>
      <c r="O36" s="10"/>
      <c r="P36" s="10"/>
      <c r="Q36" s="16" t="n">
        <v>0</v>
      </c>
      <c r="R36" s="10" t="s">
        <v>72</v>
      </c>
      <c r="S36" s="10" t="s">
        <v>73</v>
      </c>
      <c r="T36" s="10" t="n">
        <v>40</v>
      </c>
      <c r="U36" s="11" t="n">
        <f aca="false">IF(E36="TRANSPORT",IF(T36="","",T36*5),IF(AL36="","",AL36))</f>
        <v>240</v>
      </c>
      <c r="V36" s="10" t="s">
        <v>54</v>
      </c>
      <c r="W36" s="15" t="s">
        <v>70</v>
      </c>
      <c r="X36" s="15" t="s">
        <v>106</v>
      </c>
      <c r="Y36" s="17" t="n">
        <v>46213.4601273148</v>
      </c>
      <c r="Z36" s="18" t="n">
        <f aca="false">IF(I36="",0,IF(ISNUMBER(SEARCH("mp",LOWER(J36))),I36,IF(ISNUMBER(SEARCH("ton",LOWER(J36))),I36/0.33,IF(ISNUMBER(SEARCH("m3",LOWER(J36))),I36*4,I36))))</f>
        <v>61</v>
      </c>
      <c r="AA36" s="18" t="n">
        <f aca="false">IF(I36="",0,IF(ISNUMBER(SEARCH("mp",LOWER(J36))),I36*0.33,IF(ISNUMBER(SEARCH("ton",LOWER(J36))),I36,I36*0.33)))</f>
        <v>20.13</v>
      </c>
      <c r="AB36" s="18" t="n">
        <f aca="false">Tabela_dane[[#This Row],[Wolumen_t]]*8.5</f>
        <v>171.105</v>
      </c>
      <c r="AC36" s="18" t="n">
        <f aca="false">IF(G36&lt;&gt;"TAK",0,IF(OR(E36="ZAKUP",E36="PRODUKCJA"),Z36,IF(OR(E36="SPRZEDAŻ",E36="ZUŻYCIE"),-Z36,0)))</f>
        <v>0</v>
      </c>
      <c r="AD36" s="18" t="n">
        <f aca="false">IF(G36&lt;&gt;"TAK",0,IF(OR(E36="ZAKUP",E36="PRODUKCJA"),AA36,IF(OR(E36="SPRZEDAŻ",E36="ZUŻYCIE"),-AA36,0)))</f>
        <v>0</v>
      </c>
      <c r="AE36" s="19" t="n">
        <f aca="false">IF(E36="ZAKUP",IF(L36&lt;&gt;"",L36,IF(K36&lt;&gt;"",Z36*K36,0)),0)</f>
        <v>0</v>
      </c>
      <c r="AF36" s="19" t="n">
        <f aca="false">IF(E36="SPRZEDAŻ",IF(M36&lt;&gt;"",Z36*M36,0),0)</f>
        <v>0</v>
      </c>
      <c r="AG36" s="19" t="str">
        <f aca="false">IF(R36="","",IF(LOWER(R36)="brak","Brak",IF(OR(ISNUMBER(SEARCH("ric pl",LOWER(R36))),ISNUMBER(SEARCH("wojciechowski",LOWER(R36)))),"Własny","Zewnętrzny")))</f>
        <v>Zewnętrzny</v>
      </c>
      <c r="AH36" s="19" t="n">
        <f aca="false">Z36*Q36</f>
        <v>0</v>
      </c>
      <c r="AI36" s="19" t="str">
        <f aca="false">UPPER(TEXT(C36,"mmmm"))</f>
        <v>JULY</v>
      </c>
      <c r="AJ36" s="19" t="str">
        <f aca="false">IF(C36="","",TEXT(C36,"rrrr"))</f>
        <v>CE5786CE5786</v>
      </c>
      <c r="AK36" s="10"/>
      <c r="AL36" s="11" t="n">
        <v>240</v>
      </c>
      <c r="AM36" s="10" t="s">
        <v>117</v>
      </c>
      <c r="AN36" s="10" t="s">
        <v>49</v>
      </c>
      <c r="AO36" s="10"/>
      <c r="AP36" s="10"/>
      <c r="AQ36" s="10"/>
      <c r="AR36" s="10" t="s">
        <v>66</v>
      </c>
      <c r="AS36" s="10"/>
      <c r="AT36" s="15" t="n">
        <v>1</v>
      </c>
    </row>
    <row r="37" customFormat="false" ht="28.5" hidden="false" customHeight="true" outlineLevel="0" collapsed="false">
      <c r="A37" s="12" t="n">
        <v>46211</v>
      </c>
      <c r="B37" s="12" t="s">
        <v>106</v>
      </c>
      <c r="C37" s="12" t="n">
        <v>46211</v>
      </c>
      <c r="D37" s="10" t="s">
        <v>106</v>
      </c>
      <c r="E37" s="10" t="s">
        <v>107</v>
      </c>
      <c r="F37" s="21" t="s">
        <v>118</v>
      </c>
      <c r="G37" s="14" t="s">
        <v>49</v>
      </c>
      <c r="H37" s="10"/>
      <c r="I37" s="15" t="n">
        <v>25</v>
      </c>
      <c r="J37" s="10" t="s">
        <v>77</v>
      </c>
      <c r="K37" s="15" t="n">
        <v>0</v>
      </c>
      <c r="L37" s="11" t="n">
        <v>0</v>
      </c>
      <c r="M37" s="11" t="n">
        <v>0</v>
      </c>
      <c r="N37" s="10" t="s">
        <v>64</v>
      </c>
      <c r="O37" s="10"/>
      <c r="P37" s="10"/>
      <c r="Q37" s="16" t="n">
        <v>0</v>
      </c>
      <c r="R37" s="10" t="s">
        <v>72</v>
      </c>
      <c r="S37" s="10" t="s">
        <v>73</v>
      </c>
      <c r="T37" s="10" t="n">
        <v>40</v>
      </c>
      <c r="U37" s="11" t="n">
        <f aca="false">IF(E37="TRANSPORT",IF(T37="","",T37*5),IF(AL37="","",AL37))</f>
        <v>240</v>
      </c>
      <c r="V37" s="10" t="s">
        <v>54</v>
      </c>
      <c r="W37" s="15" t="s">
        <v>70</v>
      </c>
      <c r="X37" s="15" t="s">
        <v>106</v>
      </c>
      <c r="Y37" s="17" t="n">
        <v>46213.4625115741</v>
      </c>
      <c r="Z37" s="18" t="n">
        <f aca="false">IF(I37="",0,IF(ISNUMBER(SEARCH("mp",LOWER(J37))),I37,IF(ISNUMBER(SEARCH("ton",LOWER(J37))),I37/0.33,IF(ISNUMBER(SEARCH("m3",LOWER(J37))),I37*4,I37))))</f>
        <v>100</v>
      </c>
      <c r="AA37" s="18" t="n">
        <f aca="false">IF(I37="",0,IF(ISNUMBER(SEARCH("mp",LOWER(J37))),I37*0.33,IF(ISNUMBER(SEARCH("ton",LOWER(J37))),I37,I37*0.33)))</f>
        <v>8.25</v>
      </c>
      <c r="AB37" s="18" t="n">
        <f aca="false">Tabela_dane[[#This Row],[Wolumen_t]]*8.5</f>
        <v>70.125</v>
      </c>
      <c r="AC37" s="18" t="n">
        <f aca="false">IF(G37&lt;&gt;"TAK",0,IF(OR(E37="ZAKUP",E37="PRODUKCJA"),Z37,IF(OR(E37="SPRZEDAŻ",E37="ZUŻYCIE"),-Z37,0)))</f>
        <v>0</v>
      </c>
      <c r="AD37" s="18" t="n">
        <f aca="false">IF(G37&lt;&gt;"TAK",0,IF(OR(E37="ZAKUP",E37="PRODUKCJA"),AA37,IF(OR(E37="SPRZEDAŻ",E37="ZUŻYCIE"),-AA37,0)))</f>
        <v>0</v>
      </c>
      <c r="AE37" s="19" t="n">
        <f aca="false">IF(E37="ZAKUP",IF(L37&lt;&gt;"",L37,IF(K37&lt;&gt;"",Z37*K37,0)),0)</f>
        <v>0</v>
      </c>
      <c r="AF37" s="19" t="n">
        <f aca="false">IF(E37="SPRZEDAŻ",IF(M37&lt;&gt;"",Z37*M37,0),0)</f>
        <v>0</v>
      </c>
      <c r="AG37" s="19" t="str">
        <f aca="false">IF(R37="","",IF(LOWER(R37)="brak","Brak",IF(OR(ISNUMBER(SEARCH("ric pl",LOWER(R37))),ISNUMBER(SEARCH("wojciechowski",LOWER(R37)))),"Własny","Zewnętrzny")))</f>
        <v>Zewnętrzny</v>
      </c>
      <c r="AH37" s="19" t="n">
        <f aca="false">Z37*Q37</f>
        <v>0</v>
      </c>
      <c r="AI37" s="19" t="str">
        <f aca="false">UPPER(TEXT(C37,"mmmm"))</f>
        <v>JULY</v>
      </c>
      <c r="AJ37" s="19" t="str">
        <f aca="false">IF(C37="","",TEXT(C37,"rrrr"))</f>
        <v>CE5786CE5786</v>
      </c>
      <c r="AK37" s="10"/>
      <c r="AL37" s="11" t="n">
        <v>240</v>
      </c>
      <c r="AM37" s="10" t="s">
        <v>119</v>
      </c>
      <c r="AN37" s="10" t="s">
        <v>49</v>
      </c>
      <c r="AO37" s="10"/>
      <c r="AP37" s="10"/>
      <c r="AQ37" s="10"/>
      <c r="AR37" s="10" t="s">
        <v>66</v>
      </c>
      <c r="AS37" s="10"/>
      <c r="AT37" s="15" t="n">
        <v>1</v>
      </c>
    </row>
    <row r="38" customFormat="false" ht="28.5" hidden="false" customHeight="true" outlineLevel="0" collapsed="false">
      <c r="A38" s="12" t="n">
        <v>46211</v>
      </c>
      <c r="B38" s="12"/>
      <c r="C38" s="12" t="n">
        <v>46211</v>
      </c>
      <c r="D38" s="10" t="s">
        <v>46</v>
      </c>
      <c r="E38" s="10" t="s">
        <v>63</v>
      </c>
      <c r="F38" s="20" t="s">
        <v>120</v>
      </c>
      <c r="G38" s="14" t="s">
        <v>49</v>
      </c>
      <c r="H38" s="10" t="s">
        <v>76</v>
      </c>
      <c r="I38" s="15" t="n">
        <v>28.12</v>
      </c>
      <c r="J38" s="10" t="s">
        <v>77</v>
      </c>
      <c r="K38" s="15" t="n">
        <v>230</v>
      </c>
      <c r="L38" s="11" t="n">
        <v>6467.6</v>
      </c>
      <c r="M38" s="11" t="n">
        <v>0</v>
      </c>
      <c r="N38" s="10" t="s">
        <v>64</v>
      </c>
      <c r="O38" s="10"/>
      <c r="P38" s="10"/>
      <c r="Q38" s="16" t="n">
        <v>0</v>
      </c>
      <c r="R38" s="10"/>
      <c r="S38" s="10"/>
      <c r="T38" s="10" t="n">
        <v>0</v>
      </c>
      <c r="U38" s="11" t="n">
        <f aca="false">IF(E38="TRANSPORT",IF(T38="","",T38*5),IF(AL38="","",AL38))</f>
        <v>0</v>
      </c>
      <c r="V38" s="10" t="s">
        <v>54</v>
      </c>
      <c r="W38" s="15" t="s">
        <v>65</v>
      </c>
      <c r="X38" s="15"/>
      <c r="Y38" s="17" t="n">
        <v>46213.4159606482</v>
      </c>
      <c r="Z38" s="18" t="n">
        <f aca="false">IF(I38="",0,IF(ISNUMBER(SEARCH("mp",LOWER(J38))),I38,IF(ISNUMBER(SEARCH("ton",LOWER(J38))),I38/0.33,IF(ISNUMBER(SEARCH("m3",LOWER(J38))),I38*4,I38))))</f>
        <v>112.48</v>
      </c>
      <c r="AA38" s="18" t="n">
        <f aca="false">IF(I38="",0,IF(ISNUMBER(SEARCH("mp",LOWER(J38))),I38*0.33,IF(ISNUMBER(SEARCH("ton",LOWER(J38))),I38,I38*0.33)))</f>
        <v>9.2796</v>
      </c>
      <c r="AB38" s="18" t="n">
        <f aca="false">Tabela_dane[[#This Row],[Wolumen_t]]*8.5</f>
        <v>78.8766</v>
      </c>
      <c r="AC38" s="18" t="n">
        <f aca="false">IF(G38&lt;&gt;"TAK",0,IF(OR(E38="ZAKUP",E38="PRODUKCJA"),Z38,IF(OR(E38="SPRZEDAŻ",E38="ZUŻYCIE"),-Z38,0)))</f>
        <v>112.48</v>
      </c>
      <c r="AD38" s="18" t="n">
        <f aca="false">IF(G38&lt;&gt;"TAK",0,IF(OR(E38="ZAKUP",E38="PRODUKCJA"),AA38,IF(OR(E38="SPRZEDAŻ",E38="ZUŻYCIE"),-AA38,0)))</f>
        <v>9.2796</v>
      </c>
      <c r="AE38" s="19" t="n">
        <f aca="false">IF(E38="ZAKUP",IF(L38&lt;&gt;"",L38,IF(K38&lt;&gt;"",Z38*K38,0)),0)</f>
        <v>6467.6</v>
      </c>
      <c r="AF38" s="19" t="n">
        <f aca="false">IF(E38="SPRZEDAŻ",IF(M38&lt;&gt;"",Z38*M38,0),0)</f>
        <v>0</v>
      </c>
      <c r="AG38" s="19" t="str">
        <f aca="false">IF(R38="","",IF(LOWER(R38)="brak","Brak",IF(OR(ISNUMBER(SEARCH("ric pl",LOWER(R38))),ISNUMBER(SEARCH("wojciechowski",LOWER(R38)))),"Własny","Zewnętrzny")))</f>
        <v/>
      </c>
      <c r="AH38" s="19" t="n">
        <f aca="false">Z38*Q38</f>
        <v>0</v>
      </c>
      <c r="AI38" s="19" t="str">
        <f aca="false">UPPER(TEXT(C38,"mmmm"))</f>
        <v>JULY</v>
      </c>
      <c r="AJ38" s="19" t="str">
        <f aca="false">IF(C38="","",TEXT(C38,"rrrr"))</f>
        <v>CE5786CE5786</v>
      </c>
      <c r="AK38" s="10"/>
      <c r="AL38" s="11" t="n">
        <v>0</v>
      </c>
      <c r="AM38" s="10" t="s">
        <v>121</v>
      </c>
      <c r="AN38" s="10" t="s">
        <v>59</v>
      </c>
      <c r="AO38" s="10"/>
      <c r="AP38" s="10"/>
      <c r="AQ38" s="10"/>
      <c r="AR38" s="10" t="s">
        <v>66</v>
      </c>
      <c r="AS38" s="10"/>
      <c r="AT38" s="15" t="n">
        <v>1</v>
      </c>
    </row>
    <row r="39" customFormat="false" ht="28.5" hidden="false" customHeight="true" outlineLevel="0" collapsed="false">
      <c r="A39" s="12" t="n">
        <v>46211</v>
      </c>
      <c r="B39" s="12"/>
      <c r="C39" s="12" t="n">
        <v>46211</v>
      </c>
      <c r="D39" s="10" t="s">
        <v>46</v>
      </c>
      <c r="E39" s="10" t="s">
        <v>63</v>
      </c>
      <c r="F39" s="20" t="s">
        <v>122</v>
      </c>
      <c r="G39" s="14" t="s">
        <v>49</v>
      </c>
      <c r="H39" s="10" t="s">
        <v>76</v>
      </c>
      <c r="I39" s="15" t="n">
        <v>30.66</v>
      </c>
      <c r="J39" s="10" t="s">
        <v>77</v>
      </c>
      <c r="K39" s="15" t="n">
        <v>230</v>
      </c>
      <c r="L39" s="11" t="n">
        <v>7051.8</v>
      </c>
      <c r="M39" s="11" t="n">
        <v>0</v>
      </c>
      <c r="N39" s="10" t="s">
        <v>64</v>
      </c>
      <c r="O39" s="10"/>
      <c r="P39" s="10"/>
      <c r="Q39" s="16" t="n">
        <v>0</v>
      </c>
      <c r="R39" s="10"/>
      <c r="S39" s="10"/>
      <c r="T39" s="10" t="n">
        <v>0</v>
      </c>
      <c r="U39" s="11" t="n">
        <f aca="false">IF(E39="TRANSPORT",IF(T39="","",T39*5),IF(AL39="","",AL39))</f>
        <v>0</v>
      </c>
      <c r="V39" s="10" t="s">
        <v>54</v>
      </c>
      <c r="W39" s="15" t="s">
        <v>70</v>
      </c>
      <c r="X39" s="15"/>
      <c r="Y39" s="17" t="n">
        <v>46213.4183101852</v>
      </c>
      <c r="Z39" s="18" t="n">
        <f aca="false">IF(I39="",0,IF(ISNUMBER(SEARCH("mp",LOWER(J39))),I39,IF(ISNUMBER(SEARCH("ton",LOWER(J39))),I39/0.33,IF(ISNUMBER(SEARCH("m3",LOWER(J39))),I39*4,I39))))</f>
        <v>122.64</v>
      </c>
      <c r="AA39" s="18" t="n">
        <f aca="false">IF(I39="",0,IF(ISNUMBER(SEARCH("mp",LOWER(J39))),I39*0.33,IF(ISNUMBER(SEARCH("ton",LOWER(J39))),I39,I39*0.33)))</f>
        <v>10.1178</v>
      </c>
      <c r="AB39" s="18" t="n">
        <f aca="false">Tabela_dane[[#This Row],[Wolumen_t]]*8.5</f>
        <v>86.0013</v>
      </c>
      <c r="AC39" s="18" t="n">
        <f aca="false">IF(G39&lt;&gt;"TAK",0,IF(OR(E39="ZAKUP",E39="PRODUKCJA"),Z39,IF(OR(E39="SPRZEDAŻ",E39="ZUŻYCIE"),-Z39,0)))</f>
        <v>122.64</v>
      </c>
      <c r="AD39" s="18" t="n">
        <f aca="false">IF(G39&lt;&gt;"TAK",0,IF(OR(E39="ZAKUP",E39="PRODUKCJA"),AA39,IF(OR(E39="SPRZEDAŻ",E39="ZUŻYCIE"),-AA39,0)))</f>
        <v>10.1178</v>
      </c>
      <c r="AE39" s="19" t="n">
        <f aca="false">IF(E39="ZAKUP",IF(L39&lt;&gt;"",L39,IF(K39&lt;&gt;"",Z39*K39,0)),0)</f>
        <v>7051.8</v>
      </c>
      <c r="AF39" s="19" t="n">
        <f aca="false">IF(E39="SPRZEDAŻ",IF(M39&lt;&gt;"",Z39*M39,0),0)</f>
        <v>0</v>
      </c>
      <c r="AG39" s="19" t="str">
        <f aca="false">IF(R39="","",IF(LOWER(R39)="brak","Brak",IF(OR(ISNUMBER(SEARCH("ric pl",LOWER(R39))),ISNUMBER(SEARCH("wojciechowski",LOWER(R39)))),"Własny","Zewnętrzny")))</f>
        <v/>
      </c>
      <c r="AH39" s="19" t="n">
        <f aca="false">Z39*Q39</f>
        <v>0</v>
      </c>
      <c r="AI39" s="19" t="str">
        <f aca="false">UPPER(TEXT(C39,"mmmm"))</f>
        <v>JULY</v>
      </c>
      <c r="AJ39" s="19" t="str">
        <f aca="false">IF(C39="","",TEXT(C39,"rrrr"))</f>
        <v>CE5786CE5786</v>
      </c>
      <c r="AK39" s="10"/>
      <c r="AL39" s="11" t="n">
        <v>0</v>
      </c>
      <c r="AM39" s="10" t="s">
        <v>123</v>
      </c>
      <c r="AN39" s="10" t="s">
        <v>59</v>
      </c>
      <c r="AO39" s="10"/>
      <c r="AP39" s="10"/>
      <c r="AQ39" s="10"/>
      <c r="AR39" s="10" t="s">
        <v>66</v>
      </c>
      <c r="AS39" s="10"/>
      <c r="AT39" s="15" t="n">
        <v>1</v>
      </c>
    </row>
    <row r="40" customFormat="false" ht="28.5" hidden="false" customHeight="true" outlineLevel="0" collapsed="false">
      <c r="A40" s="12" t="n">
        <v>46211</v>
      </c>
      <c r="B40" s="12"/>
      <c r="C40" s="12" t="n">
        <v>46211</v>
      </c>
      <c r="D40" s="10" t="s">
        <v>124</v>
      </c>
      <c r="E40" s="10" t="s">
        <v>63</v>
      </c>
      <c r="F40" s="13" t="s">
        <v>125</v>
      </c>
      <c r="G40" s="14" t="s">
        <v>49</v>
      </c>
      <c r="H40" s="10" t="s">
        <v>76</v>
      </c>
      <c r="I40" s="15" t="n">
        <v>24.64</v>
      </c>
      <c r="J40" s="10" t="s">
        <v>103</v>
      </c>
      <c r="K40" s="15" t="n">
        <v>275</v>
      </c>
      <c r="L40" s="11" t="n">
        <v>6776</v>
      </c>
      <c r="M40" s="11" t="n">
        <v>0</v>
      </c>
      <c r="N40" s="10" t="s">
        <v>104</v>
      </c>
      <c r="O40" s="10" t="s">
        <v>67</v>
      </c>
      <c r="P40" s="10"/>
      <c r="Q40" s="16" t="n">
        <v>0</v>
      </c>
      <c r="R40" s="10"/>
      <c r="S40" s="10"/>
      <c r="T40" s="10" t="n">
        <v>0</v>
      </c>
      <c r="U40" s="11" t="n">
        <f aca="false">IF(E40="TRANSPORT",IF(T40="","",T40*5),IF(AL40="","",AL40))</f>
        <v>0</v>
      </c>
      <c r="V40" s="10" t="s">
        <v>54</v>
      </c>
      <c r="W40" s="15" t="s">
        <v>65</v>
      </c>
      <c r="X40" s="15"/>
      <c r="Y40" s="17" t="n">
        <v>46217.4322106482</v>
      </c>
      <c r="Z40" s="18" t="n">
        <f aca="false">IF(I40="",0,IF(ISNUMBER(SEARCH("mp",LOWER(J40))),I40,IF(ISNUMBER(SEARCH("ton",LOWER(J40))),I40/0.33,IF(ISNUMBER(SEARCH("m3",LOWER(J40))),I40*4,I40))))</f>
        <v>74.6666666666667</v>
      </c>
      <c r="AA40" s="18" t="n">
        <f aca="false">IF(I40="",0,IF(ISNUMBER(SEARCH("mp",LOWER(J40))),I40*0.33,IF(ISNUMBER(SEARCH("ton",LOWER(J40))),I40,I40*0.33)))</f>
        <v>24.64</v>
      </c>
      <c r="AB40" s="18" t="n">
        <f aca="false">Tabela_dane[[#This Row],[Wolumen_t]]*8.5</f>
        <v>209.44</v>
      </c>
      <c r="AC40" s="18" t="n">
        <f aca="false">IF(G40&lt;&gt;"TAK",0,IF(OR(E40="ZAKUP",E40="PRODUKCJA"),Z40,IF(OR(E40="SPRZEDAŻ",E40="ZUŻYCIE"),-Z40,0)))</f>
        <v>74.6666666666667</v>
      </c>
      <c r="AD40" s="18" t="n">
        <f aca="false">IF(G40&lt;&gt;"TAK",0,IF(OR(E40="ZAKUP",E40="PRODUKCJA"),AA40,IF(OR(E40="SPRZEDAŻ",E40="ZUŻYCIE"),-AA40,0)))</f>
        <v>24.64</v>
      </c>
      <c r="AE40" s="19" t="n">
        <f aca="false">IF(E40="ZAKUP",IF(L40&lt;&gt;"",L40,IF(K40&lt;&gt;"",Z40*K40,0)),0)</f>
        <v>6776</v>
      </c>
      <c r="AF40" s="19" t="n">
        <f aca="false">IF(E40="SPRZEDAŻ",IF(M40&lt;&gt;"",Z40*M40,0),0)</f>
        <v>0</v>
      </c>
      <c r="AG40" s="19" t="str">
        <f aca="false">IF(R40="","",IF(LOWER(R40)="brak","Brak",IF(OR(ISNUMBER(SEARCH("ric pl",LOWER(R40))),ISNUMBER(SEARCH("wojciechowski",LOWER(R40)))),"Własny","Zewnętrzny")))</f>
        <v/>
      </c>
      <c r="AH40" s="19" t="n">
        <f aca="false">Z40*Q40</f>
        <v>0</v>
      </c>
      <c r="AI40" s="19" t="str">
        <f aca="false">UPPER(TEXT(C40,"mmmm"))</f>
        <v>JULY</v>
      </c>
      <c r="AJ40" s="19" t="str">
        <f aca="false">IF(C40="","",TEXT(C40,"rrrr"))</f>
        <v>CE5786CE5786</v>
      </c>
      <c r="AK40" s="10"/>
      <c r="AL40" s="11" t="n">
        <v>0</v>
      </c>
      <c r="AM40" s="10" t="s">
        <v>126</v>
      </c>
      <c r="AN40" s="10" t="s">
        <v>59</v>
      </c>
      <c r="AO40" s="10"/>
      <c r="AP40" s="10"/>
      <c r="AQ40" s="10"/>
      <c r="AR40" s="10" t="s">
        <v>66</v>
      </c>
      <c r="AS40" s="10"/>
      <c r="AT40" s="15" t="n">
        <v>1</v>
      </c>
    </row>
    <row r="41" customFormat="false" ht="28.5" hidden="false" customHeight="true" outlineLevel="0" collapsed="false">
      <c r="A41" s="12" t="n">
        <v>46211</v>
      </c>
      <c r="B41" s="12"/>
      <c r="C41" s="12" t="n">
        <v>46211</v>
      </c>
      <c r="D41" s="10" t="s">
        <v>124</v>
      </c>
      <c r="E41" s="10" t="s">
        <v>63</v>
      </c>
      <c r="F41" s="13" t="s">
        <v>127</v>
      </c>
      <c r="G41" s="14" t="s">
        <v>49</v>
      </c>
      <c r="H41" s="10" t="s">
        <v>76</v>
      </c>
      <c r="I41" s="15" t="n">
        <v>24.64</v>
      </c>
      <c r="J41" s="10" t="s">
        <v>103</v>
      </c>
      <c r="K41" s="15" t="n">
        <v>275</v>
      </c>
      <c r="L41" s="11" t="n">
        <v>6776</v>
      </c>
      <c r="M41" s="11" t="n">
        <v>0</v>
      </c>
      <c r="N41" s="10" t="s">
        <v>104</v>
      </c>
      <c r="O41" s="10" t="s">
        <v>67</v>
      </c>
      <c r="P41" s="10"/>
      <c r="Q41" s="16" t="n">
        <v>0</v>
      </c>
      <c r="R41" s="10"/>
      <c r="S41" s="10"/>
      <c r="T41" s="10" t="n">
        <v>0</v>
      </c>
      <c r="U41" s="11" t="n">
        <f aca="false">IF(E41="TRANSPORT",IF(T41="","",T41*5),IF(AL41="","",AL41))</f>
        <v>0</v>
      </c>
      <c r="V41" s="10" t="s">
        <v>54</v>
      </c>
      <c r="W41" s="15" t="s">
        <v>70</v>
      </c>
      <c r="X41" s="15"/>
      <c r="Y41" s="17" t="n">
        <v>46217.4333217593</v>
      </c>
      <c r="Z41" s="18" t="n">
        <f aca="false">IF(I41="",0,IF(ISNUMBER(SEARCH("mp",LOWER(J41))),I41,IF(ISNUMBER(SEARCH("ton",LOWER(J41))),I41/0.33,IF(ISNUMBER(SEARCH("m3",LOWER(J41))),I41*4,I41))))</f>
        <v>74.6666666666667</v>
      </c>
      <c r="AA41" s="18" t="n">
        <f aca="false">IF(I41="",0,IF(ISNUMBER(SEARCH("mp",LOWER(J41))),I41*0.33,IF(ISNUMBER(SEARCH("ton",LOWER(J41))),I41,I41*0.33)))</f>
        <v>24.64</v>
      </c>
      <c r="AB41" s="18" t="n">
        <f aca="false">Tabela_dane[[#This Row],[Wolumen_t]]*8.5</f>
        <v>209.44</v>
      </c>
      <c r="AC41" s="18" t="n">
        <f aca="false">IF(G41&lt;&gt;"TAK",0,IF(OR(E41="ZAKUP",E41="PRODUKCJA"),Z41,IF(OR(E41="SPRZEDAŻ",E41="ZUŻYCIE"),-Z41,0)))</f>
        <v>74.6666666666667</v>
      </c>
      <c r="AD41" s="18" t="n">
        <f aca="false">IF(G41&lt;&gt;"TAK",0,IF(OR(E41="ZAKUP",E41="PRODUKCJA"),AA41,IF(OR(E41="SPRZEDAŻ",E41="ZUŻYCIE"),-AA41,0)))</f>
        <v>24.64</v>
      </c>
      <c r="AE41" s="19" t="n">
        <f aca="false">IF(E41="ZAKUP",IF(L41&lt;&gt;"",L41,IF(K41&lt;&gt;"",Z41*K41,0)),0)</f>
        <v>6776</v>
      </c>
      <c r="AF41" s="19" t="n">
        <f aca="false">IF(E41="SPRZEDAŻ",IF(M41&lt;&gt;"",Z41*M41,0),0)</f>
        <v>0</v>
      </c>
      <c r="AG41" s="19" t="str">
        <f aca="false">IF(R41="","",IF(LOWER(R41)="brak","Brak",IF(OR(ISNUMBER(SEARCH("ric pl",LOWER(R41))),ISNUMBER(SEARCH("wojciechowski",LOWER(R41)))),"Własny","Zewnętrzny")))</f>
        <v/>
      </c>
      <c r="AH41" s="19" t="n">
        <f aca="false">Z41*Q41</f>
        <v>0</v>
      </c>
      <c r="AI41" s="19" t="str">
        <f aca="false">UPPER(TEXT(C41,"mmmm"))</f>
        <v>JULY</v>
      </c>
      <c r="AJ41" s="19" t="str">
        <f aca="false">IF(C41="","",TEXT(C41,"rrrr"))</f>
        <v>CE5786CE5786</v>
      </c>
      <c r="AK41" s="10"/>
      <c r="AL41" s="11" t="n">
        <v>0</v>
      </c>
      <c r="AM41" s="10" t="s">
        <v>128</v>
      </c>
      <c r="AN41" s="10" t="s">
        <v>59</v>
      </c>
      <c r="AO41" s="10"/>
      <c r="AP41" s="10"/>
      <c r="AQ41" s="10"/>
      <c r="AR41" s="10" t="s">
        <v>66</v>
      </c>
      <c r="AS41" s="10"/>
      <c r="AT41" s="15" t="n">
        <v>1</v>
      </c>
    </row>
    <row r="42" customFormat="false" ht="28.5" hidden="false" customHeight="true" outlineLevel="0" collapsed="false">
      <c r="A42" s="12" t="n">
        <v>46212</v>
      </c>
      <c r="B42" s="12" t="s">
        <v>106</v>
      </c>
      <c r="C42" s="12" t="n">
        <v>46212</v>
      </c>
      <c r="D42" s="10" t="s">
        <v>106</v>
      </c>
      <c r="E42" s="10" t="s">
        <v>107</v>
      </c>
      <c r="F42" s="21" t="s">
        <v>129</v>
      </c>
      <c r="G42" s="14" t="s">
        <v>49</v>
      </c>
      <c r="H42" s="10"/>
      <c r="I42" s="15" t="n">
        <v>86</v>
      </c>
      <c r="J42" s="10" t="s">
        <v>51</v>
      </c>
      <c r="K42" s="15" t="n">
        <v>0</v>
      </c>
      <c r="L42" s="11" t="n">
        <v>0</v>
      </c>
      <c r="M42" s="11" t="n">
        <v>0</v>
      </c>
      <c r="N42" s="10" t="s">
        <v>52</v>
      </c>
      <c r="O42" s="10" t="s">
        <v>67</v>
      </c>
      <c r="P42" s="10"/>
      <c r="Q42" s="16" t="n">
        <v>0</v>
      </c>
      <c r="R42" s="10" t="s">
        <v>68</v>
      </c>
      <c r="S42" s="10" t="s">
        <v>69</v>
      </c>
      <c r="T42" s="10" t="n">
        <v>40</v>
      </c>
      <c r="U42" s="11" t="n">
        <f aca="false">IF(E42="TRANSPORT",IF(T42="","",T42*5),IF(AL42="","",AL42))</f>
        <v>200</v>
      </c>
      <c r="V42" s="10" t="s">
        <v>54</v>
      </c>
      <c r="W42" s="15" t="s">
        <v>65</v>
      </c>
      <c r="X42" s="15" t="s">
        <v>106</v>
      </c>
      <c r="Y42" s="17" t="n">
        <v>46212.4792824074</v>
      </c>
      <c r="Z42" s="18" t="n">
        <f aca="false">IF(I42="",0,IF(ISNUMBER(SEARCH("mp",LOWER(J42))),I42,IF(ISNUMBER(SEARCH("ton",LOWER(J42))),I42/0.33,IF(ISNUMBER(SEARCH("m3",LOWER(J42))),I42*4,I42))))</f>
        <v>86</v>
      </c>
      <c r="AA42" s="18" t="n">
        <f aca="false">IF(I42="",0,IF(ISNUMBER(SEARCH("mp",LOWER(J42))),I42*0.33,IF(ISNUMBER(SEARCH("ton",LOWER(J42))),I42,I42*0.33)))</f>
        <v>28.38</v>
      </c>
      <c r="AB42" s="18" t="n">
        <f aca="false">Tabela_dane[[#This Row],[Wolumen_t]]*8.5</f>
        <v>241.23</v>
      </c>
      <c r="AC42" s="18" t="n">
        <f aca="false">IF(G42&lt;&gt;"TAK",0,IF(OR(E42="ZAKUP",E42="PRODUKCJA"),Z42,IF(OR(E42="SPRZEDAŻ",E42="ZUŻYCIE"),-Z42,0)))</f>
        <v>0</v>
      </c>
      <c r="AD42" s="18" t="n">
        <f aca="false">IF(G42&lt;&gt;"TAK",0,IF(OR(E42="ZAKUP",E42="PRODUKCJA"),AA42,IF(OR(E42="SPRZEDAŻ",E42="ZUŻYCIE"),-AA42,0)))</f>
        <v>0</v>
      </c>
      <c r="AE42" s="19" t="n">
        <f aca="false">IF(E42="ZAKUP",IF(L42&lt;&gt;"",L42,IF(K42&lt;&gt;"",Z42*K42,0)),0)</f>
        <v>0</v>
      </c>
      <c r="AF42" s="19" t="n">
        <f aca="false">IF(E42="SPRZEDAŻ",IF(M42&lt;&gt;"",Z42*M42,0),0)</f>
        <v>0</v>
      </c>
      <c r="AG42" s="19" t="str">
        <f aca="false">IF(R42="","",IF(LOWER(R42)="brak","Brak",IF(OR(ISNUMBER(SEARCH("ric pl",LOWER(R42))),ISNUMBER(SEARCH("wojciechowski",LOWER(R42)))),"Własny","Zewnętrzny")))</f>
        <v>Zewnętrzny</v>
      </c>
      <c r="AH42" s="19" t="n">
        <f aca="false">Z42*Q42</f>
        <v>0</v>
      </c>
      <c r="AI42" s="19" t="str">
        <f aca="false">UPPER(TEXT(C42,"mmmm"))</f>
        <v>JULY</v>
      </c>
      <c r="AJ42" s="19" t="str">
        <f aca="false">IF(C42="","",TEXT(C42,"rrrr"))</f>
        <v>CE5786CE5786</v>
      </c>
      <c r="AK42" s="10"/>
      <c r="AL42" s="11" t="n">
        <v>200</v>
      </c>
      <c r="AM42" s="10" t="s">
        <v>130</v>
      </c>
      <c r="AN42" s="10" t="s">
        <v>49</v>
      </c>
      <c r="AO42" s="10"/>
      <c r="AP42" s="10"/>
      <c r="AQ42" s="10"/>
      <c r="AR42" s="10" t="s">
        <v>66</v>
      </c>
      <c r="AS42" s="10"/>
      <c r="AT42" s="15" t="n">
        <v>1</v>
      </c>
    </row>
    <row r="43" customFormat="false" ht="28.5" hidden="false" customHeight="true" outlineLevel="0" collapsed="false">
      <c r="A43" s="12" t="n">
        <v>46212</v>
      </c>
      <c r="B43" s="12" t="s">
        <v>106</v>
      </c>
      <c r="C43" s="12" t="n">
        <v>46212</v>
      </c>
      <c r="D43" s="10" t="s">
        <v>106</v>
      </c>
      <c r="E43" s="10" t="s">
        <v>107</v>
      </c>
      <c r="F43" s="21" t="s">
        <v>131</v>
      </c>
      <c r="G43" s="14" t="s">
        <v>49</v>
      </c>
      <c r="H43" s="10"/>
      <c r="I43" s="15" t="n">
        <v>84</v>
      </c>
      <c r="J43" s="10" t="s">
        <v>51</v>
      </c>
      <c r="K43" s="15" t="n">
        <v>0</v>
      </c>
      <c r="L43" s="11" t="n">
        <v>0</v>
      </c>
      <c r="M43" s="11" t="n">
        <v>0</v>
      </c>
      <c r="N43" s="10" t="s">
        <v>52</v>
      </c>
      <c r="O43" s="10" t="s">
        <v>67</v>
      </c>
      <c r="P43" s="10"/>
      <c r="Q43" s="16" t="n">
        <v>0</v>
      </c>
      <c r="R43" s="10" t="s">
        <v>94</v>
      </c>
      <c r="S43" s="10" t="s">
        <v>95</v>
      </c>
      <c r="T43" s="10" t="n">
        <v>40</v>
      </c>
      <c r="U43" s="11" t="n">
        <f aca="false">IF(E43="TRANSPORT",IF(T43="","",T43*5),IF(AL43="","",AL43))</f>
        <v>200</v>
      </c>
      <c r="V43" s="10" t="s">
        <v>54</v>
      </c>
      <c r="W43" s="15" t="s">
        <v>70</v>
      </c>
      <c r="X43" s="15" t="s">
        <v>106</v>
      </c>
      <c r="Y43" s="17" t="n">
        <v>46212.4816435185</v>
      </c>
      <c r="Z43" s="18" t="n">
        <f aca="false">IF(I43="",0,IF(ISNUMBER(SEARCH("mp",LOWER(J43))),I43,IF(ISNUMBER(SEARCH("ton",LOWER(J43))),I43/0.33,IF(ISNUMBER(SEARCH("m3",LOWER(J43))),I43*4,I43))))</f>
        <v>84</v>
      </c>
      <c r="AA43" s="18" t="n">
        <f aca="false">IF(I43="",0,IF(ISNUMBER(SEARCH("mp",LOWER(J43))),I43*0.33,IF(ISNUMBER(SEARCH("ton",LOWER(J43))),I43,I43*0.33)))</f>
        <v>27.72</v>
      </c>
      <c r="AB43" s="18" t="n">
        <f aca="false">Tabela_dane[[#This Row],[Wolumen_t]]*8.5</f>
        <v>235.62</v>
      </c>
      <c r="AC43" s="18" t="n">
        <f aca="false">IF(G43&lt;&gt;"TAK",0,IF(OR(E43="ZAKUP",E43="PRODUKCJA"),Z43,IF(OR(E43="SPRZEDAŻ",E43="ZUŻYCIE"),-Z43,0)))</f>
        <v>0</v>
      </c>
      <c r="AD43" s="18" t="n">
        <f aca="false">IF(G43&lt;&gt;"TAK",0,IF(OR(E43="ZAKUP",E43="PRODUKCJA"),AA43,IF(OR(E43="SPRZEDAŻ",E43="ZUŻYCIE"),-AA43,0)))</f>
        <v>0</v>
      </c>
      <c r="AE43" s="19" t="n">
        <f aca="false">IF(E43="ZAKUP",IF(L43&lt;&gt;"",L43,IF(K43&lt;&gt;"",Z43*K43,0)),0)</f>
        <v>0</v>
      </c>
      <c r="AF43" s="19" t="n">
        <f aca="false">IF(E43="SPRZEDAŻ",IF(M43&lt;&gt;"",Z43*M43,0),0)</f>
        <v>0</v>
      </c>
      <c r="AG43" s="19" t="str">
        <f aca="false">IF(R43="","",IF(LOWER(R43)="brak","Brak",IF(OR(ISNUMBER(SEARCH("ric pl",LOWER(R43))),ISNUMBER(SEARCH("wojciechowski",LOWER(R43)))),"Własny","Zewnętrzny")))</f>
        <v>Zewnętrzny</v>
      </c>
      <c r="AH43" s="19" t="n">
        <f aca="false">Z43*Q43</f>
        <v>0</v>
      </c>
      <c r="AI43" s="19" t="str">
        <f aca="false">UPPER(TEXT(C43,"mmmm"))</f>
        <v>JULY</v>
      </c>
      <c r="AJ43" s="19" t="str">
        <f aca="false">IF(C43="","",TEXT(C43,"rrrr"))</f>
        <v>CE5786CE5786</v>
      </c>
      <c r="AK43" s="10"/>
      <c r="AL43" s="11" t="n">
        <v>200</v>
      </c>
      <c r="AM43" s="10" t="s">
        <v>132</v>
      </c>
      <c r="AN43" s="10" t="s">
        <v>49</v>
      </c>
      <c r="AO43" s="10"/>
      <c r="AP43" s="10"/>
      <c r="AQ43" s="10"/>
      <c r="AR43" s="10" t="s">
        <v>66</v>
      </c>
      <c r="AS43" s="10"/>
      <c r="AT43" s="15" t="n">
        <v>1</v>
      </c>
    </row>
    <row r="44" customFormat="false" ht="28.5" hidden="false" customHeight="true" outlineLevel="0" collapsed="false">
      <c r="A44" s="12" t="n">
        <v>46212</v>
      </c>
      <c r="B44" s="12" t="s">
        <v>106</v>
      </c>
      <c r="C44" s="12" t="n">
        <v>46212</v>
      </c>
      <c r="D44" s="10" t="s">
        <v>106</v>
      </c>
      <c r="E44" s="10" t="s">
        <v>107</v>
      </c>
      <c r="F44" s="21" t="s">
        <v>133</v>
      </c>
      <c r="G44" s="14" t="s">
        <v>49</v>
      </c>
      <c r="H44" s="10"/>
      <c r="I44" s="15" t="n">
        <v>61.48</v>
      </c>
      <c r="J44" s="10" t="s">
        <v>51</v>
      </c>
      <c r="K44" s="15" t="n">
        <v>0</v>
      </c>
      <c r="L44" s="11" t="n">
        <v>0</v>
      </c>
      <c r="M44" s="11" t="n">
        <v>0</v>
      </c>
      <c r="N44" s="10" t="s">
        <v>52</v>
      </c>
      <c r="O44" s="10" t="s">
        <v>67</v>
      </c>
      <c r="P44" s="10"/>
      <c r="Q44" s="16" t="n">
        <v>0</v>
      </c>
      <c r="R44" s="10" t="s">
        <v>72</v>
      </c>
      <c r="S44" s="10" t="s">
        <v>73</v>
      </c>
      <c r="T44" s="10" t="n">
        <v>40</v>
      </c>
      <c r="U44" s="11" t="n">
        <f aca="false">IF(E44="TRANSPORT",IF(T44="","",T44*5),IF(AL44="","",AL44))</f>
        <v>240</v>
      </c>
      <c r="V44" s="10" t="s">
        <v>54</v>
      </c>
      <c r="W44" s="15" t="s">
        <v>65</v>
      </c>
      <c r="X44" s="15" t="s">
        <v>106</v>
      </c>
      <c r="Y44" s="17" t="n">
        <v>46212.5729513889</v>
      </c>
      <c r="Z44" s="18" t="n">
        <f aca="false">IF(I44="",0,IF(ISNUMBER(SEARCH("mp",LOWER(J44))),I44,IF(ISNUMBER(SEARCH("ton",LOWER(J44))),I44/0.33,IF(ISNUMBER(SEARCH("m3",LOWER(J44))),I44*4,I44))))</f>
        <v>61.48</v>
      </c>
      <c r="AA44" s="18" t="n">
        <f aca="false">IF(I44="",0,IF(ISNUMBER(SEARCH("mp",LOWER(J44))),I44*0.33,IF(ISNUMBER(SEARCH("ton",LOWER(J44))),I44,I44*0.33)))</f>
        <v>20.2884</v>
      </c>
      <c r="AB44" s="18" t="n">
        <f aca="false">Tabela_dane[[#This Row],[Wolumen_t]]*8.5</f>
        <v>172.4514</v>
      </c>
      <c r="AC44" s="18" t="n">
        <f aca="false">IF(G44&lt;&gt;"TAK",0,IF(OR(E44="ZAKUP",E44="PRODUKCJA"),Z44,IF(OR(E44="SPRZEDAŻ",E44="ZUŻYCIE"),-Z44,0)))</f>
        <v>0</v>
      </c>
      <c r="AD44" s="18" t="n">
        <f aca="false">IF(G44&lt;&gt;"TAK",0,IF(OR(E44="ZAKUP",E44="PRODUKCJA"),AA44,IF(OR(E44="SPRZEDAŻ",E44="ZUŻYCIE"),-AA44,0)))</f>
        <v>0</v>
      </c>
      <c r="AE44" s="19" t="n">
        <f aca="false">IF(E44="ZAKUP",IF(L44&lt;&gt;"",L44,IF(K44&lt;&gt;"",Z44*K44,0)),0)</f>
        <v>0</v>
      </c>
      <c r="AF44" s="19" t="n">
        <f aca="false">IF(E44="SPRZEDAŻ",IF(M44&lt;&gt;"",Z44*M44,0),0)</f>
        <v>0</v>
      </c>
      <c r="AG44" s="19" t="str">
        <f aca="false">IF(R44="","",IF(LOWER(R44)="brak","Brak",IF(OR(ISNUMBER(SEARCH("ric pl",LOWER(R44))),ISNUMBER(SEARCH("wojciechowski",LOWER(R44)))),"Własny","Zewnętrzny")))</f>
        <v>Zewnętrzny</v>
      </c>
      <c r="AH44" s="19" t="n">
        <f aca="false">Z44*Q44</f>
        <v>0</v>
      </c>
      <c r="AI44" s="19" t="str">
        <f aca="false">UPPER(TEXT(C44,"mmmm"))</f>
        <v>JULY</v>
      </c>
      <c r="AJ44" s="19" t="str">
        <f aca="false">IF(C44="","",TEXT(C44,"rrrr"))</f>
        <v>CE5786CE5786</v>
      </c>
      <c r="AK44" s="10"/>
      <c r="AL44" s="11" t="n">
        <v>240</v>
      </c>
      <c r="AM44" s="10" t="s">
        <v>134</v>
      </c>
      <c r="AN44" s="10" t="s">
        <v>49</v>
      </c>
      <c r="AO44" s="10"/>
      <c r="AP44" s="10"/>
      <c r="AQ44" s="10"/>
      <c r="AR44" s="10" t="s">
        <v>66</v>
      </c>
      <c r="AS44" s="10"/>
      <c r="AT44" s="15" t="n">
        <v>1</v>
      </c>
    </row>
    <row r="45" customFormat="false" ht="28.5" hidden="false" customHeight="true" outlineLevel="0" collapsed="false">
      <c r="A45" s="12" t="n">
        <v>46212</v>
      </c>
      <c r="B45" s="12" t="s">
        <v>106</v>
      </c>
      <c r="C45" s="12" t="n">
        <v>46212</v>
      </c>
      <c r="D45" s="10" t="s">
        <v>106</v>
      </c>
      <c r="E45" s="10" t="s">
        <v>107</v>
      </c>
      <c r="F45" s="21" t="s">
        <v>135</v>
      </c>
      <c r="G45" s="14" t="s">
        <v>49</v>
      </c>
      <c r="H45" s="10"/>
      <c r="I45" s="15" t="n">
        <v>69</v>
      </c>
      <c r="J45" s="10" t="s">
        <v>51</v>
      </c>
      <c r="K45" s="15" t="n">
        <v>0</v>
      </c>
      <c r="L45" s="11" t="n">
        <v>0</v>
      </c>
      <c r="M45" s="11" t="n">
        <v>0</v>
      </c>
      <c r="N45" s="10" t="s">
        <v>52</v>
      </c>
      <c r="O45" s="10" t="s">
        <v>67</v>
      </c>
      <c r="P45" s="10"/>
      <c r="Q45" s="16" t="n">
        <v>0</v>
      </c>
      <c r="R45" s="10" t="s">
        <v>72</v>
      </c>
      <c r="S45" s="10" t="s">
        <v>73</v>
      </c>
      <c r="T45" s="10" t="n">
        <v>40</v>
      </c>
      <c r="U45" s="11" t="n">
        <f aca="false">IF(E45="TRANSPORT",IF(T45="","",T45*5),IF(AL45="","",AL45))</f>
        <v>240</v>
      </c>
      <c r="V45" s="10" t="s">
        <v>54</v>
      </c>
      <c r="W45" s="15" t="s">
        <v>70</v>
      </c>
      <c r="X45" s="15" t="s">
        <v>106</v>
      </c>
      <c r="Y45" s="17" t="n">
        <v>46213.4651736111</v>
      </c>
      <c r="Z45" s="18" t="n">
        <f aca="false">IF(I45="",0,IF(ISNUMBER(SEARCH("mp",LOWER(J45))),I45,IF(ISNUMBER(SEARCH("ton",LOWER(J45))),I45/0.33,IF(ISNUMBER(SEARCH("m3",LOWER(J45))),I45*4,I45))))</f>
        <v>69</v>
      </c>
      <c r="AA45" s="18" t="n">
        <f aca="false">IF(I45="",0,IF(ISNUMBER(SEARCH("mp",LOWER(J45))),I45*0.33,IF(ISNUMBER(SEARCH("ton",LOWER(J45))),I45,I45*0.33)))</f>
        <v>22.77</v>
      </c>
      <c r="AB45" s="18" t="n">
        <f aca="false">Tabela_dane[[#This Row],[Wolumen_t]]*8.5</f>
        <v>193.545</v>
      </c>
      <c r="AC45" s="18" t="n">
        <f aca="false">IF(G45&lt;&gt;"TAK",0,IF(OR(E45="ZAKUP",E45="PRODUKCJA"),Z45,IF(OR(E45="SPRZEDAŻ",E45="ZUŻYCIE"),-Z45,0)))</f>
        <v>0</v>
      </c>
      <c r="AD45" s="18" t="n">
        <f aca="false">IF(G45&lt;&gt;"TAK",0,IF(OR(E45="ZAKUP",E45="PRODUKCJA"),AA45,IF(OR(E45="SPRZEDAŻ",E45="ZUŻYCIE"),-AA45,0)))</f>
        <v>0</v>
      </c>
      <c r="AE45" s="19" t="n">
        <f aca="false">IF(E45="ZAKUP",IF(L45&lt;&gt;"",L45,IF(K45&lt;&gt;"",Z45*K45,0)),0)</f>
        <v>0</v>
      </c>
      <c r="AF45" s="19" t="n">
        <f aca="false">IF(E45="SPRZEDAŻ",IF(M45&lt;&gt;"",Z45*M45,0),0)</f>
        <v>0</v>
      </c>
      <c r="AG45" s="19" t="str">
        <f aca="false">IF(R45="","",IF(LOWER(R45)="brak","Brak",IF(OR(ISNUMBER(SEARCH("ric pl",LOWER(R45))),ISNUMBER(SEARCH("wojciechowski",LOWER(R45)))),"Własny","Zewnętrzny")))</f>
        <v>Zewnętrzny</v>
      </c>
      <c r="AH45" s="19" t="n">
        <f aca="false">Z45*Q45</f>
        <v>0</v>
      </c>
      <c r="AI45" s="19" t="str">
        <f aca="false">UPPER(TEXT(C45,"mmmm"))</f>
        <v>JULY</v>
      </c>
      <c r="AJ45" s="19" t="str">
        <f aca="false">IF(C45="","",TEXT(C45,"rrrr"))</f>
        <v>CE5786CE5786</v>
      </c>
      <c r="AK45" s="10"/>
      <c r="AL45" s="11" t="n">
        <v>240</v>
      </c>
      <c r="AM45" s="10" t="s">
        <v>136</v>
      </c>
      <c r="AN45" s="10" t="s">
        <v>49</v>
      </c>
      <c r="AO45" s="10"/>
      <c r="AP45" s="10"/>
      <c r="AQ45" s="10"/>
      <c r="AR45" s="10" t="s">
        <v>66</v>
      </c>
      <c r="AS45" s="10"/>
      <c r="AT45" s="15" t="n">
        <v>1</v>
      </c>
    </row>
    <row r="46" customFormat="false" ht="28.5" hidden="false" customHeight="true" outlineLevel="0" collapsed="false">
      <c r="A46" s="12" t="n">
        <v>46212</v>
      </c>
      <c r="B46" s="12" t="s">
        <v>106</v>
      </c>
      <c r="C46" s="12" t="n">
        <v>46212</v>
      </c>
      <c r="D46" s="10" t="s">
        <v>106</v>
      </c>
      <c r="E46" s="10" t="s">
        <v>107</v>
      </c>
      <c r="F46" s="21" t="s">
        <v>137</v>
      </c>
      <c r="G46" s="14" t="s">
        <v>49</v>
      </c>
      <c r="H46" s="10"/>
      <c r="I46" s="15" t="n">
        <v>84</v>
      </c>
      <c r="J46" s="10" t="s">
        <v>51</v>
      </c>
      <c r="K46" s="15" t="n">
        <v>0</v>
      </c>
      <c r="L46" s="11" t="n">
        <v>0</v>
      </c>
      <c r="M46" s="11" t="n">
        <v>0</v>
      </c>
      <c r="N46" s="10" t="s">
        <v>52</v>
      </c>
      <c r="O46" s="10" t="s">
        <v>67</v>
      </c>
      <c r="P46" s="10"/>
      <c r="Q46" s="16" t="n">
        <v>0</v>
      </c>
      <c r="R46" s="10" t="s">
        <v>94</v>
      </c>
      <c r="S46" s="10" t="s">
        <v>95</v>
      </c>
      <c r="T46" s="10" t="n">
        <v>40</v>
      </c>
      <c r="U46" s="11" t="n">
        <f aca="false">IF(E46="TRANSPORT",IF(T46="","",T46*5),IF(AL46="","",AL46))</f>
        <v>200</v>
      </c>
      <c r="V46" s="10" t="s">
        <v>54</v>
      </c>
      <c r="W46" s="15" t="s">
        <v>70</v>
      </c>
      <c r="X46" s="15" t="s">
        <v>106</v>
      </c>
      <c r="Y46" s="17" t="n">
        <v>46213.46625</v>
      </c>
      <c r="Z46" s="18" t="n">
        <f aca="false">IF(I46="",0,IF(ISNUMBER(SEARCH("mp",LOWER(J46))),I46,IF(ISNUMBER(SEARCH("ton",LOWER(J46))),I46/0.33,IF(ISNUMBER(SEARCH("m3",LOWER(J46))),I46*4,I46))))</f>
        <v>84</v>
      </c>
      <c r="AA46" s="18" t="n">
        <f aca="false">IF(I46="",0,IF(ISNUMBER(SEARCH("mp",LOWER(J46))),I46*0.33,IF(ISNUMBER(SEARCH("ton",LOWER(J46))),I46,I46*0.33)))</f>
        <v>27.72</v>
      </c>
      <c r="AB46" s="18" t="n">
        <f aca="false">Tabela_dane[[#This Row],[Wolumen_t]]*8.5</f>
        <v>235.62</v>
      </c>
      <c r="AC46" s="18" t="n">
        <f aca="false">IF(G46&lt;&gt;"TAK",0,IF(OR(E46="ZAKUP",E46="PRODUKCJA"),Z46,IF(OR(E46="SPRZEDAŻ",E46="ZUŻYCIE"),-Z46,0)))</f>
        <v>0</v>
      </c>
      <c r="AD46" s="18" t="n">
        <f aca="false">IF(G46&lt;&gt;"TAK",0,IF(OR(E46="ZAKUP",E46="PRODUKCJA"),AA46,IF(OR(E46="SPRZEDAŻ",E46="ZUŻYCIE"),-AA46,0)))</f>
        <v>0</v>
      </c>
      <c r="AE46" s="19" t="n">
        <f aca="false">IF(E46="ZAKUP",IF(L46&lt;&gt;"",L46,IF(K46&lt;&gt;"",Z46*K46,0)),0)</f>
        <v>0</v>
      </c>
      <c r="AF46" s="19" t="n">
        <f aca="false">IF(E46="SPRZEDAŻ",IF(M46&lt;&gt;"",Z46*M46,0),0)</f>
        <v>0</v>
      </c>
      <c r="AG46" s="19" t="str">
        <f aca="false">IF(R46="","",IF(LOWER(R46)="brak","Brak",IF(OR(ISNUMBER(SEARCH("ric pl",LOWER(R46))),ISNUMBER(SEARCH("wojciechowski",LOWER(R46)))),"Własny","Zewnętrzny")))</f>
        <v>Zewnętrzny</v>
      </c>
      <c r="AH46" s="19" t="n">
        <f aca="false">Z46*Q46</f>
        <v>0</v>
      </c>
      <c r="AI46" s="19" t="str">
        <f aca="false">UPPER(TEXT(C46,"mmmm"))</f>
        <v>JULY</v>
      </c>
      <c r="AJ46" s="19" t="str">
        <f aca="false">IF(C46="","",TEXT(C46,"rrrr"))</f>
        <v>CE5786CE5786</v>
      </c>
      <c r="AK46" s="10"/>
      <c r="AL46" s="11" t="n">
        <v>200</v>
      </c>
      <c r="AM46" s="10" t="s">
        <v>138</v>
      </c>
      <c r="AN46" s="10" t="s">
        <v>49</v>
      </c>
      <c r="AO46" s="10"/>
      <c r="AP46" s="10"/>
      <c r="AQ46" s="10"/>
      <c r="AR46" s="10" t="s">
        <v>66</v>
      </c>
      <c r="AS46" s="10"/>
      <c r="AT46" s="15" t="n">
        <v>1</v>
      </c>
    </row>
    <row r="47" customFormat="false" ht="28.5" hidden="false" customHeight="true" outlineLevel="0" collapsed="false">
      <c r="A47" s="12" t="n">
        <v>46212</v>
      </c>
      <c r="B47" s="12" t="s">
        <v>106</v>
      </c>
      <c r="C47" s="12" t="n">
        <v>46212</v>
      </c>
      <c r="D47" s="10" t="s">
        <v>106</v>
      </c>
      <c r="E47" s="10" t="s">
        <v>107</v>
      </c>
      <c r="F47" s="21" t="s">
        <v>139</v>
      </c>
      <c r="G47" s="14" t="s">
        <v>49</v>
      </c>
      <c r="H47" s="10"/>
      <c r="I47" s="15" t="n">
        <v>86</v>
      </c>
      <c r="J47" s="10" t="s">
        <v>51</v>
      </c>
      <c r="K47" s="15" t="n">
        <v>0</v>
      </c>
      <c r="L47" s="11" t="n">
        <v>0</v>
      </c>
      <c r="M47" s="11" t="n">
        <v>0</v>
      </c>
      <c r="N47" s="10" t="s">
        <v>52</v>
      </c>
      <c r="O47" s="10" t="s">
        <v>67</v>
      </c>
      <c r="P47" s="10"/>
      <c r="Q47" s="16" t="n">
        <v>0</v>
      </c>
      <c r="R47" s="10" t="s">
        <v>68</v>
      </c>
      <c r="S47" s="10" t="s">
        <v>69</v>
      </c>
      <c r="T47" s="10" t="n">
        <v>40</v>
      </c>
      <c r="U47" s="11" t="n">
        <f aca="false">IF(E47="TRANSPORT",IF(T47="","",T47*5),IF(AL47="","",AL47))</f>
        <v>200</v>
      </c>
      <c r="V47" s="10" t="s">
        <v>54</v>
      </c>
      <c r="W47" s="15" t="s">
        <v>65</v>
      </c>
      <c r="X47" s="15" t="s">
        <v>106</v>
      </c>
      <c r="Y47" s="17" t="n">
        <v>46213.4670138889</v>
      </c>
      <c r="Z47" s="18" t="n">
        <f aca="false">IF(I47="",0,IF(ISNUMBER(SEARCH("mp",LOWER(J47))),I47,IF(ISNUMBER(SEARCH("ton",LOWER(J47))),I47/0.33,IF(ISNUMBER(SEARCH("m3",LOWER(J47))),I47*4,I47))))</f>
        <v>86</v>
      </c>
      <c r="AA47" s="18" t="n">
        <f aca="false">IF(I47="",0,IF(ISNUMBER(SEARCH("mp",LOWER(J47))),I47*0.33,IF(ISNUMBER(SEARCH("ton",LOWER(J47))),I47,I47*0.33)))</f>
        <v>28.38</v>
      </c>
      <c r="AB47" s="18" t="n">
        <f aca="false">Tabela_dane[[#This Row],[Wolumen_t]]*8.5</f>
        <v>241.23</v>
      </c>
      <c r="AC47" s="18" t="n">
        <f aca="false">IF(G47&lt;&gt;"TAK",0,IF(OR(E47="ZAKUP",E47="PRODUKCJA"),Z47,IF(OR(E47="SPRZEDAŻ",E47="ZUŻYCIE"),-Z47,0)))</f>
        <v>0</v>
      </c>
      <c r="AD47" s="18" t="n">
        <f aca="false">IF(G47&lt;&gt;"TAK",0,IF(OR(E47="ZAKUP",E47="PRODUKCJA"),AA47,IF(OR(E47="SPRZEDAŻ",E47="ZUŻYCIE"),-AA47,0)))</f>
        <v>0</v>
      </c>
      <c r="AE47" s="19" t="n">
        <f aca="false">IF(E47="ZAKUP",IF(L47&lt;&gt;"",L47,IF(K47&lt;&gt;"",Z47*K47,0)),0)</f>
        <v>0</v>
      </c>
      <c r="AF47" s="19" t="n">
        <f aca="false">IF(E47="SPRZEDAŻ",IF(M47&lt;&gt;"",Z47*M47,0),0)</f>
        <v>0</v>
      </c>
      <c r="AG47" s="19" t="str">
        <f aca="false">IF(R47="","",IF(LOWER(R47)="brak","Brak",IF(OR(ISNUMBER(SEARCH("ric pl",LOWER(R47))),ISNUMBER(SEARCH("wojciechowski",LOWER(R47)))),"Własny","Zewnętrzny")))</f>
        <v>Zewnętrzny</v>
      </c>
      <c r="AH47" s="19" t="n">
        <f aca="false">Z47*Q47</f>
        <v>0</v>
      </c>
      <c r="AI47" s="19" t="str">
        <f aca="false">UPPER(TEXT(C47,"mmmm"))</f>
        <v>JULY</v>
      </c>
      <c r="AJ47" s="19" t="str">
        <f aca="false">IF(C47="","",TEXT(C47,"rrrr"))</f>
        <v>CE5786CE5786</v>
      </c>
      <c r="AK47" s="10"/>
      <c r="AL47" s="11" t="n">
        <v>200</v>
      </c>
      <c r="AM47" s="10" t="s">
        <v>140</v>
      </c>
      <c r="AN47" s="10" t="s">
        <v>49</v>
      </c>
      <c r="AO47" s="10"/>
      <c r="AP47" s="10"/>
      <c r="AQ47" s="10"/>
      <c r="AR47" s="10" t="s">
        <v>66</v>
      </c>
      <c r="AS47" s="10"/>
      <c r="AT47" s="15" t="n">
        <v>1</v>
      </c>
    </row>
    <row r="48" customFormat="false" ht="28.5" hidden="false" customHeight="true" outlineLevel="0" collapsed="false">
      <c r="A48" s="12" t="n">
        <v>46212</v>
      </c>
      <c r="B48" s="12"/>
      <c r="C48" s="12" t="n">
        <v>46212</v>
      </c>
      <c r="D48" s="10" t="s">
        <v>124</v>
      </c>
      <c r="E48" s="10" t="s">
        <v>63</v>
      </c>
      <c r="F48" s="13" t="s">
        <v>141</v>
      </c>
      <c r="G48" s="14" t="s">
        <v>49</v>
      </c>
      <c r="H48" s="10" t="s">
        <v>76</v>
      </c>
      <c r="I48" s="15" t="n">
        <v>25.54</v>
      </c>
      <c r="J48" s="10" t="s">
        <v>103</v>
      </c>
      <c r="K48" s="15" t="n">
        <v>275</v>
      </c>
      <c r="L48" s="11" t="n">
        <v>7023.5</v>
      </c>
      <c r="M48" s="11" t="n">
        <v>0</v>
      </c>
      <c r="N48" s="10" t="s">
        <v>104</v>
      </c>
      <c r="O48" s="10" t="s">
        <v>67</v>
      </c>
      <c r="P48" s="10"/>
      <c r="Q48" s="16" t="n">
        <v>0</v>
      </c>
      <c r="R48" s="10"/>
      <c r="S48" s="10"/>
      <c r="T48" s="10" t="n">
        <v>0</v>
      </c>
      <c r="U48" s="11" t="n">
        <f aca="false">IF(E48="TRANSPORT",IF(T48="","",T48*5),IF(AL48="","",AL48))</f>
        <v>0</v>
      </c>
      <c r="V48" s="10" t="s">
        <v>54</v>
      </c>
      <c r="W48" s="15" t="s">
        <v>65</v>
      </c>
      <c r="X48" s="15"/>
      <c r="Y48" s="17" t="n">
        <v>46217.4357523148</v>
      </c>
      <c r="Z48" s="18" t="n">
        <f aca="false">IF(I48="",0,IF(ISNUMBER(SEARCH("mp",LOWER(J48))),I48,IF(ISNUMBER(SEARCH("ton",LOWER(J48))),I48/0.33,IF(ISNUMBER(SEARCH("m3",LOWER(J48))),I48*4,I48))))</f>
        <v>77.3939393939394</v>
      </c>
      <c r="AA48" s="18" t="n">
        <f aca="false">IF(I48="",0,IF(ISNUMBER(SEARCH("mp",LOWER(J48))),I48*0.33,IF(ISNUMBER(SEARCH("ton",LOWER(J48))),I48,I48*0.33)))</f>
        <v>25.54</v>
      </c>
      <c r="AB48" s="18" t="n">
        <f aca="false">Tabela_dane[[#This Row],[Wolumen_t]]*8.5</f>
        <v>217.09</v>
      </c>
      <c r="AC48" s="18" t="n">
        <f aca="false">IF(G48&lt;&gt;"TAK",0,IF(OR(E48="ZAKUP",E48="PRODUKCJA"),Z48,IF(OR(E48="SPRZEDAŻ",E48="ZUŻYCIE"),-Z48,0)))</f>
        <v>77.3939393939394</v>
      </c>
      <c r="AD48" s="18" t="n">
        <f aca="false">IF(G48&lt;&gt;"TAK",0,IF(OR(E48="ZAKUP",E48="PRODUKCJA"),AA48,IF(OR(E48="SPRZEDAŻ",E48="ZUŻYCIE"),-AA48,0)))</f>
        <v>25.54</v>
      </c>
      <c r="AE48" s="19" t="n">
        <f aca="false">IF(E48="ZAKUP",IF(L48&lt;&gt;"",L48,IF(K48&lt;&gt;"",Z48*K48,0)),0)</f>
        <v>7023.5</v>
      </c>
      <c r="AF48" s="19" t="n">
        <f aca="false">IF(E48="SPRZEDAŻ",IF(M48&lt;&gt;"",Z48*M48,0),0)</f>
        <v>0</v>
      </c>
      <c r="AG48" s="19" t="str">
        <f aca="false">IF(R48="","",IF(LOWER(R48)="brak","Brak",IF(OR(ISNUMBER(SEARCH("ric pl",LOWER(R48))),ISNUMBER(SEARCH("wojciechowski",LOWER(R48)))),"Własny","Zewnętrzny")))</f>
        <v/>
      </c>
      <c r="AH48" s="19" t="n">
        <f aca="false">Z48*Q48</f>
        <v>0</v>
      </c>
      <c r="AI48" s="19" t="str">
        <f aca="false">UPPER(TEXT(C48,"mmmm"))</f>
        <v>JULY</v>
      </c>
      <c r="AJ48" s="19" t="str">
        <f aca="false">IF(C48="","",TEXT(C48,"rrrr"))</f>
        <v>CE5786CE5786</v>
      </c>
      <c r="AK48" s="10"/>
      <c r="AL48" s="11" t="n">
        <v>0</v>
      </c>
      <c r="AM48" s="10" t="s">
        <v>142</v>
      </c>
      <c r="AN48" s="10" t="s">
        <v>59</v>
      </c>
      <c r="AO48" s="10"/>
      <c r="AP48" s="10"/>
      <c r="AQ48" s="10"/>
      <c r="AR48" s="10" t="s">
        <v>66</v>
      </c>
      <c r="AS48" s="10"/>
      <c r="AT48" s="15" t="n">
        <v>1</v>
      </c>
    </row>
    <row r="49" customFormat="false" ht="28.5" hidden="false" customHeight="true" outlineLevel="0" collapsed="false">
      <c r="A49" s="12" t="n">
        <v>46212</v>
      </c>
      <c r="B49" s="12"/>
      <c r="C49" s="12" t="n">
        <v>46212</v>
      </c>
      <c r="D49" s="10" t="s">
        <v>124</v>
      </c>
      <c r="E49" s="10" t="s">
        <v>63</v>
      </c>
      <c r="F49" s="13" t="s">
        <v>143</v>
      </c>
      <c r="G49" s="14" t="s">
        <v>49</v>
      </c>
      <c r="H49" s="10" t="s">
        <v>76</v>
      </c>
      <c r="I49" s="15" t="n">
        <v>24.08</v>
      </c>
      <c r="J49" s="10" t="s">
        <v>51</v>
      </c>
      <c r="K49" s="15" t="n">
        <v>275</v>
      </c>
      <c r="L49" s="11" t="n">
        <v>6622</v>
      </c>
      <c r="M49" s="11" t="n">
        <v>0</v>
      </c>
      <c r="N49" s="10" t="s">
        <v>104</v>
      </c>
      <c r="O49" s="10" t="s">
        <v>67</v>
      </c>
      <c r="P49" s="10"/>
      <c r="Q49" s="16" t="n">
        <v>0</v>
      </c>
      <c r="R49" s="10"/>
      <c r="S49" s="10"/>
      <c r="T49" s="10" t="n">
        <v>0</v>
      </c>
      <c r="U49" s="11" t="n">
        <f aca="false">IF(E49="TRANSPORT",IF(T49="","",T49*5),IF(AL49="","",AL49))</f>
        <v>0</v>
      </c>
      <c r="V49" s="10" t="s">
        <v>54</v>
      </c>
      <c r="W49" s="15" t="s">
        <v>70</v>
      </c>
      <c r="X49" s="15"/>
      <c r="Y49" s="17" t="n">
        <v>46217.4365740741</v>
      </c>
      <c r="Z49" s="18" t="n">
        <f aca="false">IF(I49="",0,IF(ISNUMBER(SEARCH("mp",LOWER(J49))),I49,IF(ISNUMBER(SEARCH("ton",LOWER(J49))),I49/0.33,IF(ISNUMBER(SEARCH("m3",LOWER(J49))),I49*4,I49))))</f>
        <v>24.08</v>
      </c>
      <c r="AA49" s="18" t="n">
        <f aca="false">IF(I49="",0,IF(ISNUMBER(SEARCH("mp",LOWER(J49))),I49*0.33,IF(ISNUMBER(SEARCH("ton",LOWER(J49))),I49,I49*0.33)))</f>
        <v>7.9464</v>
      </c>
      <c r="AB49" s="18" t="n">
        <f aca="false">Tabela_dane[[#This Row],[Wolumen_t]]*8.5</f>
        <v>67.5444</v>
      </c>
      <c r="AC49" s="18" t="n">
        <f aca="false">IF(G49&lt;&gt;"TAK",0,IF(OR(E49="ZAKUP",E49="PRODUKCJA"),Z49,IF(OR(E49="SPRZEDAŻ",E49="ZUŻYCIE"),-Z49,0)))</f>
        <v>24.08</v>
      </c>
      <c r="AD49" s="18" t="n">
        <f aca="false">IF(G49&lt;&gt;"TAK",0,IF(OR(E49="ZAKUP",E49="PRODUKCJA"),AA49,IF(OR(E49="SPRZEDAŻ",E49="ZUŻYCIE"),-AA49,0)))</f>
        <v>7.9464</v>
      </c>
      <c r="AE49" s="19" t="n">
        <f aca="false">IF(E49="ZAKUP",IF(L49&lt;&gt;"",L49,IF(K49&lt;&gt;"",Z49*K49,0)),0)</f>
        <v>6622</v>
      </c>
      <c r="AF49" s="19" t="n">
        <f aca="false">IF(E49="SPRZEDAŻ",IF(M49&lt;&gt;"",Z49*M49,0),0)</f>
        <v>0</v>
      </c>
      <c r="AG49" s="19" t="str">
        <f aca="false">IF(R49="","",IF(LOWER(R49)="brak","Brak",IF(OR(ISNUMBER(SEARCH("ric pl",LOWER(R49))),ISNUMBER(SEARCH("wojciechowski",LOWER(R49)))),"Własny","Zewnętrzny")))</f>
        <v/>
      </c>
      <c r="AH49" s="19" t="n">
        <f aca="false">Z49*Q49</f>
        <v>0</v>
      </c>
      <c r="AI49" s="19" t="str">
        <f aca="false">UPPER(TEXT(C49,"mmmm"))</f>
        <v>JULY</v>
      </c>
      <c r="AJ49" s="19" t="str">
        <f aca="false">IF(C49="","",TEXT(C49,"rrrr"))</f>
        <v>CE5786CE5786</v>
      </c>
      <c r="AK49" s="10"/>
      <c r="AL49" s="11" t="n">
        <v>0</v>
      </c>
      <c r="AM49" s="10" t="s">
        <v>144</v>
      </c>
      <c r="AN49" s="10" t="s">
        <v>59</v>
      </c>
      <c r="AO49" s="10"/>
      <c r="AP49" s="10"/>
      <c r="AQ49" s="10"/>
      <c r="AR49" s="10" t="s">
        <v>66</v>
      </c>
      <c r="AS49" s="10"/>
      <c r="AT49" s="15" t="n">
        <v>1</v>
      </c>
    </row>
    <row r="50" customFormat="false" ht="28.5" hidden="false" customHeight="true" outlineLevel="0" collapsed="false">
      <c r="A50" s="12" t="n">
        <v>46213</v>
      </c>
      <c r="B50" s="12" t="s">
        <v>106</v>
      </c>
      <c r="C50" s="12" t="n">
        <v>46213</v>
      </c>
      <c r="D50" s="10" t="s">
        <v>106</v>
      </c>
      <c r="E50" s="10" t="s">
        <v>107</v>
      </c>
      <c r="F50" s="21" t="s">
        <v>145</v>
      </c>
      <c r="G50" s="14" t="s">
        <v>49</v>
      </c>
      <c r="H50" s="10"/>
      <c r="I50" s="15" t="n">
        <v>84</v>
      </c>
      <c r="J50" s="10" t="s">
        <v>51</v>
      </c>
      <c r="K50" s="15" t="n">
        <v>0</v>
      </c>
      <c r="L50" s="11" t="n">
        <v>0</v>
      </c>
      <c r="M50" s="11" t="n">
        <v>0</v>
      </c>
      <c r="N50" s="10" t="s">
        <v>52</v>
      </c>
      <c r="O50" s="10" t="s">
        <v>67</v>
      </c>
      <c r="P50" s="10"/>
      <c r="Q50" s="16" t="n">
        <v>0</v>
      </c>
      <c r="R50" s="10" t="s">
        <v>94</v>
      </c>
      <c r="S50" s="10" t="s">
        <v>95</v>
      </c>
      <c r="T50" s="10" t="n">
        <v>40</v>
      </c>
      <c r="U50" s="11" t="n">
        <f aca="false">IF(E50="TRANSPORT",IF(T50="","",T50*5),IF(AL50="","",AL50))</f>
        <v>200</v>
      </c>
      <c r="V50" s="10" t="s">
        <v>54</v>
      </c>
      <c r="W50" s="15" t="s">
        <v>70</v>
      </c>
      <c r="X50" s="15" t="s">
        <v>106</v>
      </c>
      <c r="Y50" s="17" t="n">
        <v>46213.4196180556</v>
      </c>
      <c r="Z50" s="18" t="n">
        <f aca="false">IF(I50="",0,IF(ISNUMBER(SEARCH("mp",LOWER(J50))),I50,IF(ISNUMBER(SEARCH("ton",LOWER(J50))),I50/0.33,IF(ISNUMBER(SEARCH("m3",LOWER(J50))),I50*4,I50))))</f>
        <v>84</v>
      </c>
      <c r="AA50" s="18" t="n">
        <f aca="false">IF(I50="",0,IF(ISNUMBER(SEARCH("mp",LOWER(J50))),I50*0.33,IF(ISNUMBER(SEARCH("ton",LOWER(J50))),I50,I50*0.33)))</f>
        <v>27.72</v>
      </c>
      <c r="AB50" s="18" t="n">
        <f aca="false">Tabela_dane[[#This Row],[Wolumen_t]]*8.5</f>
        <v>235.62</v>
      </c>
      <c r="AC50" s="18" t="n">
        <f aca="false">IF(G50&lt;&gt;"TAK",0,IF(OR(E50="ZAKUP",E50="PRODUKCJA"),Z50,IF(OR(E50="SPRZEDAŻ",E50="ZUŻYCIE"),-Z50,0)))</f>
        <v>0</v>
      </c>
      <c r="AD50" s="18" t="n">
        <f aca="false">IF(G50&lt;&gt;"TAK",0,IF(OR(E50="ZAKUP",E50="PRODUKCJA"),AA50,IF(OR(E50="SPRZEDAŻ",E50="ZUŻYCIE"),-AA50,0)))</f>
        <v>0</v>
      </c>
      <c r="AE50" s="19" t="n">
        <f aca="false">IF(E50="ZAKUP",IF(L50&lt;&gt;"",L50,IF(K50&lt;&gt;"",Z50*K50,0)),0)</f>
        <v>0</v>
      </c>
      <c r="AF50" s="19" t="n">
        <f aca="false">IF(E50="SPRZEDAŻ",IF(M50&lt;&gt;"",Z50*M50,0),0)</f>
        <v>0</v>
      </c>
      <c r="AG50" s="19" t="str">
        <f aca="false">IF(R50="","",IF(LOWER(R50)="brak","Brak",IF(OR(ISNUMBER(SEARCH("ric pl",LOWER(R50))),ISNUMBER(SEARCH("wojciechowski",LOWER(R50)))),"Własny","Zewnętrzny")))</f>
        <v>Zewnętrzny</v>
      </c>
      <c r="AH50" s="19" t="n">
        <f aca="false">Z50*Q50</f>
        <v>0</v>
      </c>
      <c r="AI50" s="19" t="str">
        <f aca="false">UPPER(TEXT(C50,"mmmm"))</f>
        <v>JULY</v>
      </c>
      <c r="AJ50" s="19" t="str">
        <f aca="false">IF(C50="","",TEXT(C50,"rrrr"))</f>
        <v>CE5786CE5786</v>
      </c>
      <c r="AK50" s="10"/>
      <c r="AL50" s="11" t="n">
        <v>200</v>
      </c>
      <c r="AM50" s="10" t="s">
        <v>146</v>
      </c>
      <c r="AN50" s="10" t="s">
        <v>49</v>
      </c>
      <c r="AO50" s="10"/>
      <c r="AP50" s="10"/>
      <c r="AQ50" s="10"/>
      <c r="AR50" s="10" t="s">
        <v>66</v>
      </c>
      <c r="AS50" s="10"/>
      <c r="AT50" s="15" t="n">
        <v>1</v>
      </c>
    </row>
    <row r="51" customFormat="false" ht="28.5" hidden="false" customHeight="true" outlineLevel="0" collapsed="false">
      <c r="A51" s="12" t="n">
        <v>46213</v>
      </c>
      <c r="B51" s="12" t="s">
        <v>106</v>
      </c>
      <c r="C51" s="12" t="n">
        <v>46213</v>
      </c>
      <c r="D51" s="10" t="s">
        <v>106</v>
      </c>
      <c r="E51" s="10" t="s">
        <v>107</v>
      </c>
      <c r="F51" s="21" t="s">
        <v>147</v>
      </c>
      <c r="G51" s="14" t="s">
        <v>49</v>
      </c>
      <c r="H51" s="10"/>
      <c r="I51" s="15" t="n">
        <v>85</v>
      </c>
      <c r="J51" s="10" t="s">
        <v>51</v>
      </c>
      <c r="K51" s="15" t="n">
        <v>0</v>
      </c>
      <c r="L51" s="11" t="n">
        <v>0</v>
      </c>
      <c r="M51" s="11" t="n">
        <v>0</v>
      </c>
      <c r="N51" s="10" t="s">
        <v>52</v>
      </c>
      <c r="O51" s="10" t="s">
        <v>67</v>
      </c>
      <c r="P51" s="10"/>
      <c r="Q51" s="16" t="n">
        <v>0</v>
      </c>
      <c r="R51" s="10" t="s">
        <v>68</v>
      </c>
      <c r="S51" s="10" t="s">
        <v>69</v>
      </c>
      <c r="T51" s="10" t="n">
        <v>40</v>
      </c>
      <c r="U51" s="11" t="n">
        <f aca="false">IF(E51="TRANSPORT",IF(T51="","",T51*5),IF(AL51="","",AL51))</f>
        <v>200</v>
      </c>
      <c r="V51" s="10" t="s">
        <v>54</v>
      </c>
      <c r="W51" s="15" t="s">
        <v>65</v>
      </c>
      <c r="X51" s="15" t="s">
        <v>106</v>
      </c>
      <c r="Y51" s="17" t="n">
        <v>46213.4203819444</v>
      </c>
      <c r="Z51" s="18" t="n">
        <f aca="false">IF(I51="",0,IF(ISNUMBER(SEARCH("mp",LOWER(J51))),I51,IF(ISNUMBER(SEARCH("ton",LOWER(J51))),I51/0.33,IF(ISNUMBER(SEARCH("m3",LOWER(J51))),I51*4,I51))))</f>
        <v>85</v>
      </c>
      <c r="AA51" s="18" t="n">
        <f aca="false">IF(I51="",0,IF(ISNUMBER(SEARCH("mp",LOWER(J51))),I51*0.33,IF(ISNUMBER(SEARCH("ton",LOWER(J51))),I51,I51*0.33)))</f>
        <v>28.05</v>
      </c>
      <c r="AB51" s="18" t="n">
        <f aca="false">Tabela_dane[[#This Row],[Wolumen_t]]*8.5</f>
        <v>238.425</v>
      </c>
      <c r="AC51" s="18" t="n">
        <f aca="false">IF(G51&lt;&gt;"TAK",0,IF(OR(E51="ZAKUP",E51="PRODUKCJA"),Z51,IF(OR(E51="SPRZEDAŻ",E51="ZUŻYCIE"),-Z51,0)))</f>
        <v>0</v>
      </c>
      <c r="AD51" s="18" t="n">
        <f aca="false">IF(G51&lt;&gt;"TAK",0,IF(OR(E51="ZAKUP",E51="PRODUKCJA"),AA51,IF(OR(E51="SPRZEDAŻ",E51="ZUŻYCIE"),-AA51,0)))</f>
        <v>0</v>
      </c>
      <c r="AE51" s="19" t="n">
        <f aca="false">IF(E51="ZAKUP",IF(L51&lt;&gt;"",L51,IF(K51&lt;&gt;"",Z51*K51,0)),0)</f>
        <v>0</v>
      </c>
      <c r="AF51" s="19" t="n">
        <f aca="false">IF(E51="SPRZEDAŻ",IF(M51&lt;&gt;"",Z51*M51,0),0)</f>
        <v>0</v>
      </c>
      <c r="AG51" s="19" t="str">
        <f aca="false">IF(R51="","",IF(LOWER(R51)="brak","Brak",IF(OR(ISNUMBER(SEARCH("ric pl",LOWER(R51))),ISNUMBER(SEARCH("wojciechowski",LOWER(R51)))),"Własny","Zewnętrzny")))</f>
        <v>Zewnętrzny</v>
      </c>
      <c r="AH51" s="19" t="n">
        <f aca="false">Z51*Q51</f>
        <v>0</v>
      </c>
      <c r="AI51" s="19" t="str">
        <f aca="false">UPPER(TEXT(C51,"mmmm"))</f>
        <v>JULY</v>
      </c>
      <c r="AJ51" s="19" t="str">
        <f aca="false">IF(C51="","",TEXT(C51,"rrrr"))</f>
        <v>CE5786CE5786</v>
      </c>
      <c r="AK51" s="10"/>
      <c r="AL51" s="11" t="n">
        <v>200</v>
      </c>
      <c r="AM51" s="10" t="s">
        <v>148</v>
      </c>
      <c r="AN51" s="10" t="s">
        <v>49</v>
      </c>
      <c r="AO51" s="10"/>
      <c r="AP51" s="10"/>
      <c r="AQ51" s="10"/>
      <c r="AR51" s="10" t="s">
        <v>66</v>
      </c>
      <c r="AS51" s="10"/>
      <c r="AT51" s="15" t="n">
        <v>1</v>
      </c>
    </row>
    <row r="52" customFormat="false" ht="28.5" hidden="false" customHeight="true" outlineLevel="0" collapsed="false">
      <c r="A52" s="12" t="n">
        <v>46213</v>
      </c>
      <c r="B52" s="12" t="s">
        <v>106</v>
      </c>
      <c r="C52" s="12" t="n">
        <v>46213</v>
      </c>
      <c r="D52" s="10" t="s">
        <v>106</v>
      </c>
      <c r="E52" s="10" t="s">
        <v>107</v>
      </c>
      <c r="F52" s="21" t="s">
        <v>149</v>
      </c>
      <c r="G52" s="14" t="s">
        <v>49</v>
      </c>
      <c r="H52" s="10"/>
      <c r="I52" s="15" t="n">
        <v>67</v>
      </c>
      <c r="J52" s="10" t="s">
        <v>51</v>
      </c>
      <c r="K52" s="15" t="n">
        <v>0</v>
      </c>
      <c r="L52" s="11" t="n">
        <v>0</v>
      </c>
      <c r="M52" s="11" t="n">
        <v>0</v>
      </c>
      <c r="N52" s="10" t="s">
        <v>52</v>
      </c>
      <c r="O52" s="10" t="s">
        <v>67</v>
      </c>
      <c r="P52" s="10"/>
      <c r="Q52" s="16" t="n">
        <v>0</v>
      </c>
      <c r="R52" s="10" t="s">
        <v>72</v>
      </c>
      <c r="S52" s="10" t="s">
        <v>73</v>
      </c>
      <c r="T52" s="10" t="n">
        <v>40</v>
      </c>
      <c r="U52" s="11" t="n">
        <f aca="false">IF(E52="TRANSPORT",IF(T52="","",T52*5),IF(AL52="","",AL52))</f>
        <v>240</v>
      </c>
      <c r="V52" s="10" t="s">
        <v>54</v>
      </c>
      <c r="W52" s="15" t="s">
        <v>70</v>
      </c>
      <c r="X52" s="15" t="s">
        <v>106</v>
      </c>
      <c r="Y52" s="17" t="n">
        <v>46213.4298958333</v>
      </c>
      <c r="Z52" s="18" t="n">
        <f aca="false">IF(I52="",0,IF(ISNUMBER(SEARCH("mp",LOWER(J52))),I52,IF(ISNUMBER(SEARCH("ton",LOWER(J52))),I52/0.33,IF(ISNUMBER(SEARCH("m3",LOWER(J52))),I52*4,I52))))</f>
        <v>67</v>
      </c>
      <c r="AA52" s="18" t="n">
        <f aca="false">IF(I52="",0,IF(ISNUMBER(SEARCH("mp",LOWER(J52))),I52*0.33,IF(ISNUMBER(SEARCH("ton",LOWER(J52))),I52,I52*0.33)))</f>
        <v>22.11</v>
      </c>
      <c r="AB52" s="18" t="n">
        <f aca="false">Tabela_dane[[#This Row],[Wolumen_t]]*8.5</f>
        <v>187.935</v>
      </c>
      <c r="AC52" s="18" t="n">
        <f aca="false">IF(G52&lt;&gt;"TAK",0,IF(OR(E52="ZAKUP",E52="PRODUKCJA"),Z52,IF(OR(E52="SPRZEDAŻ",E52="ZUŻYCIE"),-Z52,0)))</f>
        <v>0</v>
      </c>
      <c r="AD52" s="18" t="n">
        <f aca="false">IF(G52&lt;&gt;"TAK",0,IF(OR(E52="ZAKUP",E52="PRODUKCJA"),AA52,IF(OR(E52="SPRZEDAŻ",E52="ZUŻYCIE"),-AA52,0)))</f>
        <v>0</v>
      </c>
      <c r="AE52" s="19" t="n">
        <f aca="false">IF(E52="ZAKUP",IF(L52&lt;&gt;"",L52,IF(K52&lt;&gt;"",Z52*K52,0)),0)</f>
        <v>0</v>
      </c>
      <c r="AF52" s="19" t="n">
        <f aca="false">IF(E52="SPRZEDAŻ",IF(M52&lt;&gt;"",Z52*M52,0),0)</f>
        <v>0</v>
      </c>
      <c r="AG52" s="19" t="str">
        <f aca="false">IF(R52="","",IF(LOWER(R52)="brak","Brak",IF(OR(ISNUMBER(SEARCH("ric pl",LOWER(R52))),ISNUMBER(SEARCH("wojciechowski",LOWER(R52)))),"Własny","Zewnętrzny")))</f>
        <v>Zewnętrzny</v>
      </c>
      <c r="AH52" s="19" t="n">
        <f aca="false">Z52*Q52</f>
        <v>0</v>
      </c>
      <c r="AI52" s="19" t="str">
        <f aca="false">UPPER(TEXT(C52,"mmmm"))</f>
        <v>JULY</v>
      </c>
      <c r="AJ52" s="19" t="str">
        <f aca="false">IF(C52="","",TEXT(C52,"rrrr"))</f>
        <v>CE5786CE5786</v>
      </c>
      <c r="AK52" s="10"/>
      <c r="AL52" s="11" t="n">
        <v>240</v>
      </c>
      <c r="AM52" s="10" t="s">
        <v>150</v>
      </c>
      <c r="AN52" s="10" t="s">
        <v>49</v>
      </c>
      <c r="AO52" s="10"/>
      <c r="AP52" s="10"/>
      <c r="AQ52" s="10"/>
      <c r="AR52" s="10" t="s">
        <v>66</v>
      </c>
      <c r="AS52" s="10"/>
      <c r="AT52" s="15" t="n">
        <v>1</v>
      </c>
    </row>
    <row r="53" customFormat="false" ht="28.5" hidden="false" customHeight="true" outlineLevel="0" collapsed="false">
      <c r="A53" s="12" t="n">
        <v>46213</v>
      </c>
      <c r="B53" s="12" t="s">
        <v>106</v>
      </c>
      <c r="C53" s="12" t="n">
        <v>46213</v>
      </c>
      <c r="D53" s="10" t="s">
        <v>106</v>
      </c>
      <c r="E53" s="10" t="s">
        <v>107</v>
      </c>
      <c r="F53" s="21" t="s">
        <v>151</v>
      </c>
      <c r="G53" s="14" t="s">
        <v>49</v>
      </c>
      <c r="H53" s="10"/>
      <c r="I53" s="15" t="n">
        <v>87</v>
      </c>
      <c r="J53" s="10" t="s">
        <v>51</v>
      </c>
      <c r="K53" s="15" t="n">
        <v>0</v>
      </c>
      <c r="L53" s="11" t="n">
        <v>0</v>
      </c>
      <c r="M53" s="11" t="n">
        <v>0</v>
      </c>
      <c r="N53" s="10" t="s">
        <v>52</v>
      </c>
      <c r="O53" s="10" t="s">
        <v>67</v>
      </c>
      <c r="P53" s="10"/>
      <c r="Q53" s="16" t="n">
        <v>0</v>
      </c>
      <c r="R53" s="10" t="s">
        <v>68</v>
      </c>
      <c r="S53" s="10" t="s">
        <v>69</v>
      </c>
      <c r="T53" s="10" t="n">
        <v>40</v>
      </c>
      <c r="U53" s="11" t="n">
        <f aca="false">IF(E53="TRANSPORT",IF(T53="","",T53*5),IF(AL53="","",AL53))</f>
        <v>200</v>
      </c>
      <c r="V53" s="10" t="s">
        <v>54</v>
      </c>
      <c r="W53" s="15" t="s">
        <v>65</v>
      </c>
      <c r="X53" s="15" t="s">
        <v>106</v>
      </c>
      <c r="Y53" s="17" t="n">
        <v>46216.3585648148</v>
      </c>
      <c r="Z53" s="18" t="n">
        <f aca="false">IF(I53="",0,IF(ISNUMBER(SEARCH("mp",LOWER(J53))),I53,IF(ISNUMBER(SEARCH("ton",LOWER(J53))),I53/0.33,IF(ISNUMBER(SEARCH("m3",LOWER(J53))),I53*4,I53))))</f>
        <v>87</v>
      </c>
      <c r="AA53" s="18" t="n">
        <f aca="false">IF(I53="",0,IF(ISNUMBER(SEARCH("mp",LOWER(J53))),I53*0.33,IF(ISNUMBER(SEARCH("ton",LOWER(J53))),I53,I53*0.33)))</f>
        <v>28.71</v>
      </c>
      <c r="AB53" s="18" t="n">
        <f aca="false">Tabela_dane[[#This Row],[Wolumen_t]]*8.5</f>
        <v>244.035</v>
      </c>
      <c r="AC53" s="18" t="n">
        <f aca="false">IF(G53&lt;&gt;"TAK",0,IF(OR(E53="ZAKUP",E53="PRODUKCJA"),Z53,IF(OR(E53="SPRZEDAŻ",E53="ZUŻYCIE"),-Z53,0)))</f>
        <v>0</v>
      </c>
      <c r="AD53" s="18" t="n">
        <f aca="false">IF(G53&lt;&gt;"TAK",0,IF(OR(E53="ZAKUP",E53="PRODUKCJA"),AA53,IF(OR(E53="SPRZEDAŻ",E53="ZUŻYCIE"),-AA53,0)))</f>
        <v>0</v>
      </c>
      <c r="AE53" s="19" t="n">
        <f aca="false">IF(E53="ZAKUP",IF(L53&lt;&gt;"",L53,IF(K53&lt;&gt;"",Z53*K53,0)),0)</f>
        <v>0</v>
      </c>
      <c r="AF53" s="19" t="n">
        <f aca="false">IF(E53="SPRZEDAŻ",IF(M53&lt;&gt;"",Z53*M53,0),0)</f>
        <v>0</v>
      </c>
      <c r="AG53" s="19" t="str">
        <f aca="false">IF(R53="","",IF(LOWER(R53)="brak","Brak",IF(OR(ISNUMBER(SEARCH("ric pl",LOWER(R53))),ISNUMBER(SEARCH("wojciechowski",LOWER(R53)))),"Własny","Zewnętrzny")))</f>
        <v>Zewnętrzny</v>
      </c>
      <c r="AH53" s="19" t="n">
        <f aca="false">Z53*Q53</f>
        <v>0</v>
      </c>
      <c r="AI53" s="19" t="str">
        <f aca="false">UPPER(TEXT(C53,"mmmm"))</f>
        <v>JULY</v>
      </c>
      <c r="AJ53" s="19" t="str">
        <f aca="false">IF(C53="","",TEXT(C53,"rrrr"))</f>
        <v>CE5786CE5786</v>
      </c>
      <c r="AK53" s="10"/>
      <c r="AL53" s="11" t="n">
        <v>200</v>
      </c>
      <c r="AM53" s="10" t="s">
        <v>152</v>
      </c>
      <c r="AN53" s="10" t="s">
        <v>49</v>
      </c>
      <c r="AO53" s="10"/>
      <c r="AP53" s="10"/>
      <c r="AQ53" s="10"/>
      <c r="AR53" s="10" t="s">
        <v>66</v>
      </c>
      <c r="AS53" s="10"/>
      <c r="AT53" s="15" t="n">
        <v>1</v>
      </c>
    </row>
    <row r="54" customFormat="false" ht="28.5" hidden="false" customHeight="true" outlineLevel="0" collapsed="false">
      <c r="A54" s="12" t="n">
        <v>46213</v>
      </c>
      <c r="B54" s="12" t="s">
        <v>106</v>
      </c>
      <c r="C54" s="12" t="n">
        <v>46213</v>
      </c>
      <c r="D54" s="10" t="s">
        <v>106</v>
      </c>
      <c r="E54" s="10" t="s">
        <v>107</v>
      </c>
      <c r="F54" s="21" t="s">
        <v>153</v>
      </c>
      <c r="G54" s="14" t="s">
        <v>49</v>
      </c>
      <c r="H54" s="10"/>
      <c r="I54" s="15" t="n">
        <v>87</v>
      </c>
      <c r="J54" s="10" t="s">
        <v>51</v>
      </c>
      <c r="K54" s="15" t="n">
        <v>0</v>
      </c>
      <c r="L54" s="11" t="n">
        <v>0</v>
      </c>
      <c r="M54" s="11" t="n">
        <v>0</v>
      </c>
      <c r="N54" s="10" t="s">
        <v>52</v>
      </c>
      <c r="O54" s="10" t="s">
        <v>67</v>
      </c>
      <c r="P54" s="10"/>
      <c r="Q54" s="16" t="n">
        <v>0</v>
      </c>
      <c r="R54" s="10" t="s">
        <v>94</v>
      </c>
      <c r="S54" s="10" t="s">
        <v>95</v>
      </c>
      <c r="T54" s="10" t="n">
        <v>40</v>
      </c>
      <c r="U54" s="11" t="n">
        <f aca="false">IF(E54="TRANSPORT",IF(T54="","",T54*5),IF(AL54="","",AL54))</f>
        <v>200</v>
      </c>
      <c r="V54" s="10" t="s">
        <v>54</v>
      </c>
      <c r="W54" s="15" t="s">
        <v>70</v>
      </c>
      <c r="X54" s="15" t="s">
        <v>106</v>
      </c>
      <c r="Y54" s="17" t="n">
        <v>46216.3594675926</v>
      </c>
      <c r="Z54" s="18" t="n">
        <f aca="false">IF(I54="",0,IF(ISNUMBER(SEARCH("mp",LOWER(J54))),I54,IF(ISNUMBER(SEARCH("ton",LOWER(J54))),I54/0.33,IF(ISNUMBER(SEARCH("m3",LOWER(J54))),I54*4,I54))))</f>
        <v>87</v>
      </c>
      <c r="AA54" s="18" t="n">
        <f aca="false">IF(I54="",0,IF(ISNUMBER(SEARCH("mp",LOWER(J54))),I54*0.33,IF(ISNUMBER(SEARCH("ton",LOWER(J54))),I54,I54*0.33)))</f>
        <v>28.71</v>
      </c>
      <c r="AB54" s="18" t="n">
        <f aca="false">Tabela_dane[[#This Row],[Wolumen_t]]*8.5</f>
        <v>244.035</v>
      </c>
      <c r="AC54" s="18" t="n">
        <f aca="false">IF(G54&lt;&gt;"TAK",0,IF(OR(E54="ZAKUP",E54="PRODUKCJA"),Z54,IF(OR(E54="SPRZEDAŻ",E54="ZUŻYCIE"),-Z54,0)))</f>
        <v>0</v>
      </c>
      <c r="AD54" s="18" t="n">
        <f aca="false">IF(G54&lt;&gt;"TAK",0,IF(OR(E54="ZAKUP",E54="PRODUKCJA"),AA54,IF(OR(E54="SPRZEDAŻ",E54="ZUŻYCIE"),-AA54,0)))</f>
        <v>0</v>
      </c>
      <c r="AE54" s="19" t="n">
        <f aca="false">IF(E54="ZAKUP",IF(L54&lt;&gt;"",L54,IF(K54&lt;&gt;"",Z54*K54,0)),0)</f>
        <v>0</v>
      </c>
      <c r="AF54" s="19" t="n">
        <f aca="false">IF(E54="SPRZEDAŻ",IF(M54&lt;&gt;"",Z54*M54,0),0)</f>
        <v>0</v>
      </c>
      <c r="AG54" s="19" t="str">
        <f aca="false">IF(R54="","",IF(LOWER(R54)="brak","Brak",IF(OR(ISNUMBER(SEARCH("ric pl",LOWER(R54))),ISNUMBER(SEARCH("wojciechowski",LOWER(R54)))),"Własny","Zewnętrzny")))</f>
        <v>Zewnętrzny</v>
      </c>
      <c r="AH54" s="19" t="n">
        <f aca="false">Z54*Q54</f>
        <v>0</v>
      </c>
      <c r="AI54" s="19" t="str">
        <f aca="false">UPPER(TEXT(C54,"mmmm"))</f>
        <v>JULY</v>
      </c>
      <c r="AJ54" s="19" t="str">
        <f aca="false">IF(C54="","",TEXT(C54,"rrrr"))</f>
        <v>CE5786CE5786</v>
      </c>
      <c r="AK54" s="10"/>
      <c r="AL54" s="11" t="n">
        <v>200</v>
      </c>
      <c r="AM54" s="10" t="s">
        <v>154</v>
      </c>
      <c r="AN54" s="10" t="s">
        <v>49</v>
      </c>
      <c r="AO54" s="10"/>
      <c r="AP54" s="10"/>
      <c r="AQ54" s="10"/>
      <c r="AR54" s="10" t="s">
        <v>66</v>
      </c>
      <c r="AS54" s="10"/>
      <c r="AT54" s="15" t="n">
        <v>1</v>
      </c>
    </row>
    <row r="55" customFormat="false" ht="28.5" hidden="false" customHeight="true" outlineLevel="0" collapsed="false">
      <c r="A55" s="12" t="n">
        <v>46213</v>
      </c>
      <c r="B55" s="12" t="s">
        <v>106</v>
      </c>
      <c r="C55" s="12" t="n">
        <v>46213</v>
      </c>
      <c r="D55" s="10" t="s">
        <v>106</v>
      </c>
      <c r="E55" s="10" t="s">
        <v>107</v>
      </c>
      <c r="F55" s="21" t="s">
        <v>155</v>
      </c>
      <c r="G55" s="14" t="s">
        <v>49</v>
      </c>
      <c r="H55" s="10"/>
      <c r="I55" s="15" t="n">
        <v>70</v>
      </c>
      <c r="J55" s="10" t="s">
        <v>51</v>
      </c>
      <c r="K55" s="15" t="n">
        <v>0</v>
      </c>
      <c r="L55" s="11" t="n">
        <v>0</v>
      </c>
      <c r="M55" s="11" t="n">
        <v>0</v>
      </c>
      <c r="N55" s="10" t="s">
        <v>52</v>
      </c>
      <c r="O55" s="10" t="s">
        <v>67</v>
      </c>
      <c r="P55" s="10"/>
      <c r="Q55" s="16" t="n">
        <v>0</v>
      </c>
      <c r="R55" s="10" t="s">
        <v>72</v>
      </c>
      <c r="S55" s="10" t="s">
        <v>73</v>
      </c>
      <c r="T55" s="10" t="n">
        <v>40</v>
      </c>
      <c r="U55" s="11" t="n">
        <f aca="false">IF(E55="TRANSPORT",IF(T55="","",T55*5),IF(AL55="","",AL55))</f>
        <v>240</v>
      </c>
      <c r="V55" s="10" t="s">
        <v>54</v>
      </c>
      <c r="W55" s="15" t="s">
        <v>70</v>
      </c>
      <c r="X55" s="15" t="s">
        <v>106</v>
      </c>
      <c r="Y55" s="17" t="n">
        <v>46216.3601736111</v>
      </c>
      <c r="Z55" s="18" t="n">
        <f aca="false">IF(I55="",0,IF(ISNUMBER(SEARCH("mp",LOWER(J55))),I55,IF(ISNUMBER(SEARCH("ton",LOWER(J55))),I55/0.33,IF(ISNUMBER(SEARCH("m3",LOWER(J55))),I55*4,I55))))</f>
        <v>70</v>
      </c>
      <c r="AA55" s="18" t="n">
        <f aca="false">IF(I55="",0,IF(ISNUMBER(SEARCH("mp",LOWER(J55))),I55*0.33,IF(ISNUMBER(SEARCH("ton",LOWER(J55))),I55,I55*0.33)))</f>
        <v>23.1</v>
      </c>
      <c r="AB55" s="18" t="n">
        <f aca="false">Tabela_dane[[#This Row],[Wolumen_t]]*8.5</f>
        <v>196.35</v>
      </c>
      <c r="AC55" s="18" t="n">
        <f aca="false">IF(G55&lt;&gt;"TAK",0,IF(OR(E55="ZAKUP",E55="PRODUKCJA"),Z55,IF(OR(E55="SPRZEDAŻ",E55="ZUŻYCIE"),-Z55,0)))</f>
        <v>0</v>
      </c>
      <c r="AD55" s="18" t="n">
        <f aca="false">IF(G55&lt;&gt;"TAK",0,IF(OR(E55="ZAKUP",E55="PRODUKCJA"),AA55,IF(OR(E55="SPRZEDAŻ",E55="ZUŻYCIE"),-AA55,0)))</f>
        <v>0</v>
      </c>
      <c r="AE55" s="19" t="n">
        <f aca="false">IF(E55="ZAKUP",IF(L55&lt;&gt;"",L55,IF(K55&lt;&gt;"",Z55*K55,0)),0)</f>
        <v>0</v>
      </c>
      <c r="AF55" s="19" t="n">
        <f aca="false">IF(E55="SPRZEDAŻ",IF(M55&lt;&gt;"",Z55*M55,0),0)</f>
        <v>0</v>
      </c>
      <c r="AG55" s="19" t="str">
        <f aca="false">IF(R55="","",IF(LOWER(R55)="brak","Brak",IF(OR(ISNUMBER(SEARCH("ric pl",LOWER(R55))),ISNUMBER(SEARCH("wojciechowski",LOWER(R55)))),"Własny","Zewnętrzny")))</f>
        <v>Zewnętrzny</v>
      </c>
      <c r="AH55" s="19" t="n">
        <f aca="false">Z55*Q55</f>
        <v>0</v>
      </c>
      <c r="AI55" s="19" t="str">
        <f aca="false">UPPER(TEXT(C55,"mmmm"))</f>
        <v>JULY</v>
      </c>
      <c r="AJ55" s="19" t="str">
        <f aca="false">IF(C55="","",TEXT(C55,"rrrr"))</f>
        <v>CE5786CE5786</v>
      </c>
      <c r="AK55" s="10"/>
      <c r="AL55" s="11" t="n">
        <v>240</v>
      </c>
      <c r="AM55" s="10" t="s">
        <v>156</v>
      </c>
      <c r="AN55" s="10" t="s">
        <v>49</v>
      </c>
      <c r="AO55" s="10"/>
      <c r="AP55" s="10"/>
      <c r="AQ55" s="10"/>
      <c r="AR55" s="10" t="s">
        <v>66</v>
      </c>
      <c r="AS55" s="10"/>
      <c r="AT55" s="15" t="n">
        <v>1</v>
      </c>
    </row>
    <row r="56" customFormat="false" ht="28.5" hidden="false" customHeight="true" outlineLevel="0" collapsed="false">
      <c r="A56" s="12" t="n">
        <v>46213</v>
      </c>
      <c r="B56" s="12"/>
      <c r="C56" s="12" t="n">
        <v>46213</v>
      </c>
      <c r="D56" s="10" t="s">
        <v>46</v>
      </c>
      <c r="E56" s="10" t="s">
        <v>63</v>
      </c>
      <c r="F56" s="20" t="s">
        <v>157</v>
      </c>
      <c r="G56" s="14" t="s">
        <v>49</v>
      </c>
      <c r="H56" s="10" t="s">
        <v>76</v>
      </c>
      <c r="I56" s="15" t="n">
        <v>27.02</v>
      </c>
      <c r="J56" s="10" t="s">
        <v>77</v>
      </c>
      <c r="K56" s="15" t="n">
        <v>230</v>
      </c>
      <c r="L56" s="11" t="n">
        <v>6214.6</v>
      </c>
      <c r="M56" s="11" t="n">
        <v>0</v>
      </c>
      <c r="N56" s="10" t="s">
        <v>64</v>
      </c>
      <c r="O56" s="10"/>
      <c r="P56" s="10"/>
      <c r="Q56" s="16" t="n">
        <v>0</v>
      </c>
      <c r="R56" s="10"/>
      <c r="S56" s="10"/>
      <c r="T56" s="10" t="n">
        <v>0</v>
      </c>
      <c r="U56" s="11" t="n">
        <f aca="false">IF(E56="TRANSPORT",IF(T56="","",T56*5),IF(AL56="","",AL56))</f>
        <v>0</v>
      </c>
      <c r="V56" s="10" t="s">
        <v>54</v>
      </c>
      <c r="W56" s="15" t="s">
        <v>65</v>
      </c>
      <c r="X56" s="15"/>
      <c r="Y56" s="17" t="n">
        <v>46213.4461689815</v>
      </c>
      <c r="Z56" s="18" t="n">
        <f aca="false">IF(I56="",0,IF(ISNUMBER(SEARCH("mp",LOWER(J56))),I56,IF(ISNUMBER(SEARCH("ton",LOWER(J56))),I56/0.33,IF(ISNUMBER(SEARCH("m3",LOWER(J56))),I56*4,I56))))</f>
        <v>108.08</v>
      </c>
      <c r="AA56" s="18" t="n">
        <f aca="false">IF(I56="",0,IF(ISNUMBER(SEARCH("mp",LOWER(J56))),I56*0.33,IF(ISNUMBER(SEARCH("ton",LOWER(J56))),I56,I56*0.33)))</f>
        <v>8.9166</v>
      </c>
      <c r="AB56" s="18" t="n">
        <f aca="false">Tabela_dane[[#This Row],[Wolumen_t]]*8.5</f>
        <v>75.7911</v>
      </c>
      <c r="AC56" s="18" t="n">
        <f aca="false">IF(G56&lt;&gt;"TAK",0,IF(OR(E56="ZAKUP",E56="PRODUKCJA"),Z56,IF(OR(E56="SPRZEDAŻ",E56="ZUŻYCIE"),-Z56,0)))</f>
        <v>108.08</v>
      </c>
      <c r="AD56" s="18" t="n">
        <f aca="false">IF(G56&lt;&gt;"TAK",0,IF(OR(E56="ZAKUP",E56="PRODUKCJA"),AA56,IF(OR(E56="SPRZEDAŻ",E56="ZUŻYCIE"),-AA56,0)))</f>
        <v>8.9166</v>
      </c>
      <c r="AE56" s="19" t="n">
        <f aca="false">IF(E56="ZAKUP",IF(L56&lt;&gt;"",L56,IF(K56&lt;&gt;"",Z56*K56,0)),0)</f>
        <v>6214.6</v>
      </c>
      <c r="AF56" s="19" t="n">
        <f aca="false">IF(E56="SPRZEDAŻ",IF(M56&lt;&gt;"",Z56*M56,0),0)</f>
        <v>0</v>
      </c>
      <c r="AG56" s="19" t="str">
        <f aca="false">IF(R56="","",IF(LOWER(R56)="brak","Brak",IF(OR(ISNUMBER(SEARCH("ric pl",LOWER(R56))),ISNUMBER(SEARCH("wojciechowski",LOWER(R56)))),"Własny","Zewnętrzny")))</f>
        <v/>
      </c>
      <c r="AH56" s="19" t="n">
        <f aca="false">Z56*Q56</f>
        <v>0</v>
      </c>
      <c r="AI56" s="19" t="str">
        <f aca="false">UPPER(TEXT(C56,"mmmm"))</f>
        <v>JULY</v>
      </c>
      <c r="AJ56" s="19" t="str">
        <f aca="false">IF(C56="","",TEXT(C56,"rrrr"))</f>
        <v>CE5786CE5786</v>
      </c>
      <c r="AK56" s="10"/>
      <c r="AL56" s="11" t="n">
        <v>0</v>
      </c>
      <c r="AM56" s="10" t="s">
        <v>158</v>
      </c>
      <c r="AN56" s="10" t="s">
        <v>59</v>
      </c>
      <c r="AO56" s="10"/>
      <c r="AP56" s="10"/>
      <c r="AQ56" s="10"/>
      <c r="AR56" s="10" t="s">
        <v>66</v>
      </c>
      <c r="AS56" s="10"/>
      <c r="AT56" s="15" t="n">
        <v>1</v>
      </c>
    </row>
    <row r="57" customFormat="false" ht="28.5" hidden="false" customHeight="true" outlineLevel="0" collapsed="false">
      <c r="A57" s="12" t="n">
        <v>46213</v>
      </c>
      <c r="B57" s="12"/>
      <c r="C57" s="12" t="n">
        <v>46213</v>
      </c>
      <c r="D57" s="10" t="s">
        <v>101</v>
      </c>
      <c r="E57" s="10" t="s">
        <v>63</v>
      </c>
      <c r="F57" s="13" t="s">
        <v>159</v>
      </c>
      <c r="G57" s="14" t="s">
        <v>49</v>
      </c>
      <c r="H57" s="10" t="s">
        <v>76</v>
      </c>
      <c r="I57" s="15" t="n">
        <v>28.06</v>
      </c>
      <c r="J57" s="10" t="s">
        <v>103</v>
      </c>
      <c r="K57" s="15" t="n">
        <v>265</v>
      </c>
      <c r="L57" s="11" t="n">
        <v>7435.9</v>
      </c>
      <c r="M57" s="11" t="n">
        <v>0</v>
      </c>
      <c r="N57" s="10" t="s">
        <v>104</v>
      </c>
      <c r="O57" s="10"/>
      <c r="P57" s="10"/>
      <c r="Q57" s="16" t="n">
        <v>0</v>
      </c>
      <c r="R57" s="10"/>
      <c r="S57" s="10"/>
      <c r="T57" s="10" t="n">
        <v>0</v>
      </c>
      <c r="U57" s="11" t="n">
        <f aca="false">IF(E57="TRANSPORT",IF(T57="","",T57*5),IF(AL57="","",AL57))</f>
        <v>0</v>
      </c>
      <c r="V57" s="10" t="s">
        <v>54</v>
      </c>
      <c r="W57" s="15" t="s">
        <v>70</v>
      </c>
      <c r="X57" s="15"/>
      <c r="Y57" s="17" t="n">
        <v>46216.5284722222</v>
      </c>
      <c r="Z57" s="18" t="n">
        <f aca="false">IF(I57="",0,IF(ISNUMBER(SEARCH("mp",LOWER(J57))),I57,IF(ISNUMBER(SEARCH("ton",LOWER(J57))),I57/0.33,IF(ISNUMBER(SEARCH("m3",LOWER(J57))),I57*4,I57))))</f>
        <v>85.030303030303</v>
      </c>
      <c r="AA57" s="18" t="n">
        <f aca="false">IF(I57="",0,IF(ISNUMBER(SEARCH("mp",LOWER(J57))),I57*0.33,IF(ISNUMBER(SEARCH("ton",LOWER(J57))),I57,I57*0.33)))</f>
        <v>28.06</v>
      </c>
      <c r="AB57" s="18" t="n">
        <f aca="false">Tabela_dane[[#This Row],[Wolumen_t]]*8.5</f>
        <v>238.51</v>
      </c>
      <c r="AC57" s="18" t="n">
        <f aca="false">IF(G57&lt;&gt;"TAK",0,IF(OR(E57="ZAKUP",E57="PRODUKCJA"),Z57,IF(OR(E57="SPRZEDAŻ",E57="ZUŻYCIE"),-Z57,0)))</f>
        <v>85.030303030303</v>
      </c>
      <c r="AD57" s="18" t="n">
        <f aca="false">IF(G57&lt;&gt;"TAK",0,IF(OR(E57="ZAKUP",E57="PRODUKCJA"),AA57,IF(OR(E57="SPRZEDAŻ",E57="ZUŻYCIE"),-AA57,0)))</f>
        <v>28.06</v>
      </c>
      <c r="AE57" s="19" t="n">
        <f aca="false">IF(E57="ZAKUP",IF(L57&lt;&gt;"",L57,IF(K57&lt;&gt;"",Z57*K57,0)),0)</f>
        <v>7435.9</v>
      </c>
      <c r="AF57" s="19" t="n">
        <f aca="false">IF(E57="SPRZEDAŻ",IF(M57&lt;&gt;"",Z57*M57,0),0)</f>
        <v>0</v>
      </c>
      <c r="AG57" s="19" t="str">
        <f aca="false">IF(R57="","",IF(LOWER(R57)="brak","Brak",IF(OR(ISNUMBER(SEARCH("ric pl",LOWER(R57))),ISNUMBER(SEARCH("wojciechowski",LOWER(R57)))),"Własny","Zewnętrzny")))</f>
        <v/>
      </c>
      <c r="AH57" s="19" t="n">
        <f aca="false">Z57*Q57</f>
        <v>0</v>
      </c>
      <c r="AI57" s="19" t="str">
        <f aca="false">UPPER(TEXT(C57,"mmmm"))</f>
        <v>JULY</v>
      </c>
      <c r="AJ57" s="19" t="str">
        <f aca="false">IF(C57="","",TEXT(C57,"rrrr"))</f>
        <v>CE5786CE5786</v>
      </c>
      <c r="AK57" s="10"/>
      <c r="AL57" s="11" t="n">
        <v>0</v>
      </c>
      <c r="AM57" s="10" t="s">
        <v>160</v>
      </c>
      <c r="AN57" s="10" t="s">
        <v>59</v>
      </c>
      <c r="AO57" s="10"/>
      <c r="AP57" s="10"/>
      <c r="AQ57" s="10"/>
      <c r="AR57" s="10" t="s">
        <v>66</v>
      </c>
      <c r="AS57" s="10"/>
      <c r="AT57" s="15" t="n">
        <v>1</v>
      </c>
    </row>
    <row r="58" customFormat="false" ht="28.5" hidden="false" customHeight="true" outlineLevel="0" collapsed="false">
      <c r="A58" s="12" t="n">
        <v>46213</v>
      </c>
      <c r="B58" s="12"/>
      <c r="C58" s="12" t="n">
        <v>46213</v>
      </c>
      <c r="D58" s="10" t="s">
        <v>124</v>
      </c>
      <c r="E58" s="10" t="s">
        <v>63</v>
      </c>
      <c r="F58" s="13" t="s">
        <v>161</v>
      </c>
      <c r="G58" s="14" t="s">
        <v>49</v>
      </c>
      <c r="H58" s="10" t="s">
        <v>76</v>
      </c>
      <c r="I58" s="15" t="n">
        <v>24.04</v>
      </c>
      <c r="J58" s="10" t="s">
        <v>103</v>
      </c>
      <c r="K58" s="15" t="n">
        <v>275</v>
      </c>
      <c r="L58" s="11" t="n">
        <v>6611</v>
      </c>
      <c r="M58" s="11" t="n">
        <v>0</v>
      </c>
      <c r="N58" s="10" t="s">
        <v>104</v>
      </c>
      <c r="O58" s="10" t="s">
        <v>67</v>
      </c>
      <c r="P58" s="10"/>
      <c r="Q58" s="16" t="n">
        <v>0</v>
      </c>
      <c r="R58" s="10"/>
      <c r="S58" s="10"/>
      <c r="T58" s="10" t="n">
        <v>0</v>
      </c>
      <c r="U58" s="11" t="n">
        <f aca="false">IF(E58="TRANSPORT",IF(T58="","",T58*5),IF(AL58="","",AL58))</f>
        <v>0</v>
      </c>
      <c r="V58" s="10" t="s">
        <v>54</v>
      </c>
      <c r="W58" s="15" t="s">
        <v>70</v>
      </c>
      <c r="X58" s="15"/>
      <c r="Y58" s="17" t="n">
        <v>46217.4377199074</v>
      </c>
      <c r="Z58" s="18" t="n">
        <f aca="false">IF(I58="",0,IF(ISNUMBER(SEARCH("mp",LOWER(J58))),I58,IF(ISNUMBER(SEARCH("ton",LOWER(J58))),I58/0.33,IF(ISNUMBER(SEARCH("m3",LOWER(J58))),I58*4,I58))))</f>
        <v>72.8484848484848</v>
      </c>
      <c r="AA58" s="18" t="n">
        <f aca="false">IF(I58="",0,IF(ISNUMBER(SEARCH("mp",LOWER(J58))),I58*0.33,IF(ISNUMBER(SEARCH("ton",LOWER(J58))),I58,I58*0.33)))</f>
        <v>24.04</v>
      </c>
      <c r="AB58" s="18" t="n">
        <f aca="false">Tabela_dane[[#This Row],[Wolumen_t]]*8.5</f>
        <v>204.34</v>
      </c>
      <c r="AC58" s="18" t="n">
        <f aca="false">IF(G58&lt;&gt;"TAK",0,IF(OR(E58="ZAKUP",E58="PRODUKCJA"),Z58,IF(OR(E58="SPRZEDAŻ",E58="ZUŻYCIE"),-Z58,0)))</f>
        <v>72.8484848484848</v>
      </c>
      <c r="AD58" s="18" t="n">
        <f aca="false">IF(G58&lt;&gt;"TAK",0,IF(OR(E58="ZAKUP",E58="PRODUKCJA"),AA58,IF(OR(E58="SPRZEDAŻ",E58="ZUŻYCIE"),-AA58,0)))</f>
        <v>24.04</v>
      </c>
      <c r="AE58" s="19" t="n">
        <f aca="false">IF(E58="ZAKUP",IF(L58&lt;&gt;"",L58,IF(K58&lt;&gt;"",Z58*K58,0)),0)</f>
        <v>6611</v>
      </c>
      <c r="AF58" s="19" t="n">
        <f aca="false">IF(E58="SPRZEDAŻ",IF(M58&lt;&gt;"",Z58*M58,0),0)</f>
        <v>0</v>
      </c>
      <c r="AG58" s="19" t="str">
        <f aca="false">IF(R58="","",IF(LOWER(R58)="brak","Brak",IF(OR(ISNUMBER(SEARCH("ric pl",LOWER(R58))),ISNUMBER(SEARCH("wojciechowski",LOWER(R58)))),"Własny","Zewnętrzny")))</f>
        <v/>
      </c>
      <c r="AH58" s="19" t="n">
        <f aca="false">Z58*Q58</f>
        <v>0</v>
      </c>
      <c r="AI58" s="19" t="str">
        <f aca="false">UPPER(TEXT(C58,"mmmm"))</f>
        <v>JULY</v>
      </c>
      <c r="AJ58" s="19" t="str">
        <f aca="false">IF(C58="","",TEXT(C58,"rrrr"))</f>
        <v>CE5786CE5786</v>
      </c>
      <c r="AK58" s="10"/>
      <c r="AL58" s="11" t="n">
        <v>0</v>
      </c>
      <c r="AM58" s="10" t="s">
        <v>162</v>
      </c>
      <c r="AN58" s="10" t="s">
        <v>59</v>
      </c>
      <c r="AO58" s="10"/>
      <c r="AP58" s="10"/>
      <c r="AQ58" s="10"/>
      <c r="AR58" s="10" t="s">
        <v>66</v>
      </c>
      <c r="AS58" s="10"/>
      <c r="AT58" s="15" t="n">
        <v>1</v>
      </c>
    </row>
    <row r="59" customFormat="false" ht="28.5" hidden="false" customHeight="true" outlineLevel="0" collapsed="false">
      <c r="A59" s="12" t="n">
        <v>46213</v>
      </c>
      <c r="B59" s="12"/>
      <c r="C59" s="12" t="n">
        <v>46213</v>
      </c>
      <c r="D59" s="10" t="s">
        <v>124</v>
      </c>
      <c r="E59" s="10" t="s">
        <v>63</v>
      </c>
      <c r="F59" s="13" t="s">
        <v>163</v>
      </c>
      <c r="G59" s="14" t="s">
        <v>49</v>
      </c>
      <c r="H59" s="10" t="s">
        <v>76</v>
      </c>
      <c r="I59" s="15" t="n">
        <v>23.88</v>
      </c>
      <c r="J59" s="10" t="s">
        <v>103</v>
      </c>
      <c r="K59" s="15" t="n">
        <v>275</v>
      </c>
      <c r="L59" s="11" t="n">
        <v>6567</v>
      </c>
      <c r="M59" s="11" t="n">
        <v>0</v>
      </c>
      <c r="N59" s="10" t="s">
        <v>104</v>
      </c>
      <c r="O59" s="10" t="s">
        <v>67</v>
      </c>
      <c r="P59" s="10"/>
      <c r="Q59" s="16" t="n">
        <v>0</v>
      </c>
      <c r="R59" s="10"/>
      <c r="S59" s="10"/>
      <c r="T59" s="10" t="n">
        <v>0</v>
      </c>
      <c r="U59" s="11" t="n">
        <f aca="false">IF(E59="TRANSPORT",IF(T59="","",T59*5),IF(AL59="","",AL59))</f>
        <v>0</v>
      </c>
      <c r="V59" s="10" t="s">
        <v>54</v>
      </c>
      <c r="W59" s="15" t="s">
        <v>70</v>
      </c>
      <c r="X59" s="15"/>
      <c r="Y59" s="17" t="n">
        <v>46217.4382407407</v>
      </c>
      <c r="Z59" s="18" t="n">
        <f aca="false">IF(I59="",0,IF(ISNUMBER(SEARCH("mp",LOWER(J59))),I59,IF(ISNUMBER(SEARCH("ton",LOWER(J59))),I59/0.33,IF(ISNUMBER(SEARCH("m3",LOWER(J59))),I59*4,I59))))</f>
        <v>72.3636363636364</v>
      </c>
      <c r="AA59" s="18" t="n">
        <f aca="false">IF(I59="",0,IF(ISNUMBER(SEARCH("mp",LOWER(J59))),I59*0.33,IF(ISNUMBER(SEARCH("ton",LOWER(J59))),I59,I59*0.33)))</f>
        <v>23.88</v>
      </c>
      <c r="AB59" s="18" t="n">
        <f aca="false">Tabela_dane[[#This Row],[Wolumen_t]]*8.5</f>
        <v>202.98</v>
      </c>
      <c r="AC59" s="18" t="n">
        <f aca="false">IF(G59&lt;&gt;"TAK",0,IF(OR(E59="ZAKUP",E59="PRODUKCJA"),Z59,IF(OR(E59="SPRZEDAŻ",E59="ZUŻYCIE"),-Z59,0)))</f>
        <v>72.3636363636364</v>
      </c>
      <c r="AD59" s="18" t="n">
        <f aca="false">IF(G59&lt;&gt;"TAK",0,IF(OR(E59="ZAKUP",E59="PRODUKCJA"),AA59,IF(OR(E59="SPRZEDAŻ",E59="ZUŻYCIE"),-AA59,0)))</f>
        <v>23.88</v>
      </c>
      <c r="AE59" s="19" t="n">
        <f aca="false">IF(E59="ZAKUP",IF(L59&lt;&gt;"",L59,IF(K59&lt;&gt;"",Z59*K59,0)),0)</f>
        <v>6567</v>
      </c>
      <c r="AF59" s="19" t="n">
        <f aca="false">IF(E59="SPRZEDAŻ",IF(M59&lt;&gt;"",Z59*M59,0),0)</f>
        <v>0</v>
      </c>
      <c r="AG59" s="19" t="str">
        <f aca="false">IF(R59="","",IF(LOWER(R59)="brak","Brak",IF(OR(ISNUMBER(SEARCH("ric pl",LOWER(R59))),ISNUMBER(SEARCH("wojciechowski",LOWER(R59)))),"Własny","Zewnętrzny")))</f>
        <v/>
      </c>
      <c r="AH59" s="19" t="n">
        <f aca="false">Z59*Q59</f>
        <v>0</v>
      </c>
      <c r="AI59" s="19" t="str">
        <f aca="false">UPPER(TEXT(C59,"mmmm"))</f>
        <v>JULY</v>
      </c>
      <c r="AJ59" s="19" t="str">
        <f aca="false">IF(C59="","",TEXT(C59,"rrrr"))</f>
        <v>CE5786CE5786</v>
      </c>
      <c r="AK59" s="10"/>
      <c r="AL59" s="11" t="n">
        <v>0</v>
      </c>
      <c r="AM59" s="10" t="s">
        <v>164</v>
      </c>
      <c r="AN59" s="10" t="s">
        <v>59</v>
      </c>
      <c r="AO59" s="10"/>
      <c r="AP59" s="10"/>
      <c r="AQ59" s="10"/>
      <c r="AR59" s="10" t="s">
        <v>66</v>
      </c>
      <c r="AS59" s="10"/>
      <c r="AT59" s="15" t="n">
        <v>1</v>
      </c>
    </row>
    <row r="60" customFormat="false" ht="28.5" hidden="false" customHeight="true" outlineLevel="0" collapsed="false">
      <c r="A60" s="12" t="n">
        <v>46216</v>
      </c>
      <c r="B60" s="12" t="s">
        <v>106</v>
      </c>
      <c r="C60" s="12" t="n">
        <v>46216</v>
      </c>
      <c r="D60" s="10" t="s">
        <v>106</v>
      </c>
      <c r="E60" s="10" t="s">
        <v>107</v>
      </c>
      <c r="F60" s="21" t="s">
        <v>165</v>
      </c>
      <c r="G60" s="14" t="s">
        <v>49</v>
      </c>
      <c r="H60" s="10"/>
      <c r="I60" s="15" t="n">
        <v>88</v>
      </c>
      <c r="J60" s="10" t="s">
        <v>51</v>
      </c>
      <c r="K60" s="15" t="n">
        <v>0</v>
      </c>
      <c r="L60" s="11" t="n">
        <v>0</v>
      </c>
      <c r="M60" s="11" t="n">
        <v>0</v>
      </c>
      <c r="N60" s="10" t="s">
        <v>52</v>
      </c>
      <c r="O60" s="10" t="s">
        <v>67</v>
      </c>
      <c r="P60" s="10"/>
      <c r="Q60" s="16" t="n">
        <v>0</v>
      </c>
      <c r="R60" s="10" t="s">
        <v>68</v>
      </c>
      <c r="S60" s="10" t="s">
        <v>69</v>
      </c>
      <c r="T60" s="10" t="n">
        <v>40</v>
      </c>
      <c r="U60" s="11" t="n">
        <f aca="false">IF(E60="TRANSPORT",IF(T60="","",T60*5),IF(AL60="","",AL60))</f>
        <v>200</v>
      </c>
      <c r="V60" s="10" t="s">
        <v>54</v>
      </c>
      <c r="W60" s="15" t="s">
        <v>65</v>
      </c>
      <c r="X60" s="15" t="s">
        <v>106</v>
      </c>
      <c r="Y60" s="17" t="n">
        <v>46216.3638425926</v>
      </c>
      <c r="Z60" s="18" t="n">
        <f aca="false">IF(I60="",0,IF(ISNUMBER(SEARCH("mp",LOWER(J60))),I60,IF(ISNUMBER(SEARCH("ton",LOWER(J60))),I60/0.33,IF(ISNUMBER(SEARCH("m3",LOWER(J60))),I60*4,I60))))</f>
        <v>88</v>
      </c>
      <c r="AA60" s="18" t="n">
        <f aca="false">IF(I60="",0,IF(ISNUMBER(SEARCH("mp",LOWER(J60))),I60*0.33,IF(ISNUMBER(SEARCH("ton",LOWER(J60))),I60,I60*0.33)))</f>
        <v>29.04</v>
      </c>
      <c r="AB60" s="18" t="n">
        <f aca="false">Tabela_dane[[#This Row],[Wolumen_t]]*8.5</f>
        <v>246.84</v>
      </c>
      <c r="AC60" s="18" t="n">
        <f aca="false">IF(G60&lt;&gt;"TAK",0,IF(OR(E60="ZAKUP",E60="PRODUKCJA"),Z60,IF(OR(E60="SPRZEDAŻ",E60="ZUŻYCIE"),-Z60,0)))</f>
        <v>0</v>
      </c>
      <c r="AD60" s="18" t="n">
        <f aca="false">IF(G60&lt;&gt;"TAK",0,IF(OR(E60="ZAKUP",E60="PRODUKCJA"),AA60,IF(OR(E60="SPRZEDAŻ",E60="ZUŻYCIE"),-AA60,0)))</f>
        <v>0</v>
      </c>
      <c r="AE60" s="19" t="n">
        <f aca="false">IF(E60="ZAKUP",IF(L60&lt;&gt;"",L60,IF(K60&lt;&gt;"",Z60*K60,0)),0)</f>
        <v>0</v>
      </c>
      <c r="AF60" s="19" t="n">
        <f aca="false">IF(E60="SPRZEDAŻ",IF(M60&lt;&gt;"",Z60*M60,0),0)</f>
        <v>0</v>
      </c>
      <c r="AG60" s="19" t="str">
        <f aca="false">IF(R60="","",IF(LOWER(R60)="brak","Brak",IF(OR(ISNUMBER(SEARCH("ric pl",LOWER(R60))),ISNUMBER(SEARCH("wojciechowski",LOWER(R60)))),"Własny","Zewnętrzny")))</f>
        <v>Zewnętrzny</v>
      </c>
      <c r="AH60" s="19" t="n">
        <f aca="false">Z60*Q60</f>
        <v>0</v>
      </c>
      <c r="AI60" s="19" t="str">
        <f aca="false">UPPER(TEXT(C60,"mmmm"))</f>
        <v>JULY</v>
      </c>
      <c r="AJ60" s="19" t="str">
        <f aca="false">IF(C60="","",TEXT(C60,"rrrr"))</f>
        <v>CE5786CE5786</v>
      </c>
      <c r="AK60" s="10"/>
      <c r="AL60" s="11" t="n">
        <v>200</v>
      </c>
      <c r="AM60" s="10" t="s">
        <v>166</v>
      </c>
      <c r="AN60" s="10" t="s">
        <v>49</v>
      </c>
      <c r="AO60" s="10"/>
      <c r="AP60" s="10"/>
      <c r="AQ60" s="10"/>
      <c r="AR60" s="10" t="s">
        <v>66</v>
      </c>
      <c r="AS60" s="10"/>
      <c r="AT60" s="15" t="n">
        <v>1</v>
      </c>
    </row>
    <row r="61" customFormat="false" ht="28.5" hidden="false" customHeight="true" outlineLevel="0" collapsed="false">
      <c r="A61" s="12" t="n">
        <v>46216</v>
      </c>
      <c r="B61" s="12" t="s">
        <v>106</v>
      </c>
      <c r="C61" s="12" t="n">
        <v>46216</v>
      </c>
      <c r="D61" s="10" t="s">
        <v>106</v>
      </c>
      <c r="E61" s="10" t="s">
        <v>107</v>
      </c>
      <c r="F61" s="21" t="s">
        <v>167</v>
      </c>
      <c r="G61" s="14" t="s">
        <v>49</v>
      </c>
      <c r="H61" s="10"/>
      <c r="I61" s="15" t="n">
        <v>75.6</v>
      </c>
      <c r="J61" s="10" t="s">
        <v>51</v>
      </c>
      <c r="K61" s="15" t="n">
        <v>0</v>
      </c>
      <c r="L61" s="11" t="n">
        <v>0</v>
      </c>
      <c r="M61" s="11" t="n">
        <v>0</v>
      </c>
      <c r="N61" s="10" t="s">
        <v>52</v>
      </c>
      <c r="O61" s="10" t="s">
        <v>67</v>
      </c>
      <c r="P61" s="10"/>
      <c r="Q61" s="16" t="n">
        <v>0</v>
      </c>
      <c r="R61" s="10" t="s">
        <v>72</v>
      </c>
      <c r="S61" s="10" t="s">
        <v>73</v>
      </c>
      <c r="T61" s="10" t="n">
        <v>40</v>
      </c>
      <c r="U61" s="11" t="n">
        <f aca="false">IF(E61="TRANSPORT",IF(T61="","",T61*5),IF(AL61="","",AL61))</f>
        <v>240</v>
      </c>
      <c r="V61" s="10" t="s">
        <v>54</v>
      </c>
      <c r="W61" s="15" t="s">
        <v>65</v>
      </c>
      <c r="X61" s="15" t="s">
        <v>106</v>
      </c>
      <c r="Y61" s="17" t="n">
        <v>46216.3652199074</v>
      </c>
      <c r="Z61" s="18" t="n">
        <f aca="false">IF(I61="",0,IF(ISNUMBER(SEARCH("mp",LOWER(J61))),I61,IF(ISNUMBER(SEARCH("ton",LOWER(J61))),I61/0.33,IF(ISNUMBER(SEARCH("m3",LOWER(J61))),I61*4,I61))))</f>
        <v>75.6</v>
      </c>
      <c r="AA61" s="18" t="n">
        <f aca="false">IF(I61="",0,IF(ISNUMBER(SEARCH("mp",LOWER(J61))),I61*0.33,IF(ISNUMBER(SEARCH("ton",LOWER(J61))),I61,I61*0.33)))</f>
        <v>24.948</v>
      </c>
      <c r="AB61" s="18" t="n">
        <f aca="false">Tabela_dane[[#This Row],[Wolumen_t]]*8.5</f>
        <v>212.058</v>
      </c>
      <c r="AC61" s="18" t="n">
        <f aca="false">IF(G61&lt;&gt;"TAK",0,IF(OR(E61="ZAKUP",E61="PRODUKCJA"),Z61,IF(OR(E61="SPRZEDAŻ",E61="ZUŻYCIE"),-Z61,0)))</f>
        <v>0</v>
      </c>
      <c r="AD61" s="18" t="n">
        <f aca="false">IF(G61&lt;&gt;"TAK",0,IF(OR(E61="ZAKUP",E61="PRODUKCJA"),AA61,IF(OR(E61="SPRZEDAŻ",E61="ZUŻYCIE"),-AA61,0)))</f>
        <v>0</v>
      </c>
      <c r="AE61" s="19" t="n">
        <f aca="false">IF(E61="ZAKUP",IF(L61&lt;&gt;"",L61,IF(K61&lt;&gt;"",Z61*K61,0)),0)</f>
        <v>0</v>
      </c>
      <c r="AF61" s="19" t="n">
        <f aca="false">IF(E61="SPRZEDAŻ",IF(M61&lt;&gt;"",Z61*M61,0),0)</f>
        <v>0</v>
      </c>
      <c r="AG61" s="19" t="str">
        <f aca="false">IF(R61="","",IF(LOWER(R61)="brak","Brak",IF(OR(ISNUMBER(SEARCH("ric pl",LOWER(R61))),ISNUMBER(SEARCH("wojciechowski",LOWER(R61)))),"Własny","Zewnętrzny")))</f>
        <v>Zewnętrzny</v>
      </c>
      <c r="AH61" s="19" t="n">
        <f aca="false">Z61*Q61</f>
        <v>0</v>
      </c>
      <c r="AI61" s="19" t="str">
        <f aca="false">UPPER(TEXT(C61,"mmmm"))</f>
        <v>JULY</v>
      </c>
      <c r="AJ61" s="19" t="str">
        <f aca="false">IF(C61="","",TEXT(C61,"rrrr"))</f>
        <v>CE5786CE5786</v>
      </c>
      <c r="AK61" s="10"/>
      <c r="AL61" s="11" t="n">
        <v>240</v>
      </c>
      <c r="AM61" s="10" t="s">
        <v>168</v>
      </c>
      <c r="AN61" s="10" t="s">
        <v>49</v>
      </c>
      <c r="AO61" s="10"/>
      <c r="AP61" s="10"/>
      <c r="AQ61" s="10"/>
      <c r="AR61" s="10" t="s">
        <v>66</v>
      </c>
      <c r="AS61" s="10"/>
      <c r="AT61" s="15" t="n">
        <v>1</v>
      </c>
    </row>
    <row r="62" customFormat="false" ht="28.5" hidden="false" customHeight="true" outlineLevel="0" collapsed="false">
      <c r="A62" s="12" t="n">
        <v>46216</v>
      </c>
      <c r="B62" s="12" t="s">
        <v>106</v>
      </c>
      <c r="C62" s="12" t="n">
        <v>46216</v>
      </c>
      <c r="D62" s="10" t="s">
        <v>106</v>
      </c>
      <c r="E62" s="10" t="s">
        <v>107</v>
      </c>
      <c r="F62" s="21" t="s">
        <v>169</v>
      </c>
      <c r="G62" s="14" t="s">
        <v>49</v>
      </c>
      <c r="H62" s="10"/>
      <c r="I62" s="15" t="n">
        <v>76.2</v>
      </c>
      <c r="J62" s="10" t="s">
        <v>51</v>
      </c>
      <c r="K62" s="15" t="n">
        <v>0</v>
      </c>
      <c r="L62" s="11" t="n">
        <v>0</v>
      </c>
      <c r="M62" s="11" t="n">
        <v>0</v>
      </c>
      <c r="N62" s="10" t="s">
        <v>52</v>
      </c>
      <c r="O62" s="10" t="s">
        <v>67</v>
      </c>
      <c r="P62" s="10"/>
      <c r="Q62" s="16" t="n">
        <v>0</v>
      </c>
      <c r="R62" s="10" t="s">
        <v>72</v>
      </c>
      <c r="S62" s="10" t="s">
        <v>73</v>
      </c>
      <c r="T62" s="10" t="n">
        <v>40</v>
      </c>
      <c r="U62" s="11" t="n">
        <f aca="false">IF(E62="TRANSPORT",IF(T62="","",T62*5),IF(AL62="","",AL62))</f>
        <v>240</v>
      </c>
      <c r="V62" s="10" t="s">
        <v>54</v>
      </c>
      <c r="W62" s="15" t="s">
        <v>70</v>
      </c>
      <c r="X62" s="15" t="s">
        <v>106</v>
      </c>
      <c r="Y62" s="17" t="n">
        <v>46216.5170833333</v>
      </c>
      <c r="Z62" s="18" t="n">
        <f aca="false">IF(I62="",0,IF(ISNUMBER(SEARCH("mp",LOWER(J62))),I62,IF(ISNUMBER(SEARCH("ton",LOWER(J62))),I62/0.33,IF(ISNUMBER(SEARCH("m3",LOWER(J62))),I62*4,I62))))</f>
        <v>76.2</v>
      </c>
      <c r="AA62" s="18" t="n">
        <f aca="false">IF(I62="",0,IF(ISNUMBER(SEARCH("mp",LOWER(J62))),I62*0.33,IF(ISNUMBER(SEARCH("ton",LOWER(J62))),I62,I62*0.33)))</f>
        <v>25.146</v>
      </c>
      <c r="AB62" s="18" t="n">
        <f aca="false">Tabela_dane[[#This Row],[Wolumen_t]]*8.5</f>
        <v>213.741</v>
      </c>
      <c r="AC62" s="18" t="n">
        <f aca="false">IF(G62&lt;&gt;"TAK",0,IF(OR(E62="ZAKUP",E62="PRODUKCJA"),Z62,IF(OR(E62="SPRZEDAŻ",E62="ZUŻYCIE"),-Z62,0)))</f>
        <v>0</v>
      </c>
      <c r="AD62" s="18" t="n">
        <f aca="false">IF(G62&lt;&gt;"TAK",0,IF(OR(E62="ZAKUP",E62="PRODUKCJA"),AA62,IF(OR(E62="SPRZEDAŻ",E62="ZUŻYCIE"),-AA62,0)))</f>
        <v>0</v>
      </c>
      <c r="AE62" s="19" t="n">
        <f aca="false">IF(E62="ZAKUP",IF(L62&lt;&gt;"",L62,IF(K62&lt;&gt;"",Z62*K62,0)),0)</f>
        <v>0</v>
      </c>
      <c r="AF62" s="19" t="n">
        <f aca="false">IF(E62="SPRZEDAŻ",IF(M62&lt;&gt;"",Z62*M62,0),0)</f>
        <v>0</v>
      </c>
      <c r="AG62" s="19" t="str">
        <f aca="false">IF(R62="","",IF(LOWER(R62)="brak","Brak",IF(OR(ISNUMBER(SEARCH("ric pl",LOWER(R62))),ISNUMBER(SEARCH("wojciechowski",LOWER(R62)))),"Własny","Zewnętrzny")))</f>
        <v>Zewnętrzny</v>
      </c>
      <c r="AH62" s="19" t="n">
        <f aca="false">Z62*Q62</f>
        <v>0</v>
      </c>
      <c r="AI62" s="19" t="str">
        <f aca="false">UPPER(TEXT(C62,"mmmm"))</f>
        <v>JULY</v>
      </c>
      <c r="AJ62" s="19" t="str">
        <f aca="false">IF(C62="","",TEXT(C62,"rrrr"))</f>
        <v>CE5786CE5786</v>
      </c>
      <c r="AK62" s="10"/>
      <c r="AL62" s="11" t="n">
        <v>240</v>
      </c>
      <c r="AM62" s="10" t="s">
        <v>170</v>
      </c>
      <c r="AN62" s="10" t="s">
        <v>49</v>
      </c>
      <c r="AO62" s="10"/>
      <c r="AP62" s="10"/>
      <c r="AQ62" s="10"/>
      <c r="AR62" s="10" t="s">
        <v>66</v>
      </c>
      <c r="AS62" s="10"/>
      <c r="AT62" s="15" t="n">
        <v>1</v>
      </c>
    </row>
    <row r="63" customFormat="false" ht="28.5" hidden="false" customHeight="true" outlineLevel="0" collapsed="false">
      <c r="A63" s="12" t="n">
        <v>46216</v>
      </c>
      <c r="B63" s="12"/>
      <c r="C63" s="12" t="n">
        <v>46216</v>
      </c>
      <c r="D63" s="10" t="s">
        <v>46</v>
      </c>
      <c r="E63" s="10" t="s">
        <v>63</v>
      </c>
      <c r="F63" s="20" t="s">
        <v>171</v>
      </c>
      <c r="G63" s="14" t="s">
        <v>49</v>
      </c>
      <c r="H63" s="10" t="s">
        <v>76</v>
      </c>
      <c r="I63" s="15" t="n">
        <v>26.69</v>
      </c>
      <c r="J63" s="10" t="s">
        <v>77</v>
      </c>
      <c r="K63" s="15" t="n">
        <v>230</v>
      </c>
      <c r="L63" s="11" t="n">
        <v>6138.7</v>
      </c>
      <c r="M63" s="11" t="n">
        <v>0</v>
      </c>
      <c r="N63" s="10" t="s">
        <v>64</v>
      </c>
      <c r="O63" s="10"/>
      <c r="P63" s="10"/>
      <c r="Q63" s="16" t="n">
        <v>0</v>
      </c>
      <c r="R63" s="10"/>
      <c r="S63" s="10"/>
      <c r="T63" s="10" t="n">
        <v>0</v>
      </c>
      <c r="U63" s="11" t="n">
        <f aca="false">IF(E63="TRANSPORT",IF(T63="","",T63*5),IF(AL63="","",AL63))</f>
        <v>0</v>
      </c>
      <c r="V63" s="10" t="s">
        <v>54</v>
      </c>
      <c r="W63" s="15" t="s">
        <v>70</v>
      </c>
      <c r="X63" s="15"/>
      <c r="Y63" s="17" t="n">
        <v>46216.5186805556</v>
      </c>
      <c r="Z63" s="18" t="n">
        <f aca="false">IF(I63="",0,IF(ISNUMBER(SEARCH("mp",LOWER(J63))),I63,IF(ISNUMBER(SEARCH("ton",LOWER(J63))),I63/0.33,IF(ISNUMBER(SEARCH("m3",LOWER(J63))),I63*4,I63))))</f>
        <v>106.76</v>
      </c>
      <c r="AA63" s="18" t="n">
        <f aca="false">IF(I63="",0,IF(ISNUMBER(SEARCH("mp",LOWER(J63))),I63*0.33,IF(ISNUMBER(SEARCH("ton",LOWER(J63))),I63,I63*0.33)))</f>
        <v>8.8077</v>
      </c>
      <c r="AB63" s="18" t="n">
        <f aca="false">Tabela_dane[[#This Row],[Wolumen_t]]*8.5</f>
        <v>74.86545</v>
      </c>
      <c r="AC63" s="18" t="n">
        <f aca="false">IF(G63&lt;&gt;"TAK",0,IF(OR(E63="ZAKUP",E63="PRODUKCJA"),Z63,IF(OR(E63="SPRZEDAŻ",E63="ZUŻYCIE"),-Z63,0)))</f>
        <v>106.76</v>
      </c>
      <c r="AD63" s="18" t="n">
        <f aca="false">IF(G63&lt;&gt;"TAK",0,IF(OR(E63="ZAKUP",E63="PRODUKCJA"),AA63,IF(OR(E63="SPRZEDAŻ",E63="ZUŻYCIE"),-AA63,0)))</f>
        <v>8.8077</v>
      </c>
      <c r="AE63" s="19" t="n">
        <f aca="false">IF(E63="ZAKUP",IF(L63&lt;&gt;"",L63,IF(K63&lt;&gt;"",Z63*K63,0)),0)</f>
        <v>6138.7</v>
      </c>
      <c r="AF63" s="19" t="n">
        <f aca="false">IF(E63="SPRZEDAŻ",IF(M63&lt;&gt;"",Z63*M63,0),0)</f>
        <v>0</v>
      </c>
      <c r="AG63" s="19" t="str">
        <f aca="false">IF(R63="","",IF(LOWER(R63)="brak","Brak",IF(OR(ISNUMBER(SEARCH("ric pl",LOWER(R63))),ISNUMBER(SEARCH("wojciechowski",LOWER(R63)))),"Własny","Zewnętrzny")))</f>
        <v/>
      </c>
      <c r="AH63" s="19" t="n">
        <f aca="false">Z63*Q63</f>
        <v>0</v>
      </c>
      <c r="AI63" s="19" t="str">
        <f aca="false">UPPER(TEXT(C63,"mmmm"))</f>
        <v>JULY</v>
      </c>
      <c r="AJ63" s="19" t="str">
        <f aca="false">IF(C63="","",TEXT(C63,"rrrr"))</f>
        <v>CE5786CE5786</v>
      </c>
      <c r="AK63" s="10"/>
      <c r="AL63" s="11" t="n">
        <v>0</v>
      </c>
      <c r="AM63" s="10" t="s">
        <v>172</v>
      </c>
      <c r="AN63" s="10" t="s">
        <v>59</v>
      </c>
      <c r="AO63" s="10"/>
      <c r="AP63" s="10"/>
      <c r="AQ63" s="10"/>
      <c r="AR63" s="10" t="s">
        <v>66</v>
      </c>
      <c r="AS63" s="10"/>
      <c r="AT63" s="15" t="n">
        <v>1</v>
      </c>
    </row>
    <row r="64" customFormat="false" ht="28.5" hidden="false" customHeight="true" outlineLevel="0" collapsed="false">
      <c r="A64" s="12" t="n">
        <v>46217</v>
      </c>
      <c r="B64" s="12" t="s">
        <v>106</v>
      </c>
      <c r="C64" s="12" t="n">
        <v>46217</v>
      </c>
      <c r="D64" s="10" t="s">
        <v>106</v>
      </c>
      <c r="E64" s="10" t="s">
        <v>107</v>
      </c>
      <c r="F64" s="21" t="s">
        <v>173</v>
      </c>
      <c r="G64" s="14" t="s">
        <v>49</v>
      </c>
      <c r="H64" s="10"/>
      <c r="I64" s="15" t="n">
        <v>87</v>
      </c>
      <c r="J64" s="10" t="s">
        <v>51</v>
      </c>
      <c r="K64" s="15" t="n">
        <v>0</v>
      </c>
      <c r="L64" s="11" t="n">
        <v>0</v>
      </c>
      <c r="M64" s="11" t="n">
        <v>0</v>
      </c>
      <c r="N64" s="10" t="s">
        <v>52</v>
      </c>
      <c r="O64" s="10" t="s">
        <v>67</v>
      </c>
      <c r="P64" s="10"/>
      <c r="Q64" s="16" t="n">
        <v>0</v>
      </c>
      <c r="R64" s="10" t="s">
        <v>68</v>
      </c>
      <c r="S64" s="10" t="s">
        <v>69</v>
      </c>
      <c r="T64" s="10" t="n">
        <v>40</v>
      </c>
      <c r="U64" s="11" t="n">
        <f aca="false">IF(E64="TRANSPORT",IF(T64="","",T64*5),IF(AL64="","",AL64))</f>
        <v>200</v>
      </c>
      <c r="V64" s="10" t="s">
        <v>54</v>
      </c>
      <c r="W64" s="15" t="s">
        <v>65</v>
      </c>
      <c r="X64" s="15" t="s">
        <v>106</v>
      </c>
      <c r="Y64" s="17" t="n">
        <v>46217.3283101852</v>
      </c>
      <c r="Z64" s="18" t="n">
        <f aca="false">IF(I64="",0,IF(ISNUMBER(SEARCH("mp",LOWER(J64))),I64,IF(ISNUMBER(SEARCH("ton",LOWER(J64))),I64/0.33,IF(ISNUMBER(SEARCH("m3",LOWER(J64))),I64*4,I64))))</f>
        <v>87</v>
      </c>
      <c r="AA64" s="18" t="n">
        <f aca="false">IF(I64="",0,IF(ISNUMBER(SEARCH("mp",LOWER(J64))),I64*0.33,IF(ISNUMBER(SEARCH("ton",LOWER(J64))),I64,I64*0.33)))</f>
        <v>28.71</v>
      </c>
      <c r="AB64" s="18" t="n">
        <f aca="false">Tabela_dane[[#This Row],[Wolumen_t]]*8.5</f>
        <v>244.035</v>
      </c>
      <c r="AC64" s="18" t="n">
        <f aca="false">IF(G64&lt;&gt;"TAK",0,IF(OR(E64="ZAKUP",E64="PRODUKCJA"),Z64,IF(OR(E64="SPRZEDAŻ",E64="ZUŻYCIE"),-Z64,0)))</f>
        <v>0</v>
      </c>
      <c r="AD64" s="18" t="n">
        <f aca="false">IF(G64&lt;&gt;"TAK",0,IF(OR(E64="ZAKUP",E64="PRODUKCJA"),AA64,IF(OR(E64="SPRZEDAŻ",E64="ZUŻYCIE"),-AA64,0)))</f>
        <v>0</v>
      </c>
      <c r="AE64" s="19" t="n">
        <f aca="false">IF(E64="ZAKUP",IF(L64&lt;&gt;"",L64,IF(K64&lt;&gt;"",Z64*K64,0)),0)</f>
        <v>0</v>
      </c>
      <c r="AF64" s="19" t="n">
        <f aca="false">IF(E64="SPRZEDAŻ",IF(M64&lt;&gt;"",Z64*M64,0),0)</f>
        <v>0</v>
      </c>
      <c r="AG64" s="19" t="str">
        <f aca="false">IF(R64="","",IF(LOWER(R64)="brak","Brak",IF(OR(ISNUMBER(SEARCH("ric pl",LOWER(R64))),ISNUMBER(SEARCH("wojciechowski",LOWER(R64)))),"Własny","Zewnętrzny")))</f>
        <v>Zewnętrzny</v>
      </c>
      <c r="AH64" s="19" t="n">
        <f aca="false">Z64*Q64</f>
        <v>0</v>
      </c>
      <c r="AI64" s="19" t="str">
        <f aca="false">UPPER(TEXT(C64,"mmmm"))</f>
        <v>JULY</v>
      </c>
      <c r="AJ64" s="19" t="str">
        <f aca="false">IF(C64="","",TEXT(C64,"rrrr"))</f>
        <v>CE5786CE5786</v>
      </c>
      <c r="AK64" s="10"/>
      <c r="AL64" s="11" t="n">
        <v>200</v>
      </c>
      <c r="AM64" s="10" t="s">
        <v>174</v>
      </c>
      <c r="AN64" s="10" t="s">
        <v>49</v>
      </c>
      <c r="AO64" s="10"/>
      <c r="AP64" s="10"/>
      <c r="AQ64" s="10"/>
      <c r="AR64" s="10" t="s">
        <v>66</v>
      </c>
      <c r="AS64" s="10"/>
      <c r="AT64" s="15" t="n">
        <v>1</v>
      </c>
    </row>
    <row r="65" customFormat="false" ht="28.5" hidden="false" customHeight="true" outlineLevel="0" collapsed="false">
      <c r="A65" s="12" t="n">
        <v>46217</v>
      </c>
      <c r="B65" s="12" t="s">
        <v>106</v>
      </c>
      <c r="C65" s="12" t="n">
        <v>46217</v>
      </c>
      <c r="D65" s="10" t="s">
        <v>106</v>
      </c>
      <c r="E65" s="10" t="s">
        <v>107</v>
      </c>
      <c r="F65" s="21" t="s">
        <v>175</v>
      </c>
      <c r="G65" s="14" t="s">
        <v>49</v>
      </c>
      <c r="H65" s="10"/>
      <c r="I65" s="15" t="n">
        <v>87.02</v>
      </c>
      <c r="J65" s="10" t="s">
        <v>51</v>
      </c>
      <c r="K65" s="15" t="n">
        <v>0</v>
      </c>
      <c r="L65" s="11" t="n">
        <v>0</v>
      </c>
      <c r="M65" s="11" t="n">
        <v>0</v>
      </c>
      <c r="N65" s="10" t="s">
        <v>52</v>
      </c>
      <c r="O65" s="10" t="s">
        <v>67</v>
      </c>
      <c r="P65" s="10"/>
      <c r="Q65" s="16" t="n">
        <v>0</v>
      </c>
      <c r="R65" s="10" t="s">
        <v>68</v>
      </c>
      <c r="S65" s="10" t="s">
        <v>69</v>
      </c>
      <c r="T65" s="10" t="n">
        <v>40</v>
      </c>
      <c r="U65" s="11" t="n">
        <f aca="false">IF(E65="TRANSPORT",IF(T65="","",T65*5),IF(AL65="","",AL65))</f>
        <v>200</v>
      </c>
      <c r="V65" s="10" t="s">
        <v>54</v>
      </c>
      <c r="W65" s="15" t="s">
        <v>65</v>
      </c>
      <c r="X65" s="15" t="s">
        <v>106</v>
      </c>
      <c r="Y65" s="17" t="n">
        <v>46217.426712963</v>
      </c>
      <c r="Z65" s="18" t="n">
        <f aca="false">IF(I65="",0,IF(ISNUMBER(SEARCH("mp",LOWER(J65))),I65,IF(ISNUMBER(SEARCH("ton",LOWER(J65))),I65/0.33,IF(ISNUMBER(SEARCH("m3",LOWER(J65))),I65*4,I65))))</f>
        <v>87.02</v>
      </c>
      <c r="AA65" s="18" t="n">
        <f aca="false">IF(I65="",0,IF(ISNUMBER(SEARCH("mp",LOWER(J65))),I65*0.33,IF(ISNUMBER(SEARCH("ton",LOWER(J65))),I65,I65*0.33)))</f>
        <v>28.7166</v>
      </c>
      <c r="AB65" s="18" t="n">
        <f aca="false">Tabela_dane[[#This Row],[Wolumen_t]]*8.5</f>
        <v>244.0911</v>
      </c>
      <c r="AC65" s="18" t="n">
        <f aca="false">IF(G65&lt;&gt;"TAK",0,IF(OR(E65="ZAKUP",E65="PRODUKCJA"),Z65,IF(OR(E65="SPRZEDAŻ",E65="ZUŻYCIE"),-Z65,0)))</f>
        <v>0</v>
      </c>
      <c r="AD65" s="18" t="n">
        <f aca="false">IF(G65&lt;&gt;"TAK",0,IF(OR(E65="ZAKUP",E65="PRODUKCJA"),AA65,IF(OR(E65="SPRZEDAŻ",E65="ZUŻYCIE"),-AA65,0)))</f>
        <v>0</v>
      </c>
      <c r="AE65" s="19" t="n">
        <f aca="false">IF(E65="ZAKUP",IF(L65&lt;&gt;"",L65,IF(K65&lt;&gt;"",Z65*K65,0)),0)</f>
        <v>0</v>
      </c>
      <c r="AF65" s="19" t="n">
        <f aca="false">IF(E65="SPRZEDAŻ",IF(M65&lt;&gt;"",Z65*M65,0),0)</f>
        <v>0</v>
      </c>
      <c r="AG65" s="19" t="str">
        <f aca="false">IF(R65="","",IF(LOWER(R65)="brak","Brak",IF(OR(ISNUMBER(SEARCH("ric pl",LOWER(R65))),ISNUMBER(SEARCH("wojciechowski",LOWER(R65)))),"Własny","Zewnętrzny")))</f>
        <v>Zewnętrzny</v>
      </c>
      <c r="AH65" s="19" t="n">
        <f aca="false">Z65*Q65</f>
        <v>0</v>
      </c>
      <c r="AI65" s="19" t="str">
        <f aca="false">UPPER(TEXT(C65,"mmmm"))</f>
        <v>JULY</v>
      </c>
      <c r="AJ65" s="19" t="str">
        <f aca="false">IF(C65="","",TEXT(C65,"rrrr"))</f>
        <v>CE5786CE5786</v>
      </c>
      <c r="AK65" s="10"/>
      <c r="AL65" s="11" t="n">
        <v>200</v>
      </c>
      <c r="AM65" s="10" t="s">
        <v>176</v>
      </c>
      <c r="AN65" s="10" t="s">
        <v>49</v>
      </c>
      <c r="AO65" s="10"/>
      <c r="AP65" s="10"/>
      <c r="AQ65" s="10"/>
      <c r="AR65" s="10" t="s">
        <v>66</v>
      </c>
      <c r="AS65" s="10"/>
      <c r="AT65" s="15" t="n">
        <v>1</v>
      </c>
    </row>
    <row r="66" customFormat="false" ht="28.5" hidden="false" customHeight="true" outlineLevel="0" collapsed="false">
      <c r="A66" s="12" t="n">
        <v>46217</v>
      </c>
      <c r="B66" s="12" t="s">
        <v>106</v>
      </c>
      <c r="C66" s="12" t="n">
        <v>46217</v>
      </c>
      <c r="D66" s="10" t="s">
        <v>106</v>
      </c>
      <c r="E66" s="10" t="s">
        <v>107</v>
      </c>
      <c r="F66" s="21" t="s">
        <v>177</v>
      </c>
      <c r="G66" s="14" t="s">
        <v>49</v>
      </c>
      <c r="H66" s="10"/>
      <c r="I66" s="15" t="n">
        <v>86</v>
      </c>
      <c r="J66" s="10" t="s">
        <v>51</v>
      </c>
      <c r="K66" s="15" t="n">
        <v>0</v>
      </c>
      <c r="L66" s="11" t="n">
        <v>0</v>
      </c>
      <c r="M66" s="11" t="n">
        <v>0</v>
      </c>
      <c r="N66" s="10" t="s">
        <v>52</v>
      </c>
      <c r="O66" s="10" t="s">
        <v>67</v>
      </c>
      <c r="P66" s="10"/>
      <c r="Q66" s="16" t="n">
        <v>0</v>
      </c>
      <c r="R66" s="10" t="s">
        <v>68</v>
      </c>
      <c r="S66" s="10" t="s">
        <v>69</v>
      </c>
      <c r="T66" s="10" t="n">
        <v>40</v>
      </c>
      <c r="U66" s="11" t="n">
        <f aca="false">IF(E66="TRANSPORT",IF(T66="","",T66*5),IF(AL66="","",AL66))</f>
        <v>200</v>
      </c>
      <c r="V66" s="10" t="s">
        <v>54</v>
      </c>
      <c r="W66" s="15" t="s">
        <v>70</v>
      </c>
      <c r="X66" s="15" t="s">
        <v>106</v>
      </c>
      <c r="Y66" s="17" t="n">
        <v>46218.3292476852</v>
      </c>
      <c r="Z66" s="18" t="n">
        <f aca="false">IF(I66="",0,IF(ISNUMBER(SEARCH("mp",LOWER(J66))),I66,IF(ISNUMBER(SEARCH("ton",LOWER(J66))),I66/0.33,IF(ISNUMBER(SEARCH("m3",LOWER(J66))),I66*4,I66))))</f>
        <v>86</v>
      </c>
      <c r="AA66" s="18" t="n">
        <f aca="false">IF(I66="",0,IF(ISNUMBER(SEARCH("mp",LOWER(J66))),I66*0.33,IF(ISNUMBER(SEARCH("ton",LOWER(J66))),I66,I66*0.33)))</f>
        <v>28.38</v>
      </c>
      <c r="AB66" s="18" t="n">
        <f aca="false">Tabela_dane[[#This Row],[Wolumen_t]]*8.5</f>
        <v>241.23</v>
      </c>
      <c r="AC66" s="18" t="n">
        <f aca="false">IF(G66&lt;&gt;"TAK",0,IF(OR(E66="ZAKUP",E66="PRODUKCJA"),Z66,IF(OR(E66="SPRZEDAŻ",E66="ZUŻYCIE"),-Z66,0)))</f>
        <v>0</v>
      </c>
      <c r="AD66" s="18" t="n">
        <f aca="false">IF(G66&lt;&gt;"TAK",0,IF(OR(E66="ZAKUP",E66="PRODUKCJA"),AA66,IF(OR(E66="SPRZEDAŻ",E66="ZUŻYCIE"),-AA66,0)))</f>
        <v>0</v>
      </c>
      <c r="AE66" s="19" t="n">
        <f aca="false">IF(E66="ZAKUP",IF(L66&lt;&gt;"",L66,IF(K66&lt;&gt;"",Z66*K66,0)),0)</f>
        <v>0</v>
      </c>
      <c r="AF66" s="19" t="n">
        <f aca="false">IF(E66="SPRZEDAŻ",IF(M66&lt;&gt;"",Z66*M66,0),0)</f>
        <v>0</v>
      </c>
      <c r="AG66" s="19" t="str">
        <f aca="false">IF(R66="","",IF(LOWER(R66)="brak","Brak",IF(OR(ISNUMBER(SEARCH("ric pl",LOWER(R66))),ISNUMBER(SEARCH("wojciechowski",LOWER(R66)))),"Własny","Zewnętrzny")))</f>
        <v>Zewnętrzny</v>
      </c>
      <c r="AH66" s="19" t="n">
        <f aca="false">Z66*Q66</f>
        <v>0</v>
      </c>
      <c r="AI66" s="19" t="str">
        <f aca="false">UPPER(TEXT(C66,"mmmm"))</f>
        <v>JULY</v>
      </c>
      <c r="AJ66" s="19" t="str">
        <f aca="false">IF(C66="","",TEXT(C66,"rrrr"))</f>
        <v>CE5786CE5786</v>
      </c>
      <c r="AK66" s="10"/>
      <c r="AL66" s="11" t="n">
        <v>200</v>
      </c>
      <c r="AM66" s="10" t="s">
        <v>178</v>
      </c>
      <c r="AN66" s="10" t="s">
        <v>49</v>
      </c>
      <c r="AO66" s="10"/>
      <c r="AP66" s="10"/>
      <c r="AQ66" s="10"/>
      <c r="AR66" s="10" t="s">
        <v>66</v>
      </c>
      <c r="AS66" s="10"/>
      <c r="AT66" s="15" t="n">
        <v>1</v>
      </c>
    </row>
    <row r="67" customFormat="false" ht="28.5" hidden="false" customHeight="true" outlineLevel="0" collapsed="false">
      <c r="A67" s="12" t="n">
        <v>46218</v>
      </c>
      <c r="B67" s="12" t="s">
        <v>106</v>
      </c>
      <c r="C67" s="12" t="n">
        <v>46218</v>
      </c>
      <c r="D67" s="10" t="s">
        <v>106</v>
      </c>
      <c r="E67" s="10" t="s">
        <v>107</v>
      </c>
      <c r="F67" s="21" t="s">
        <v>179</v>
      </c>
      <c r="G67" s="14" t="s">
        <v>49</v>
      </c>
      <c r="H67" s="10"/>
      <c r="I67" s="15" t="n">
        <v>88</v>
      </c>
      <c r="J67" s="10" t="s">
        <v>51</v>
      </c>
      <c r="K67" s="15" t="n">
        <v>0</v>
      </c>
      <c r="L67" s="11" t="n">
        <v>0</v>
      </c>
      <c r="M67" s="11" t="n">
        <v>0</v>
      </c>
      <c r="N67" s="10" t="s">
        <v>52</v>
      </c>
      <c r="O67" s="10" t="s">
        <v>67</v>
      </c>
      <c r="P67" s="10"/>
      <c r="Q67" s="16" t="n">
        <v>0</v>
      </c>
      <c r="R67" s="10" t="s">
        <v>68</v>
      </c>
      <c r="S67" s="10" t="s">
        <v>69</v>
      </c>
      <c r="T67" s="10" t="n">
        <v>40</v>
      </c>
      <c r="U67" s="11" t="n">
        <f aca="false">IF(E67="TRANSPORT",IF(T67="","",T67*5),IF(AL67="","",AL67))</f>
        <v>200</v>
      </c>
      <c r="V67" s="10" t="s">
        <v>54</v>
      </c>
      <c r="W67" s="15" t="s">
        <v>70</v>
      </c>
      <c r="X67" s="15" t="s">
        <v>106</v>
      </c>
      <c r="Y67" s="17" t="n">
        <v>46218.3308564815</v>
      </c>
      <c r="Z67" s="18" t="n">
        <f aca="false">IF(I67="",0,IF(ISNUMBER(SEARCH("mp",LOWER(J67))),I67,IF(ISNUMBER(SEARCH("ton",LOWER(J67))),I67/0.33,IF(ISNUMBER(SEARCH("m3",LOWER(J67))),I67*4,I67))))</f>
        <v>88</v>
      </c>
      <c r="AA67" s="18" t="n">
        <f aca="false">IF(I67="",0,IF(ISNUMBER(SEARCH("mp",LOWER(J67))),I67*0.33,IF(ISNUMBER(SEARCH("ton",LOWER(J67))),I67,I67*0.33)))</f>
        <v>29.04</v>
      </c>
      <c r="AB67" s="18" t="n">
        <f aca="false">Tabela_dane[[#This Row],[Wolumen_t]]*8.5</f>
        <v>246.84</v>
      </c>
      <c r="AC67" s="18" t="n">
        <f aca="false">IF(G67&lt;&gt;"TAK",0,IF(OR(E67="ZAKUP",E67="PRODUKCJA"),Z67,IF(OR(E67="SPRZEDAŻ",E67="ZUŻYCIE"),-Z67,0)))</f>
        <v>0</v>
      </c>
      <c r="AD67" s="18" t="n">
        <f aca="false">IF(G67&lt;&gt;"TAK",0,IF(OR(E67="ZAKUP",E67="PRODUKCJA"),AA67,IF(OR(E67="SPRZEDAŻ",E67="ZUŻYCIE"),-AA67,0)))</f>
        <v>0</v>
      </c>
      <c r="AE67" s="19" t="n">
        <f aca="false">IF(E67="ZAKUP",IF(L67&lt;&gt;"",L67,IF(K67&lt;&gt;"",Z67*K67,0)),0)</f>
        <v>0</v>
      </c>
      <c r="AF67" s="19" t="n">
        <f aca="false">IF(E67="SPRZEDAŻ",IF(M67&lt;&gt;"",Z67*M67,0),0)</f>
        <v>0</v>
      </c>
      <c r="AG67" s="19" t="str">
        <f aca="false">IF(R67="","",IF(LOWER(R67)="brak","Brak",IF(OR(ISNUMBER(SEARCH("ric pl",LOWER(R67))),ISNUMBER(SEARCH("wojciechowski",LOWER(R67)))),"Własny","Zewnętrzny")))</f>
        <v>Zewnętrzny</v>
      </c>
      <c r="AH67" s="19" t="n">
        <f aca="false">Z67*Q67</f>
        <v>0</v>
      </c>
      <c r="AI67" s="19" t="str">
        <f aca="false">UPPER(TEXT(C67,"mmmm"))</f>
        <v>JULY</v>
      </c>
      <c r="AJ67" s="19" t="str">
        <f aca="false">IF(C67="","",TEXT(C67,"rrrr"))</f>
        <v>CE5786CE5786</v>
      </c>
      <c r="AK67" s="10"/>
      <c r="AL67" s="11" t="n">
        <v>200</v>
      </c>
      <c r="AM67" s="10" t="s">
        <v>180</v>
      </c>
      <c r="AN67" s="10" t="s">
        <v>49</v>
      </c>
      <c r="AO67" s="10"/>
      <c r="AP67" s="10"/>
      <c r="AQ67" s="10"/>
      <c r="AR67" s="10" t="s">
        <v>66</v>
      </c>
      <c r="AS67" s="10"/>
      <c r="AT67" s="15" t="n">
        <v>1</v>
      </c>
    </row>
    <row r="68" customFormat="false" ht="28.5" hidden="false" customHeight="true" outlineLevel="0" collapsed="false">
      <c r="A68" s="12" t="n">
        <v>46218</v>
      </c>
      <c r="B68" s="12" t="s">
        <v>106</v>
      </c>
      <c r="C68" s="12" t="n">
        <v>46218</v>
      </c>
      <c r="D68" s="10" t="s">
        <v>106</v>
      </c>
      <c r="E68" s="10" t="s">
        <v>107</v>
      </c>
      <c r="F68" s="21" t="s">
        <v>181</v>
      </c>
      <c r="G68" s="14" t="s">
        <v>49</v>
      </c>
      <c r="H68" s="10"/>
      <c r="I68" s="15" t="n">
        <v>87</v>
      </c>
      <c r="J68" s="10" t="s">
        <v>51</v>
      </c>
      <c r="K68" s="15" t="n">
        <v>0</v>
      </c>
      <c r="L68" s="11" t="n">
        <v>0</v>
      </c>
      <c r="M68" s="11" t="n">
        <v>0</v>
      </c>
      <c r="N68" s="10" t="s">
        <v>52</v>
      </c>
      <c r="O68" s="10" t="s">
        <v>67</v>
      </c>
      <c r="P68" s="10"/>
      <c r="Q68" s="16" t="n">
        <v>0</v>
      </c>
      <c r="R68" s="10" t="s">
        <v>182</v>
      </c>
      <c r="S68" s="10" t="s">
        <v>95</v>
      </c>
      <c r="T68" s="10" t="n">
        <v>40</v>
      </c>
      <c r="U68" s="11" t="n">
        <f aca="false">IF(E68="TRANSPORT",IF(T68="","",T68*5),IF(AL68="","",AL68))</f>
        <v>200</v>
      </c>
      <c r="V68" s="10" t="s">
        <v>54</v>
      </c>
      <c r="W68" s="15" t="s">
        <v>65</v>
      </c>
      <c r="X68" s="15" t="s">
        <v>106</v>
      </c>
      <c r="Y68" s="17" t="n">
        <v>46218.3316087963</v>
      </c>
      <c r="Z68" s="18" t="n">
        <f aca="false">IF(I68="",0,IF(ISNUMBER(SEARCH("mp",LOWER(J68))),I68,IF(ISNUMBER(SEARCH("ton",LOWER(J68))),I68/0.33,IF(ISNUMBER(SEARCH("m3",LOWER(J68))),I68*4,I68))))</f>
        <v>87</v>
      </c>
      <c r="AA68" s="18" t="n">
        <f aca="false">IF(I68="",0,IF(ISNUMBER(SEARCH("mp",LOWER(J68))),I68*0.33,IF(ISNUMBER(SEARCH("ton",LOWER(J68))),I68,I68*0.33)))</f>
        <v>28.71</v>
      </c>
      <c r="AB68" s="18" t="n">
        <f aca="false">Tabela_dane[[#This Row],[Wolumen_t]]*8.5</f>
        <v>244.035</v>
      </c>
      <c r="AC68" s="18" t="n">
        <f aca="false">IF(G68&lt;&gt;"TAK",0,IF(OR(E68="ZAKUP",E68="PRODUKCJA"),Z68,IF(OR(E68="SPRZEDAŻ",E68="ZUŻYCIE"),-Z68,0)))</f>
        <v>0</v>
      </c>
      <c r="AD68" s="18" t="n">
        <f aca="false">IF(G68&lt;&gt;"TAK",0,IF(OR(E68="ZAKUP",E68="PRODUKCJA"),AA68,IF(OR(E68="SPRZEDAŻ",E68="ZUŻYCIE"),-AA68,0)))</f>
        <v>0</v>
      </c>
      <c r="AE68" s="19" t="n">
        <f aca="false">IF(E68="ZAKUP",IF(L68&lt;&gt;"",L68,IF(K68&lt;&gt;"",Z68*K68,0)),0)</f>
        <v>0</v>
      </c>
      <c r="AF68" s="19" t="n">
        <f aca="false">IF(E68="SPRZEDAŻ",IF(M68&lt;&gt;"",Z68*M68,0),0)</f>
        <v>0</v>
      </c>
      <c r="AG68" s="19" t="str">
        <f aca="false">IF(R68="","",IF(LOWER(R68)="brak","Brak",IF(OR(ISNUMBER(SEARCH("ric pl",LOWER(R68))),ISNUMBER(SEARCH("wojciechowski",LOWER(R68)))),"Własny","Zewnętrzny")))</f>
        <v>Zewnętrzny</v>
      </c>
      <c r="AH68" s="19" t="n">
        <f aca="false">Z68*Q68</f>
        <v>0</v>
      </c>
      <c r="AI68" s="19" t="str">
        <f aca="false">UPPER(TEXT(C68,"mmmm"))</f>
        <v>JULY</v>
      </c>
      <c r="AJ68" s="19" t="str">
        <f aca="false">IF(C68="","",TEXT(C68,"rrrr"))</f>
        <v>CE5786CE5786</v>
      </c>
      <c r="AK68" s="10"/>
      <c r="AL68" s="11" t="n">
        <v>200</v>
      </c>
      <c r="AM68" s="10" t="s">
        <v>183</v>
      </c>
      <c r="AN68" s="10" t="s">
        <v>49</v>
      </c>
      <c r="AO68" s="10"/>
      <c r="AP68" s="10"/>
      <c r="AQ68" s="10"/>
      <c r="AR68" s="10" t="s">
        <v>66</v>
      </c>
      <c r="AS68" s="10"/>
      <c r="AT68" s="15" t="n">
        <v>1</v>
      </c>
    </row>
    <row r="69" customFormat="false" ht="28.5" hidden="false" customHeight="true" outlineLevel="0" collapsed="false">
      <c r="A69" s="12" t="n">
        <v>46218</v>
      </c>
      <c r="B69" s="12" t="s">
        <v>106</v>
      </c>
      <c r="C69" s="12" t="n">
        <v>46218</v>
      </c>
      <c r="D69" s="10" t="s">
        <v>106</v>
      </c>
      <c r="E69" s="10" t="s">
        <v>107</v>
      </c>
      <c r="F69" s="21" t="s">
        <v>184</v>
      </c>
      <c r="G69" s="14" t="s">
        <v>49</v>
      </c>
      <c r="H69" s="10"/>
      <c r="I69" s="15" t="n">
        <v>87</v>
      </c>
      <c r="J69" s="10" t="s">
        <v>51</v>
      </c>
      <c r="K69" s="15" t="n">
        <v>0</v>
      </c>
      <c r="L69" s="11" t="n">
        <v>0</v>
      </c>
      <c r="M69" s="11" t="n">
        <v>0</v>
      </c>
      <c r="N69" s="10" t="s">
        <v>52</v>
      </c>
      <c r="O69" s="10" t="s">
        <v>67</v>
      </c>
      <c r="P69" s="10"/>
      <c r="Q69" s="16" t="n">
        <v>0</v>
      </c>
      <c r="R69" s="10" t="s">
        <v>68</v>
      </c>
      <c r="S69" s="10" t="s">
        <v>69</v>
      </c>
      <c r="T69" s="10" t="n">
        <v>40</v>
      </c>
      <c r="U69" s="11" t="n">
        <f aca="false">IF(E69="TRANSPORT",IF(T69="","",T69*5),IF(AL69="","",AL69))</f>
        <v>200</v>
      </c>
      <c r="V69" s="10" t="s">
        <v>54</v>
      </c>
      <c r="W69" s="15" t="s">
        <v>65</v>
      </c>
      <c r="X69" s="15" t="s">
        <v>106</v>
      </c>
      <c r="Y69" s="17" t="n">
        <v>46218.4710300926</v>
      </c>
      <c r="Z69" s="18" t="n">
        <f aca="false">IF(I69="",0,IF(ISNUMBER(SEARCH("mp",LOWER(J69))),I69,IF(ISNUMBER(SEARCH("ton",LOWER(J69))),I69/0.33,IF(ISNUMBER(SEARCH("m3",LOWER(J69))),I69*4,I69))))</f>
        <v>87</v>
      </c>
      <c r="AA69" s="18" t="n">
        <f aca="false">IF(I69="",0,IF(ISNUMBER(SEARCH("mp",LOWER(J69))),I69*0.33,IF(ISNUMBER(SEARCH("ton",LOWER(J69))),I69,I69*0.33)))</f>
        <v>28.71</v>
      </c>
      <c r="AB69" s="18" t="n">
        <f aca="false">Tabela_dane[[#This Row],[Wolumen_t]]*8.5</f>
        <v>244.035</v>
      </c>
      <c r="AC69" s="18" t="n">
        <f aca="false">IF(G69&lt;&gt;"TAK",0,IF(OR(E69="ZAKUP",E69="PRODUKCJA"),Z69,IF(OR(E69="SPRZEDAŻ",E69="ZUŻYCIE"),-Z69,0)))</f>
        <v>0</v>
      </c>
      <c r="AD69" s="18" t="n">
        <f aca="false">IF(G69&lt;&gt;"TAK",0,IF(OR(E69="ZAKUP",E69="PRODUKCJA"),AA69,IF(OR(E69="SPRZEDAŻ",E69="ZUŻYCIE"),-AA69,0)))</f>
        <v>0</v>
      </c>
      <c r="AE69" s="19" t="n">
        <f aca="false">IF(E69="ZAKUP",IF(L69&lt;&gt;"",L69,IF(K69&lt;&gt;"",Z69*K69,0)),0)</f>
        <v>0</v>
      </c>
      <c r="AF69" s="19" t="n">
        <f aca="false">IF(E69="SPRZEDAŻ",IF(M69&lt;&gt;"",Z69*M69,0),0)</f>
        <v>0</v>
      </c>
      <c r="AG69" s="19" t="str">
        <f aca="false">IF(R69="","",IF(LOWER(R69)="brak","Brak",IF(OR(ISNUMBER(SEARCH("ric pl",LOWER(R69))),ISNUMBER(SEARCH("wojciechowski",LOWER(R69)))),"Własny","Zewnętrzny")))</f>
        <v>Zewnętrzny</v>
      </c>
      <c r="AH69" s="19" t="n">
        <f aca="false">Z69*Q69</f>
        <v>0</v>
      </c>
      <c r="AI69" s="19" t="str">
        <f aca="false">UPPER(TEXT(C69,"mmmm"))</f>
        <v>JULY</v>
      </c>
      <c r="AJ69" s="19" t="str">
        <f aca="false">IF(C69="","",TEXT(C69,"rrrr"))</f>
        <v>CE5786CE5786</v>
      </c>
      <c r="AK69" s="10"/>
      <c r="AL69" s="11" t="n">
        <v>200</v>
      </c>
      <c r="AM69" s="10" t="s">
        <v>185</v>
      </c>
      <c r="AN69" s="10" t="s">
        <v>49</v>
      </c>
      <c r="AO69" s="10"/>
      <c r="AP69" s="10"/>
      <c r="AQ69" s="10"/>
      <c r="AR69" s="10" t="s">
        <v>66</v>
      </c>
      <c r="AS69" s="10"/>
      <c r="AT69" s="15" t="n">
        <v>1</v>
      </c>
    </row>
    <row r="70" customFormat="false" ht="28.5" hidden="false" customHeight="true" outlineLevel="0" collapsed="false">
      <c r="A70" s="12" t="n">
        <v>46218</v>
      </c>
      <c r="B70" s="12" t="s">
        <v>106</v>
      </c>
      <c r="C70" s="12" t="n">
        <v>46218</v>
      </c>
      <c r="D70" s="10" t="s">
        <v>106</v>
      </c>
      <c r="E70" s="10" t="s">
        <v>107</v>
      </c>
      <c r="F70" s="21" t="s">
        <v>186</v>
      </c>
      <c r="G70" s="14" t="s">
        <v>49</v>
      </c>
      <c r="H70" s="10"/>
      <c r="I70" s="15" t="n">
        <v>85</v>
      </c>
      <c r="J70" s="10" t="s">
        <v>51</v>
      </c>
      <c r="K70" s="15" t="n">
        <v>0</v>
      </c>
      <c r="L70" s="11" t="n">
        <v>0</v>
      </c>
      <c r="M70" s="11" t="n">
        <v>0</v>
      </c>
      <c r="N70" s="10" t="s">
        <v>52</v>
      </c>
      <c r="O70" s="10" t="s">
        <v>67</v>
      </c>
      <c r="P70" s="10"/>
      <c r="Q70" s="16" t="n">
        <v>0</v>
      </c>
      <c r="R70" s="10" t="s">
        <v>182</v>
      </c>
      <c r="S70" s="10" t="s">
        <v>95</v>
      </c>
      <c r="T70" s="10" t="n">
        <v>40</v>
      </c>
      <c r="U70" s="11" t="n">
        <f aca="false">IF(E70="TRANSPORT",IF(T70="","",T70*5),IF(AL70="","",AL70))</f>
        <v>200</v>
      </c>
      <c r="V70" s="10" t="s">
        <v>54</v>
      </c>
      <c r="W70" s="15" t="s">
        <v>65</v>
      </c>
      <c r="X70" s="15" t="s">
        <v>106</v>
      </c>
      <c r="Y70" s="17" t="n">
        <v>46218.4716087963</v>
      </c>
      <c r="Z70" s="18" t="n">
        <f aca="false">IF(I70="",0,IF(ISNUMBER(SEARCH("mp",LOWER(J70))),I70,IF(ISNUMBER(SEARCH("ton",LOWER(J70))),I70/0.33,IF(ISNUMBER(SEARCH("m3",LOWER(J70))),I70*4,I70))))</f>
        <v>85</v>
      </c>
      <c r="AA70" s="18" t="n">
        <f aca="false">IF(I70="",0,IF(ISNUMBER(SEARCH("mp",LOWER(J70))),I70*0.33,IF(ISNUMBER(SEARCH("ton",LOWER(J70))),I70,I70*0.33)))</f>
        <v>28.05</v>
      </c>
      <c r="AB70" s="18" t="n">
        <f aca="false">Tabela_dane[[#This Row],[Wolumen_t]]*8.5</f>
        <v>238.425</v>
      </c>
      <c r="AC70" s="18" t="n">
        <f aca="false">IF(G70&lt;&gt;"TAK",0,IF(OR(E70="ZAKUP",E70="PRODUKCJA"),Z70,IF(OR(E70="SPRZEDAŻ",E70="ZUŻYCIE"),-Z70,0)))</f>
        <v>0</v>
      </c>
      <c r="AD70" s="18" t="n">
        <f aca="false">IF(G70&lt;&gt;"TAK",0,IF(OR(E70="ZAKUP",E70="PRODUKCJA"),AA70,IF(OR(E70="SPRZEDAŻ",E70="ZUŻYCIE"),-AA70,0)))</f>
        <v>0</v>
      </c>
      <c r="AE70" s="19" t="n">
        <f aca="false">IF(E70="ZAKUP",IF(L70&lt;&gt;"",L70,IF(K70&lt;&gt;"",Z70*K70,0)),0)</f>
        <v>0</v>
      </c>
      <c r="AF70" s="19" t="n">
        <f aca="false">IF(E70="SPRZEDAŻ",IF(M70&lt;&gt;"",Z70*M70,0),0)</f>
        <v>0</v>
      </c>
      <c r="AG70" s="19" t="str">
        <f aca="false">IF(R70="","",IF(LOWER(R70)="brak","Brak",IF(OR(ISNUMBER(SEARCH("ric pl",LOWER(R70))),ISNUMBER(SEARCH("wojciechowski",LOWER(R70)))),"Własny","Zewnętrzny")))</f>
        <v>Zewnętrzny</v>
      </c>
      <c r="AH70" s="19" t="n">
        <f aca="false">Z70*Q70</f>
        <v>0</v>
      </c>
      <c r="AI70" s="19" t="str">
        <f aca="false">UPPER(TEXT(C70,"mmmm"))</f>
        <v>JULY</v>
      </c>
      <c r="AJ70" s="19" t="str">
        <f aca="false">IF(C70="","",TEXT(C70,"rrrr"))</f>
        <v>CE5786CE5786</v>
      </c>
      <c r="AK70" s="10"/>
      <c r="AL70" s="11" t="n">
        <v>200</v>
      </c>
      <c r="AM70" s="10" t="s">
        <v>187</v>
      </c>
      <c r="AN70" s="10" t="s">
        <v>49</v>
      </c>
      <c r="AO70" s="10"/>
      <c r="AP70" s="10"/>
      <c r="AQ70" s="10"/>
      <c r="AR70" s="10" t="s">
        <v>66</v>
      </c>
      <c r="AS70" s="10"/>
      <c r="AT70" s="15" t="n">
        <v>1</v>
      </c>
    </row>
    <row r="71" customFormat="false" ht="28.5" hidden="false" customHeight="true" outlineLevel="0" collapsed="false">
      <c r="A71" s="12" t="n">
        <v>46218</v>
      </c>
      <c r="B71" s="12" t="s">
        <v>106</v>
      </c>
      <c r="C71" s="12" t="n">
        <v>46218</v>
      </c>
      <c r="D71" s="10" t="s">
        <v>106</v>
      </c>
      <c r="E71" s="10" t="s">
        <v>107</v>
      </c>
      <c r="F71" s="21" t="s">
        <v>188</v>
      </c>
      <c r="G71" s="14" t="s">
        <v>49</v>
      </c>
      <c r="H71" s="10"/>
      <c r="I71" s="15" t="n">
        <v>90</v>
      </c>
      <c r="J71" s="10" t="s">
        <v>51</v>
      </c>
      <c r="K71" s="15" t="n">
        <v>0</v>
      </c>
      <c r="L71" s="11" t="n">
        <v>0</v>
      </c>
      <c r="M71" s="11" t="n">
        <v>0</v>
      </c>
      <c r="N71" s="10" t="s">
        <v>52</v>
      </c>
      <c r="O71" s="10" t="s">
        <v>67</v>
      </c>
      <c r="P71" s="10"/>
      <c r="Q71" s="16" t="n">
        <v>0</v>
      </c>
      <c r="R71" s="10" t="s">
        <v>68</v>
      </c>
      <c r="S71" s="10" t="s">
        <v>69</v>
      </c>
      <c r="T71" s="10" t="n">
        <v>40</v>
      </c>
      <c r="U71" s="11" t="n">
        <f aca="false">IF(E71="TRANSPORT",IF(T71="","",T71*5),IF(AL71="","",AL71))</f>
        <v>200</v>
      </c>
      <c r="V71" s="10" t="s">
        <v>54</v>
      </c>
      <c r="W71" s="15" t="s">
        <v>70</v>
      </c>
      <c r="X71" s="15" t="s">
        <v>106</v>
      </c>
      <c r="Y71" s="17" t="n">
        <v>46218.5489236111</v>
      </c>
      <c r="Z71" s="18" t="n">
        <f aca="false">IF(I71="",0,IF(ISNUMBER(SEARCH("mp",LOWER(J71))),I71,IF(ISNUMBER(SEARCH("ton",LOWER(J71))),I71/0.33,IF(ISNUMBER(SEARCH("m3",LOWER(J71))),I71*4,I71))))</f>
        <v>90</v>
      </c>
      <c r="AA71" s="18" t="n">
        <f aca="false">IF(I71="",0,IF(ISNUMBER(SEARCH("mp",LOWER(J71))),I71*0.33,IF(ISNUMBER(SEARCH("ton",LOWER(J71))),I71,I71*0.33)))</f>
        <v>29.7</v>
      </c>
      <c r="AB71" s="18" t="n">
        <f aca="false">Tabela_dane[[#This Row],[Wolumen_t]]*8.5</f>
        <v>252.45</v>
      </c>
      <c r="AC71" s="18" t="n">
        <f aca="false">IF(G71&lt;&gt;"TAK",0,IF(OR(E71="ZAKUP",E71="PRODUKCJA"),Z71,IF(OR(E71="SPRZEDAŻ",E71="ZUŻYCIE"),-Z71,0)))</f>
        <v>0</v>
      </c>
      <c r="AD71" s="18" t="n">
        <f aca="false">IF(G71&lt;&gt;"TAK",0,IF(OR(E71="ZAKUP",E71="PRODUKCJA"),AA71,IF(OR(E71="SPRZEDAŻ",E71="ZUŻYCIE"),-AA71,0)))</f>
        <v>0</v>
      </c>
      <c r="AE71" s="19" t="n">
        <f aca="false">IF(E71="ZAKUP",IF(L71&lt;&gt;"",L71,IF(K71&lt;&gt;"",Z71*K71,0)),0)</f>
        <v>0</v>
      </c>
      <c r="AF71" s="19" t="n">
        <f aca="false">IF(E71="SPRZEDAŻ",IF(M71&lt;&gt;"",Z71*M71,0),0)</f>
        <v>0</v>
      </c>
      <c r="AG71" s="19" t="str">
        <f aca="false">IF(R71="","",IF(LOWER(R71)="brak","Brak",IF(OR(ISNUMBER(SEARCH("ric pl",LOWER(R71))),ISNUMBER(SEARCH("wojciechowski",LOWER(R71)))),"Własny","Zewnętrzny")))</f>
        <v>Zewnętrzny</v>
      </c>
      <c r="AH71" s="19" t="n">
        <f aca="false">Z71*Q71</f>
        <v>0</v>
      </c>
      <c r="AI71" s="19" t="str">
        <f aca="false">UPPER(TEXT(C71,"mmmm"))</f>
        <v>JULY</v>
      </c>
      <c r="AJ71" s="19" t="str">
        <f aca="false">IF(C71="","",TEXT(C71,"rrrr"))</f>
        <v>CE5786CE5786</v>
      </c>
      <c r="AK71" s="10"/>
      <c r="AL71" s="11" t="n">
        <v>200</v>
      </c>
      <c r="AM71" s="10" t="s">
        <v>189</v>
      </c>
      <c r="AN71" s="10" t="s">
        <v>49</v>
      </c>
      <c r="AO71" s="10"/>
      <c r="AP71" s="10"/>
      <c r="AQ71" s="10"/>
      <c r="AR71" s="10" t="s">
        <v>66</v>
      </c>
      <c r="AS71" s="10"/>
      <c r="AT71" s="15" t="n">
        <v>1</v>
      </c>
    </row>
    <row r="72" customFormat="false" ht="28.5" hidden="false" customHeight="true" outlineLevel="0" collapsed="false">
      <c r="A72" s="12" t="n">
        <v>46218</v>
      </c>
      <c r="B72" s="12" t="s">
        <v>106</v>
      </c>
      <c r="C72" s="12" t="n">
        <v>46218</v>
      </c>
      <c r="D72" s="10" t="s">
        <v>106</v>
      </c>
      <c r="E72" s="10" t="s">
        <v>107</v>
      </c>
      <c r="F72" s="21" t="s">
        <v>190</v>
      </c>
      <c r="G72" s="14" t="s">
        <v>49</v>
      </c>
      <c r="H72" s="10"/>
      <c r="I72" s="15" t="n">
        <v>87</v>
      </c>
      <c r="J72" s="10" t="s">
        <v>51</v>
      </c>
      <c r="K72" s="15" t="n">
        <v>0</v>
      </c>
      <c r="L72" s="11" t="n">
        <v>0</v>
      </c>
      <c r="M72" s="11" t="n">
        <v>0</v>
      </c>
      <c r="N72" s="10" t="s">
        <v>52</v>
      </c>
      <c r="O72" s="10" t="s">
        <v>67</v>
      </c>
      <c r="P72" s="10"/>
      <c r="Q72" s="16" t="n">
        <v>0</v>
      </c>
      <c r="R72" s="10" t="s">
        <v>182</v>
      </c>
      <c r="S72" s="10" t="s">
        <v>95</v>
      </c>
      <c r="T72" s="10" t="n">
        <v>40</v>
      </c>
      <c r="U72" s="11" t="n">
        <f aca="false">IF(E72="TRANSPORT",IF(T72="","",T72*5),IF(AL72="","",AL72))</f>
        <v>200</v>
      </c>
      <c r="V72" s="10" t="s">
        <v>54</v>
      </c>
      <c r="W72" s="15" t="s">
        <v>65</v>
      </c>
      <c r="X72" s="15" t="s">
        <v>106</v>
      </c>
      <c r="Y72" s="17" t="n">
        <v>46218.5496643519</v>
      </c>
      <c r="Z72" s="18" t="n">
        <f aca="false">IF(I72="",0,IF(ISNUMBER(SEARCH("mp",LOWER(J72))),I72,IF(ISNUMBER(SEARCH("ton",LOWER(J72))),I72/0.33,IF(ISNUMBER(SEARCH("m3",LOWER(J72))),I72*4,I72))))</f>
        <v>87</v>
      </c>
      <c r="AA72" s="18" t="n">
        <f aca="false">IF(I72="",0,IF(ISNUMBER(SEARCH("mp",LOWER(J72))),I72*0.33,IF(ISNUMBER(SEARCH("ton",LOWER(J72))),I72,I72*0.33)))</f>
        <v>28.71</v>
      </c>
      <c r="AB72" s="18" t="n">
        <f aca="false">Tabela_dane[[#This Row],[Wolumen_t]]*8.5</f>
        <v>244.035</v>
      </c>
      <c r="AC72" s="18" t="n">
        <f aca="false">IF(G72&lt;&gt;"TAK",0,IF(OR(E72="ZAKUP",E72="PRODUKCJA"),Z72,IF(OR(E72="SPRZEDAŻ",E72="ZUŻYCIE"),-Z72,0)))</f>
        <v>0</v>
      </c>
      <c r="AD72" s="18" t="n">
        <f aca="false">IF(G72&lt;&gt;"TAK",0,IF(OR(E72="ZAKUP",E72="PRODUKCJA"),AA72,IF(OR(E72="SPRZEDAŻ",E72="ZUŻYCIE"),-AA72,0)))</f>
        <v>0</v>
      </c>
      <c r="AE72" s="19" t="n">
        <f aca="false">IF(E72="ZAKUP",IF(L72&lt;&gt;"",L72,IF(K72&lt;&gt;"",Z72*K72,0)),0)</f>
        <v>0</v>
      </c>
      <c r="AF72" s="19" t="n">
        <f aca="false">IF(E72="SPRZEDAŻ",IF(M72&lt;&gt;"",Z72*M72,0),0)</f>
        <v>0</v>
      </c>
      <c r="AG72" s="19" t="str">
        <f aca="false">IF(R72="","",IF(LOWER(R72)="brak","Brak",IF(OR(ISNUMBER(SEARCH("ric pl",LOWER(R72))),ISNUMBER(SEARCH("wojciechowski",LOWER(R72)))),"Własny","Zewnętrzny")))</f>
        <v>Zewnętrzny</v>
      </c>
      <c r="AH72" s="19" t="n">
        <f aca="false">Z72*Q72</f>
        <v>0</v>
      </c>
      <c r="AI72" s="19" t="str">
        <f aca="false">UPPER(TEXT(C72,"mmmm"))</f>
        <v>JULY</v>
      </c>
      <c r="AJ72" s="19" t="str">
        <f aca="false">IF(C72="","",TEXT(C72,"rrrr"))</f>
        <v>CE5786CE5786</v>
      </c>
      <c r="AK72" s="10"/>
      <c r="AL72" s="11" t="n">
        <v>200</v>
      </c>
      <c r="AM72" s="10" t="s">
        <v>191</v>
      </c>
      <c r="AN72" s="10" t="s">
        <v>49</v>
      </c>
      <c r="AO72" s="10"/>
      <c r="AP72" s="10"/>
      <c r="AQ72" s="10"/>
      <c r="AR72" s="10" t="s">
        <v>66</v>
      </c>
      <c r="AS72" s="10"/>
      <c r="AT72" s="15" t="n">
        <v>1</v>
      </c>
    </row>
    <row r="73" customFormat="false" ht="28.5" hidden="false" customHeight="true" outlineLevel="0" collapsed="false">
      <c r="A73" s="12" t="n">
        <v>46218</v>
      </c>
      <c r="B73" s="12"/>
      <c r="C73" s="12" t="n">
        <v>46218</v>
      </c>
      <c r="D73" s="10" t="s">
        <v>101</v>
      </c>
      <c r="E73" s="10" t="s">
        <v>63</v>
      </c>
      <c r="F73" s="13" t="s">
        <v>192</v>
      </c>
      <c r="G73" s="14" t="s">
        <v>49</v>
      </c>
      <c r="H73" s="10" t="s">
        <v>76</v>
      </c>
      <c r="I73" s="15" t="n">
        <v>28.06</v>
      </c>
      <c r="J73" s="10" t="s">
        <v>103</v>
      </c>
      <c r="K73" s="15" t="n">
        <v>265</v>
      </c>
      <c r="L73" s="11" t="n">
        <v>7435.9</v>
      </c>
      <c r="M73" s="11" t="n">
        <v>0</v>
      </c>
      <c r="N73" s="10" t="s">
        <v>104</v>
      </c>
      <c r="O73" s="10"/>
      <c r="P73" s="10"/>
      <c r="Q73" s="16" t="n">
        <v>0</v>
      </c>
      <c r="R73" s="10"/>
      <c r="S73" s="10"/>
      <c r="T73" s="10" t="n">
        <v>0</v>
      </c>
      <c r="U73" s="11" t="n">
        <f aca="false">IF(E73="TRANSPORT",IF(T73="","",T73*5),IF(AL73="","",AL73))</f>
        <v>0</v>
      </c>
      <c r="V73" s="10" t="s">
        <v>54</v>
      </c>
      <c r="W73" s="15" t="s">
        <v>193</v>
      </c>
      <c r="X73" s="15"/>
      <c r="Y73" s="17" t="n">
        <v>46224.4310185185</v>
      </c>
      <c r="Z73" s="18" t="n">
        <f aca="false">IF(I73="",0,IF(ISNUMBER(SEARCH("mp",LOWER(J73))),I73,IF(ISNUMBER(SEARCH("ton",LOWER(J73))),I73/0.33,IF(ISNUMBER(SEARCH("m3",LOWER(J73))),I73*4,I73))))</f>
        <v>85.030303030303</v>
      </c>
      <c r="AA73" s="18" t="n">
        <f aca="false">IF(I73="",0,IF(ISNUMBER(SEARCH("mp",LOWER(J73))),I73*0.33,IF(ISNUMBER(SEARCH("ton",LOWER(J73))),I73,I73*0.33)))</f>
        <v>28.06</v>
      </c>
      <c r="AB73" s="18" t="n">
        <f aca="false">Tabela_dane[[#This Row],[Wolumen_t]]*8.5</f>
        <v>238.51</v>
      </c>
      <c r="AC73" s="18" t="n">
        <f aca="false">IF(G73&lt;&gt;"TAK",0,IF(OR(E73="ZAKUP",E73="PRODUKCJA"),Z73,IF(OR(E73="SPRZEDAŻ",E73="ZUŻYCIE"),-Z73,0)))</f>
        <v>85.030303030303</v>
      </c>
      <c r="AD73" s="18" t="n">
        <f aca="false">IF(G73&lt;&gt;"TAK",0,IF(OR(E73="ZAKUP",E73="PRODUKCJA"),AA73,IF(OR(E73="SPRZEDAŻ",E73="ZUŻYCIE"),-AA73,0)))</f>
        <v>28.06</v>
      </c>
      <c r="AE73" s="19" t="n">
        <f aca="false">IF(E73="ZAKUP",IF(L73&lt;&gt;"",L73,IF(K73&lt;&gt;"",Z73*K73,0)),0)</f>
        <v>7435.9</v>
      </c>
      <c r="AF73" s="19" t="n">
        <f aca="false">IF(E73="SPRZEDAŻ",IF(M73&lt;&gt;"",Z73*M73,0),0)</f>
        <v>0</v>
      </c>
      <c r="AG73" s="19" t="str">
        <f aca="false">IF(R73="","",IF(LOWER(R73)="brak","Brak",IF(OR(ISNUMBER(SEARCH("ric pl",LOWER(R73))),ISNUMBER(SEARCH("wojciechowski",LOWER(R73)))),"Własny","Zewnętrzny")))</f>
        <v/>
      </c>
      <c r="AH73" s="19" t="n">
        <f aca="false">Z73*Q73</f>
        <v>0</v>
      </c>
      <c r="AI73" s="19" t="str">
        <f aca="false">UPPER(TEXT(C73,"mmmm"))</f>
        <v>JULY</v>
      </c>
      <c r="AJ73" s="19" t="str">
        <f aca="false">IF(C73="","",TEXT(C73,"rrrr"))</f>
        <v>CE5786CE5786</v>
      </c>
      <c r="AK73" s="10"/>
      <c r="AL73" s="11" t="n">
        <v>0</v>
      </c>
      <c r="AM73" s="10" t="s">
        <v>194</v>
      </c>
      <c r="AN73" s="10" t="s">
        <v>59</v>
      </c>
      <c r="AO73" s="10"/>
      <c r="AP73" s="10"/>
      <c r="AQ73" s="10"/>
      <c r="AR73" s="10" t="s">
        <v>66</v>
      </c>
      <c r="AS73" s="10"/>
      <c r="AT73" s="15" t="n">
        <v>1</v>
      </c>
    </row>
    <row r="74" customFormat="false" ht="28.5" hidden="false" customHeight="true" outlineLevel="0" collapsed="false">
      <c r="A74" s="12" t="n">
        <v>46219</v>
      </c>
      <c r="B74" s="12" t="s">
        <v>106</v>
      </c>
      <c r="C74" s="12" t="n">
        <v>46219</v>
      </c>
      <c r="D74" s="10" t="s">
        <v>106</v>
      </c>
      <c r="E74" s="10" t="s">
        <v>107</v>
      </c>
      <c r="F74" s="22" t="s">
        <v>195</v>
      </c>
      <c r="G74" s="14" t="s">
        <v>49</v>
      </c>
      <c r="H74" s="10"/>
      <c r="I74" s="15" t="n">
        <v>85</v>
      </c>
      <c r="J74" s="10" t="s">
        <v>51</v>
      </c>
      <c r="K74" s="15" t="n">
        <v>0</v>
      </c>
      <c r="L74" s="11" t="n">
        <v>0</v>
      </c>
      <c r="M74" s="11" t="n">
        <v>0</v>
      </c>
      <c r="N74" s="10" t="s">
        <v>52</v>
      </c>
      <c r="O74" s="10" t="s">
        <v>67</v>
      </c>
      <c r="P74" s="10"/>
      <c r="Q74" s="16" t="n">
        <v>0</v>
      </c>
      <c r="R74" s="10" t="s">
        <v>97</v>
      </c>
      <c r="S74" s="10" t="s">
        <v>196</v>
      </c>
      <c r="T74" s="10" t="n">
        <v>40</v>
      </c>
      <c r="U74" s="11" t="n">
        <f aca="false">IF(E74="TRANSPORT",IF(T74="","",T74*5),IF(AL74="","",AL74))</f>
        <v>600</v>
      </c>
      <c r="V74" s="10" t="s">
        <v>54</v>
      </c>
      <c r="W74" s="15" t="s">
        <v>70</v>
      </c>
      <c r="X74" s="15" t="s">
        <v>106</v>
      </c>
      <c r="Y74" s="17" t="n">
        <v>46219.4508912037</v>
      </c>
      <c r="Z74" s="18" t="n">
        <f aca="false">IF(I74="",0,IF(ISNUMBER(SEARCH("mp",LOWER(J74))),I74,IF(ISNUMBER(SEARCH("ton",LOWER(J74))),I74/0.33,IF(ISNUMBER(SEARCH("m3",LOWER(J74))),I74*4,I74))))</f>
        <v>85</v>
      </c>
      <c r="AA74" s="18" t="n">
        <f aca="false">IF(I74="",0,IF(ISNUMBER(SEARCH("mp",LOWER(J74))),I74*0.33,IF(ISNUMBER(SEARCH("ton",LOWER(J74))),I74,I74*0.33)))</f>
        <v>28.05</v>
      </c>
      <c r="AB74" s="18" t="n">
        <f aca="false">Tabela_dane[[#This Row],[Wolumen_t]]*8.5</f>
        <v>238.425</v>
      </c>
      <c r="AC74" s="18" t="n">
        <f aca="false">IF(G74&lt;&gt;"TAK",0,IF(OR(E74="ZAKUP",E74="PRODUKCJA"),Z74,IF(OR(E74="SPRZEDAŻ",E74="ZUŻYCIE"),-Z74,0)))</f>
        <v>0</v>
      </c>
      <c r="AD74" s="18" t="n">
        <f aca="false">IF(G74&lt;&gt;"TAK",0,IF(OR(E74="ZAKUP",E74="PRODUKCJA"),AA74,IF(OR(E74="SPRZEDAŻ",E74="ZUŻYCIE"),-AA74,0)))</f>
        <v>0</v>
      </c>
      <c r="AE74" s="19" t="n">
        <f aca="false">IF(E74="ZAKUP",IF(L74&lt;&gt;"",L74,IF(K74&lt;&gt;"",Z74*K74,0)),0)</f>
        <v>0</v>
      </c>
      <c r="AF74" s="19" t="n">
        <f aca="false">IF(E74="SPRZEDAŻ",IF(M74&lt;&gt;"",Z74*M74,0),0)</f>
        <v>0</v>
      </c>
      <c r="AG74" s="19" t="str">
        <f aca="false">IF(R74="","",IF(LOWER(R74)="brak","Brak",IF(OR(ISNUMBER(SEARCH("ric pl",LOWER(R74))),ISNUMBER(SEARCH("wojciechowski",LOWER(R74)))),"Własny","Zewnętrzny")))</f>
        <v>Zewnętrzny</v>
      </c>
      <c r="AH74" s="19" t="n">
        <f aca="false">Z74*Q74</f>
        <v>0</v>
      </c>
      <c r="AI74" s="19" t="str">
        <f aca="false">UPPER(TEXT(C74,"mmmm"))</f>
        <v>JULY</v>
      </c>
      <c r="AJ74" s="19" t="str">
        <f aca="false">IF(C74="","",TEXT(C74,"rrrr"))</f>
        <v>CE5786CE5786</v>
      </c>
      <c r="AK74" s="10"/>
      <c r="AL74" s="11" t="n">
        <v>600</v>
      </c>
      <c r="AM74" s="10" t="s">
        <v>197</v>
      </c>
      <c r="AN74" s="10" t="s">
        <v>49</v>
      </c>
      <c r="AO74" s="10"/>
      <c r="AP74" s="10"/>
      <c r="AQ74" s="10"/>
      <c r="AR74" s="10" t="s">
        <v>66</v>
      </c>
      <c r="AS74" s="10"/>
      <c r="AT74" s="15" t="n">
        <v>1</v>
      </c>
    </row>
    <row r="75" customFormat="false" ht="28.5" hidden="false" customHeight="true" outlineLevel="0" collapsed="false">
      <c r="A75" s="12" t="n">
        <v>46219</v>
      </c>
      <c r="B75" s="12" t="s">
        <v>106</v>
      </c>
      <c r="C75" s="12" t="n">
        <v>46219</v>
      </c>
      <c r="D75" s="10" t="s">
        <v>106</v>
      </c>
      <c r="E75" s="10" t="s">
        <v>107</v>
      </c>
      <c r="F75" s="22" t="s">
        <v>198</v>
      </c>
      <c r="G75" s="14" t="s">
        <v>49</v>
      </c>
      <c r="H75" s="10"/>
      <c r="I75" s="15" t="n">
        <v>87</v>
      </c>
      <c r="J75" s="10" t="s">
        <v>51</v>
      </c>
      <c r="K75" s="15" t="n">
        <v>0</v>
      </c>
      <c r="L75" s="11" t="n">
        <v>0</v>
      </c>
      <c r="M75" s="11" t="n">
        <v>0</v>
      </c>
      <c r="N75" s="10" t="s">
        <v>52</v>
      </c>
      <c r="O75" s="10" t="s">
        <v>67</v>
      </c>
      <c r="P75" s="10"/>
      <c r="Q75" s="16" t="n">
        <v>0</v>
      </c>
      <c r="R75" s="10" t="s">
        <v>97</v>
      </c>
      <c r="S75" s="10" t="s">
        <v>196</v>
      </c>
      <c r="T75" s="10" t="n">
        <v>40</v>
      </c>
      <c r="U75" s="11" t="n">
        <f aca="false">IF(E75="TRANSPORT",IF(T75="","",T75*5),IF(AL75="","",AL75))</f>
        <v>600</v>
      </c>
      <c r="V75" s="10" t="s">
        <v>54</v>
      </c>
      <c r="W75" s="15" t="s">
        <v>70</v>
      </c>
      <c r="X75" s="15" t="s">
        <v>106</v>
      </c>
      <c r="Y75" s="17" t="n">
        <v>46219.4514930556</v>
      </c>
      <c r="Z75" s="18" t="n">
        <f aca="false">IF(I75="",0,IF(ISNUMBER(SEARCH("mp",LOWER(J75))),I75,IF(ISNUMBER(SEARCH("ton",LOWER(J75))),I75/0.33,IF(ISNUMBER(SEARCH("m3",LOWER(J75))),I75*4,I75))))</f>
        <v>87</v>
      </c>
      <c r="AA75" s="18" t="n">
        <f aca="false">IF(I75="",0,IF(ISNUMBER(SEARCH("mp",LOWER(J75))),I75*0.33,IF(ISNUMBER(SEARCH("ton",LOWER(J75))),I75,I75*0.33)))</f>
        <v>28.71</v>
      </c>
      <c r="AB75" s="18" t="n">
        <f aca="false">Tabela_dane[[#This Row],[Wolumen_t]]*8.5</f>
        <v>244.035</v>
      </c>
      <c r="AC75" s="18" t="n">
        <f aca="false">IF(G75&lt;&gt;"TAK",0,IF(OR(E75="ZAKUP",E75="PRODUKCJA"),Z75,IF(OR(E75="SPRZEDAŻ",E75="ZUŻYCIE"),-Z75,0)))</f>
        <v>0</v>
      </c>
      <c r="AD75" s="18" t="n">
        <f aca="false">IF(G75&lt;&gt;"TAK",0,IF(OR(E75="ZAKUP",E75="PRODUKCJA"),AA75,IF(OR(E75="SPRZEDAŻ",E75="ZUŻYCIE"),-AA75,0)))</f>
        <v>0</v>
      </c>
      <c r="AE75" s="19" t="n">
        <f aca="false">IF(E75="ZAKUP",IF(L75&lt;&gt;"",L75,IF(K75&lt;&gt;"",Z75*K75,0)),0)</f>
        <v>0</v>
      </c>
      <c r="AF75" s="19" t="n">
        <f aca="false">IF(E75="SPRZEDAŻ",IF(M75&lt;&gt;"",Z75*M75,0),0)</f>
        <v>0</v>
      </c>
      <c r="AG75" s="19" t="str">
        <f aca="false">IF(R75="","",IF(LOWER(R75)="brak","Brak",IF(OR(ISNUMBER(SEARCH("ric pl",LOWER(R75))),ISNUMBER(SEARCH("wojciechowski",LOWER(R75)))),"Własny","Zewnętrzny")))</f>
        <v>Zewnętrzny</v>
      </c>
      <c r="AH75" s="19" t="n">
        <f aca="false">Z75*Q75</f>
        <v>0</v>
      </c>
      <c r="AI75" s="19" t="str">
        <f aca="false">UPPER(TEXT(C75,"mmmm"))</f>
        <v>JULY</v>
      </c>
      <c r="AJ75" s="19" t="str">
        <f aca="false">IF(C75="","",TEXT(C75,"rrrr"))</f>
        <v>CE5786CE5786</v>
      </c>
      <c r="AK75" s="10"/>
      <c r="AL75" s="11" t="n">
        <v>600</v>
      </c>
      <c r="AM75" s="10" t="s">
        <v>199</v>
      </c>
      <c r="AN75" s="10" t="s">
        <v>49</v>
      </c>
      <c r="AO75" s="10"/>
      <c r="AP75" s="10"/>
      <c r="AQ75" s="10"/>
      <c r="AR75" s="10" t="s">
        <v>66</v>
      </c>
      <c r="AS75" s="10"/>
      <c r="AT75" s="15" t="n">
        <v>1</v>
      </c>
    </row>
    <row r="76" customFormat="false" ht="28.5" hidden="false" customHeight="true" outlineLevel="0" collapsed="false">
      <c r="A76" s="12" t="n">
        <v>46219</v>
      </c>
      <c r="B76" s="12" t="s">
        <v>106</v>
      </c>
      <c r="C76" s="12" t="n">
        <v>46219</v>
      </c>
      <c r="D76" s="10" t="s">
        <v>106</v>
      </c>
      <c r="E76" s="10" t="s">
        <v>107</v>
      </c>
      <c r="F76" s="22" t="s">
        <v>200</v>
      </c>
      <c r="G76" s="14" t="s">
        <v>49</v>
      </c>
      <c r="H76" s="10"/>
      <c r="I76" s="15" t="n">
        <v>76</v>
      </c>
      <c r="J76" s="10" t="s">
        <v>51</v>
      </c>
      <c r="K76" s="15" t="n">
        <v>0</v>
      </c>
      <c r="L76" s="11" t="n">
        <v>0</v>
      </c>
      <c r="M76" s="11" t="n">
        <v>0</v>
      </c>
      <c r="N76" s="10" t="s">
        <v>52</v>
      </c>
      <c r="O76" s="10" t="s">
        <v>67</v>
      </c>
      <c r="P76" s="10"/>
      <c r="Q76" s="16" t="n">
        <v>0</v>
      </c>
      <c r="R76" s="10" t="s">
        <v>72</v>
      </c>
      <c r="S76" s="10" t="s">
        <v>73</v>
      </c>
      <c r="T76" s="10" t="n">
        <v>40</v>
      </c>
      <c r="U76" s="11" t="n">
        <f aca="false">IF(E76="TRANSPORT",IF(T76="","",T76*5),IF(AL76="","",AL76))</f>
        <v>240</v>
      </c>
      <c r="V76" s="10" t="s">
        <v>54</v>
      </c>
      <c r="W76" s="15" t="s">
        <v>70</v>
      </c>
      <c r="X76" s="15" t="s">
        <v>106</v>
      </c>
      <c r="Y76" s="17" t="n">
        <v>46219.4522106481</v>
      </c>
      <c r="Z76" s="18" t="n">
        <f aca="false">IF(I76="",0,IF(ISNUMBER(SEARCH("mp",LOWER(J76))),I76,IF(ISNUMBER(SEARCH("ton",LOWER(J76))),I76/0.33,IF(ISNUMBER(SEARCH("m3",LOWER(J76))),I76*4,I76))))</f>
        <v>76</v>
      </c>
      <c r="AA76" s="18" t="n">
        <f aca="false">IF(I76="",0,IF(ISNUMBER(SEARCH("mp",LOWER(J76))),I76*0.33,IF(ISNUMBER(SEARCH("ton",LOWER(J76))),I76,I76*0.33)))</f>
        <v>25.08</v>
      </c>
      <c r="AB76" s="18" t="n">
        <f aca="false">Tabela_dane[[#This Row],[Wolumen_t]]*8.5</f>
        <v>213.18</v>
      </c>
      <c r="AC76" s="18" t="n">
        <f aca="false">IF(G76&lt;&gt;"TAK",0,IF(OR(E76="ZAKUP",E76="PRODUKCJA"),Z76,IF(OR(E76="SPRZEDAŻ",E76="ZUŻYCIE"),-Z76,0)))</f>
        <v>0</v>
      </c>
      <c r="AD76" s="18" t="n">
        <f aca="false">IF(G76&lt;&gt;"TAK",0,IF(OR(E76="ZAKUP",E76="PRODUKCJA"),AA76,IF(OR(E76="SPRZEDAŻ",E76="ZUŻYCIE"),-AA76,0)))</f>
        <v>0</v>
      </c>
      <c r="AE76" s="19" t="n">
        <f aca="false">IF(E76="ZAKUP",IF(L76&lt;&gt;"",L76,IF(K76&lt;&gt;"",Z76*K76,0)),0)</f>
        <v>0</v>
      </c>
      <c r="AF76" s="19" t="n">
        <f aca="false">IF(E76="SPRZEDAŻ",IF(M76&lt;&gt;"",Z76*M76,0),0)</f>
        <v>0</v>
      </c>
      <c r="AG76" s="19" t="str">
        <f aca="false">IF(R76="","",IF(LOWER(R76)="brak","Brak",IF(OR(ISNUMBER(SEARCH("ric pl",LOWER(R76))),ISNUMBER(SEARCH("wojciechowski",LOWER(R76)))),"Własny","Zewnętrzny")))</f>
        <v>Zewnętrzny</v>
      </c>
      <c r="AH76" s="19" t="n">
        <f aca="false">Z76*Q76</f>
        <v>0</v>
      </c>
      <c r="AI76" s="19" t="str">
        <f aca="false">UPPER(TEXT(C76,"mmmm"))</f>
        <v>JULY</v>
      </c>
      <c r="AJ76" s="19" t="str">
        <f aca="false">IF(C76="","",TEXT(C76,"rrrr"))</f>
        <v>CE5786CE5786</v>
      </c>
      <c r="AK76" s="10"/>
      <c r="AL76" s="11" t="n">
        <v>240</v>
      </c>
      <c r="AM76" s="10" t="s">
        <v>201</v>
      </c>
      <c r="AN76" s="10" t="s">
        <v>49</v>
      </c>
      <c r="AO76" s="10"/>
      <c r="AP76" s="10"/>
      <c r="AQ76" s="10"/>
      <c r="AR76" s="10" t="s">
        <v>66</v>
      </c>
      <c r="AS76" s="10"/>
      <c r="AT76" s="15" t="n">
        <v>1</v>
      </c>
    </row>
    <row r="77" customFormat="false" ht="28.5" hidden="false" customHeight="true" outlineLevel="0" collapsed="false">
      <c r="A77" s="12" t="n">
        <v>46219</v>
      </c>
      <c r="B77" s="12" t="s">
        <v>106</v>
      </c>
      <c r="C77" s="12" t="n">
        <v>46219</v>
      </c>
      <c r="D77" s="10" t="s">
        <v>106</v>
      </c>
      <c r="E77" s="10" t="s">
        <v>107</v>
      </c>
      <c r="F77" s="22" t="s">
        <v>202</v>
      </c>
      <c r="G77" s="14" t="s">
        <v>49</v>
      </c>
      <c r="H77" s="10"/>
      <c r="I77" s="15" t="n">
        <v>71</v>
      </c>
      <c r="J77" s="10" t="s">
        <v>51</v>
      </c>
      <c r="K77" s="15" t="n">
        <v>0</v>
      </c>
      <c r="L77" s="11" t="n">
        <v>0</v>
      </c>
      <c r="M77" s="11" t="n">
        <v>0</v>
      </c>
      <c r="N77" s="10" t="s">
        <v>52</v>
      </c>
      <c r="O77" s="10" t="s">
        <v>67</v>
      </c>
      <c r="P77" s="10"/>
      <c r="Q77" s="16" t="n">
        <v>0</v>
      </c>
      <c r="R77" s="10" t="s">
        <v>72</v>
      </c>
      <c r="S77" s="10" t="s">
        <v>73</v>
      </c>
      <c r="T77" s="10" t="n">
        <v>40</v>
      </c>
      <c r="U77" s="11" t="n">
        <f aca="false">IF(E77="TRANSPORT",IF(T77="","",T77*5),IF(AL77="","",AL77))</f>
        <v>240</v>
      </c>
      <c r="V77" s="10" t="s">
        <v>54</v>
      </c>
      <c r="W77" s="15" t="s">
        <v>65</v>
      </c>
      <c r="X77" s="15" t="s">
        <v>106</v>
      </c>
      <c r="Y77" s="17" t="n">
        <v>46220.371087963</v>
      </c>
      <c r="Z77" s="18" t="n">
        <f aca="false">IF(I77="",0,IF(ISNUMBER(SEARCH("mp",LOWER(J77))),I77,IF(ISNUMBER(SEARCH("ton",LOWER(J77))),I77/0.33,IF(ISNUMBER(SEARCH("m3",LOWER(J77))),I77*4,I77))))</f>
        <v>71</v>
      </c>
      <c r="AA77" s="18" t="n">
        <f aca="false">IF(I77="",0,IF(ISNUMBER(SEARCH("mp",LOWER(J77))),I77*0.33,IF(ISNUMBER(SEARCH("ton",LOWER(J77))),I77,I77*0.33)))</f>
        <v>23.43</v>
      </c>
      <c r="AB77" s="18" t="n">
        <f aca="false">Tabela_dane[[#This Row],[Wolumen_t]]*8.5</f>
        <v>199.155</v>
      </c>
      <c r="AC77" s="18" t="n">
        <f aca="false">IF(G77&lt;&gt;"TAK",0,IF(OR(E77="ZAKUP",E77="PRODUKCJA"),Z77,IF(OR(E77="SPRZEDAŻ",E77="ZUŻYCIE"),-Z77,0)))</f>
        <v>0</v>
      </c>
      <c r="AD77" s="18" t="n">
        <f aca="false">IF(G77&lt;&gt;"TAK",0,IF(OR(E77="ZAKUP",E77="PRODUKCJA"),AA77,IF(OR(E77="SPRZEDAŻ",E77="ZUŻYCIE"),-AA77,0)))</f>
        <v>0</v>
      </c>
      <c r="AE77" s="19" t="n">
        <f aca="false">IF(E77="ZAKUP",IF(L77&lt;&gt;"",L77,IF(K77&lt;&gt;"",Z77*K77,0)),0)</f>
        <v>0</v>
      </c>
      <c r="AF77" s="19" t="n">
        <f aca="false">IF(E77="SPRZEDAŻ",IF(M77&lt;&gt;"",Z77*M77,0),0)</f>
        <v>0</v>
      </c>
      <c r="AG77" s="19" t="str">
        <f aca="false">IF(R77="","",IF(LOWER(R77)="brak","Brak",IF(OR(ISNUMBER(SEARCH("ric pl",LOWER(R77))),ISNUMBER(SEARCH("wojciechowski",LOWER(R77)))),"Własny","Zewnętrzny")))</f>
        <v>Zewnętrzny</v>
      </c>
      <c r="AH77" s="19" t="n">
        <f aca="false">Z77*Q77</f>
        <v>0</v>
      </c>
      <c r="AI77" s="19" t="str">
        <f aca="false">UPPER(TEXT(C77,"mmmm"))</f>
        <v>JULY</v>
      </c>
      <c r="AJ77" s="19" t="str">
        <f aca="false">IF(C77="","",TEXT(C77,"rrrr"))</f>
        <v>CE5786CE5786</v>
      </c>
      <c r="AK77" s="10"/>
      <c r="AL77" s="11" t="n">
        <v>240</v>
      </c>
      <c r="AM77" s="10" t="s">
        <v>203</v>
      </c>
      <c r="AN77" s="10" t="s">
        <v>49</v>
      </c>
      <c r="AO77" s="10"/>
      <c r="AP77" s="10"/>
      <c r="AQ77" s="10"/>
      <c r="AR77" s="10" t="s">
        <v>66</v>
      </c>
      <c r="AS77" s="10"/>
      <c r="AT77" s="15" t="n">
        <v>1</v>
      </c>
    </row>
    <row r="78" customFormat="false" ht="28.5" hidden="false" customHeight="true" outlineLevel="0" collapsed="false">
      <c r="A78" s="12" t="n">
        <v>46219</v>
      </c>
      <c r="B78" s="12" t="s">
        <v>106</v>
      </c>
      <c r="C78" s="12" t="n">
        <v>46219</v>
      </c>
      <c r="D78" s="10" t="s">
        <v>106</v>
      </c>
      <c r="E78" s="10" t="s">
        <v>107</v>
      </c>
      <c r="F78" s="22" t="s">
        <v>204</v>
      </c>
      <c r="G78" s="14" t="s">
        <v>49</v>
      </c>
      <c r="H78" s="10"/>
      <c r="I78" s="15" t="n">
        <v>88</v>
      </c>
      <c r="J78" s="10" t="s">
        <v>51</v>
      </c>
      <c r="K78" s="15" t="n">
        <v>0</v>
      </c>
      <c r="L78" s="11" t="n">
        <v>0</v>
      </c>
      <c r="M78" s="11" t="n">
        <v>0</v>
      </c>
      <c r="N78" s="10" t="s">
        <v>52</v>
      </c>
      <c r="O78" s="10" t="s">
        <v>67</v>
      </c>
      <c r="P78" s="10"/>
      <c r="Q78" s="16" t="n">
        <v>0</v>
      </c>
      <c r="R78" s="10" t="s">
        <v>97</v>
      </c>
      <c r="S78" s="10" t="s">
        <v>196</v>
      </c>
      <c r="T78" s="10" t="n">
        <v>40</v>
      </c>
      <c r="U78" s="11" t="n">
        <f aca="false">IF(E78="TRANSPORT",IF(T78="","",T78*5),IF(AL78="","",AL78))</f>
        <v>600</v>
      </c>
      <c r="V78" s="10" t="s">
        <v>54</v>
      </c>
      <c r="W78" s="15" t="s">
        <v>65</v>
      </c>
      <c r="X78" s="15" t="s">
        <v>106</v>
      </c>
      <c r="Y78" s="17" t="n">
        <v>46220.3744097222</v>
      </c>
      <c r="Z78" s="18" t="n">
        <f aca="false">IF(I78="",0,IF(ISNUMBER(SEARCH("mp",LOWER(J78))),I78,IF(ISNUMBER(SEARCH("ton",LOWER(J78))),I78/0.33,IF(ISNUMBER(SEARCH("m3",LOWER(J78))),I78*4,I78))))</f>
        <v>88</v>
      </c>
      <c r="AA78" s="18" t="n">
        <f aca="false">IF(I78="",0,IF(ISNUMBER(SEARCH("mp",LOWER(J78))),I78*0.33,IF(ISNUMBER(SEARCH("ton",LOWER(J78))),I78,I78*0.33)))</f>
        <v>29.04</v>
      </c>
      <c r="AB78" s="18" t="n">
        <f aca="false">Tabela_dane[[#This Row],[Wolumen_t]]*8.5</f>
        <v>246.84</v>
      </c>
      <c r="AC78" s="18" t="n">
        <f aca="false">IF(G78&lt;&gt;"TAK",0,IF(OR(E78="ZAKUP",E78="PRODUKCJA"),Z78,IF(OR(E78="SPRZEDAŻ",E78="ZUŻYCIE"),-Z78,0)))</f>
        <v>0</v>
      </c>
      <c r="AD78" s="18" t="n">
        <f aca="false">IF(G78&lt;&gt;"TAK",0,IF(OR(E78="ZAKUP",E78="PRODUKCJA"),AA78,IF(OR(E78="SPRZEDAŻ",E78="ZUŻYCIE"),-AA78,0)))</f>
        <v>0</v>
      </c>
      <c r="AE78" s="19" t="n">
        <f aca="false">IF(E78="ZAKUP",IF(L78&lt;&gt;"",L78,IF(K78&lt;&gt;"",Z78*K78,0)),0)</f>
        <v>0</v>
      </c>
      <c r="AF78" s="19" t="n">
        <f aca="false">IF(E78="SPRZEDAŻ",IF(M78&lt;&gt;"",Z78*M78,0),0)</f>
        <v>0</v>
      </c>
      <c r="AG78" s="19" t="str">
        <f aca="false">IF(R78="","",IF(LOWER(R78)="brak","Brak",IF(OR(ISNUMBER(SEARCH("ric pl",LOWER(R78))),ISNUMBER(SEARCH("wojciechowski",LOWER(R78)))),"Własny","Zewnętrzny")))</f>
        <v>Zewnętrzny</v>
      </c>
      <c r="AH78" s="19" t="n">
        <f aca="false">Z78*Q78</f>
        <v>0</v>
      </c>
      <c r="AI78" s="19" t="str">
        <f aca="false">UPPER(TEXT(C78,"mmmm"))</f>
        <v>JULY</v>
      </c>
      <c r="AJ78" s="19" t="str">
        <f aca="false">IF(C78="","",TEXT(C78,"rrrr"))</f>
        <v>CE5786CE5786</v>
      </c>
      <c r="AK78" s="10"/>
      <c r="AL78" s="11" t="n">
        <v>600</v>
      </c>
      <c r="AM78" s="10" t="s">
        <v>205</v>
      </c>
      <c r="AN78" s="10" t="s">
        <v>49</v>
      </c>
      <c r="AO78" s="10"/>
      <c r="AP78" s="10"/>
      <c r="AQ78" s="10"/>
      <c r="AR78" s="10" t="s">
        <v>66</v>
      </c>
      <c r="AS78" s="10"/>
      <c r="AT78" s="15" t="n">
        <v>1</v>
      </c>
    </row>
    <row r="79" customFormat="false" ht="28.5" hidden="false" customHeight="true" outlineLevel="0" collapsed="false">
      <c r="A79" s="12" t="n">
        <v>46219</v>
      </c>
      <c r="B79" s="12"/>
      <c r="C79" s="12" t="n">
        <v>46219</v>
      </c>
      <c r="D79" s="10" t="s">
        <v>46</v>
      </c>
      <c r="E79" s="10" t="s">
        <v>63</v>
      </c>
      <c r="F79" s="20" t="s">
        <v>206</v>
      </c>
      <c r="G79" s="14" t="s">
        <v>49</v>
      </c>
      <c r="H79" s="10" t="s">
        <v>76</v>
      </c>
      <c r="I79" s="15" t="n">
        <v>28.98</v>
      </c>
      <c r="J79" s="10" t="s">
        <v>77</v>
      </c>
      <c r="K79" s="15" t="n">
        <v>230</v>
      </c>
      <c r="L79" s="11" t="n">
        <v>6665.4</v>
      </c>
      <c r="M79" s="11" t="n">
        <v>0</v>
      </c>
      <c r="N79" s="10" t="s">
        <v>64</v>
      </c>
      <c r="O79" s="10"/>
      <c r="P79" s="10"/>
      <c r="Q79" s="16" t="n">
        <v>0</v>
      </c>
      <c r="R79" s="10"/>
      <c r="S79" s="10"/>
      <c r="T79" s="10" t="n">
        <v>0</v>
      </c>
      <c r="U79" s="11" t="n">
        <f aca="false">IF(E79="TRANSPORT",IF(T79="","",T79*5),IF(AL79="","",AL79))</f>
        <v>0</v>
      </c>
      <c r="V79" s="10" t="s">
        <v>54</v>
      </c>
      <c r="W79" s="15" t="s">
        <v>70</v>
      </c>
      <c r="X79" s="15"/>
      <c r="Y79" s="17" t="n">
        <v>46219.4683101852</v>
      </c>
      <c r="Z79" s="18" t="n">
        <f aca="false">IF(I79="",0,IF(ISNUMBER(SEARCH("mp",LOWER(J79))),I79,IF(ISNUMBER(SEARCH("ton",LOWER(J79))),I79/0.33,IF(ISNUMBER(SEARCH("m3",LOWER(J79))),I79*4,I79))))</f>
        <v>115.92</v>
      </c>
      <c r="AA79" s="18" t="n">
        <f aca="false">IF(I79="",0,IF(ISNUMBER(SEARCH("mp",LOWER(J79))),I79*0.33,IF(ISNUMBER(SEARCH("ton",LOWER(J79))),I79,I79*0.33)))</f>
        <v>9.5634</v>
      </c>
      <c r="AB79" s="18" t="n">
        <f aca="false">Tabela_dane[[#This Row],[Wolumen_t]]*8.5</f>
        <v>81.2889</v>
      </c>
      <c r="AC79" s="18" t="n">
        <f aca="false">IF(G79&lt;&gt;"TAK",0,IF(OR(E79="ZAKUP",E79="PRODUKCJA"),Z79,IF(OR(E79="SPRZEDAŻ",E79="ZUŻYCIE"),-Z79,0)))</f>
        <v>115.92</v>
      </c>
      <c r="AD79" s="18" t="n">
        <f aca="false">IF(G79&lt;&gt;"TAK",0,IF(OR(E79="ZAKUP",E79="PRODUKCJA"),AA79,IF(OR(E79="SPRZEDAŻ",E79="ZUŻYCIE"),-AA79,0)))</f>
        <v>9.5634</v>
      </c>
      <c r="AE79" s="19" t="n">
        <f aca="false">IF(E79="ZAKUP",IF(L79&lt;&gt;"",L79,IF(K79&lt;&gt;"",Z79*K79,0)),0)</f>
        <v>6665.4</v>
      </c>
      <c r="AF79" s="19" t="n">
        <f aca="false">IF(E79="SPRZEDAŻ",IF(M79&lt;&gt;"",Z79*M79,0),0)</f>
        <v>0</v>
      </c>
      <c r="AG79" s="19" t="str">
        <f aca="false">IF(R79="","",IF(LOWER(R79)="brak","Brak",IF(OR(ISNUMBER(SEARCH("ric pl",LOWER(R79))),ISNUMBER(SEARCH("wojciechowski",LOWER(R79)))),"Własny","Zewnętrzny")))</f>
        <v/>
      </c>
      <c r="AH79" s="19" t="n">
        <f aca="false">Z79*Q79</f>
        <v>0</v>
      </c>
      <c r="AI79" s="19" t="str">
        <f aca="false">UPPER(TEXT(C79,"mmmm"))</f>
        <v>JULY</v>
      </c>
      <c r="AJ79" s="19" t="str">
        <f aca="false">IF(C79="","",TEXT(C79,"rrrr"))</f>
        <v>CE5786CE5786</v>
      </c>
      <c r="AK79" s="10"/>
      <c r="AL79" s="11" t="n">
        <v>0</v>
      </c>
      <c r="AM79" s="10" t="s">
        <v>207</v>
      </c>
      <c r="AN79" s="10" t="s">
        <v>59</v>
      </c>
      <c r="AO79" s="10"/>
      <c r="AP79" s="10"/>
      <c r="AQ79" s="10"/>
      <c r="AR79" s="10" t="s">
        <v>66</v>
      </c>
      <c r="AS79" s="10"/>
      <c r="AT79" s="15" t="n">
        <v>1</v>
      </c>
    </row>
    <row r="80" customFormat="false" ht="28.5" hidden="false" customHeight="true" outlineLevel="0" collapsed="false">
      <c r="A80" s="12" t="n">
        <v>46219</v>
      </c>
      <c r="B80" s="12"/>
      <c r="C80" s="12" t="n">
        <v>46219</v>
      </c>
      <c r="D80" s="10" t="s">
        <v>46</v>
      </c>
      <c r="E80" s="10" t="s">
        <v>63</v>
      </c>
      <c r="F80" s="20" t="s">
        <v>208</v>
      </c>
      <c r="G80" s="14" t="s">
        <v>49</v>
      </c>
      <c r="H80" s="10" t="s">
        <v>76</v>
      </c>
      <c r="I80" s="15" t="n">
        <v>28.49</v>
      </c>
      <c r="J80" s="10" t="s">
        <v>77</v>
      </c>
      <c r="K80" s="15" t="n">
        <v>230</v>
      </c>
      <c r="L80" s="11" t="n">
        <v>6552.7</v>
      </c>
      <c r="M80" s="11" t="n">
        <v>0</v>
      </c>
      <c r="N80" s="10" t="s">
        <v>64</v>
      </c>
      <c r="O80" s="10"/>
      <c r="P80" s="10"/>
      <c r="Q80" s="16" t="n">
        <v>0</v>
      </c>
      <c r="R80" s="10"/>
      <c r="S80" s="10"/>
      <c r="T80" s="10" t="n">
        <v>0</v>
      </c>
      <c r="U80" s="11" t="n">
        <f aca="false">IF(E80="TRANSPORT",IF(T80="","",T80*5),IF(AL80="","",AL80))</f>
        <v>0</v>
      </c>
      <c r="V80" s="10" t="s">
        <v>54</v>
      </c>
      <c r="W80" s="15" t="s">
        <v>209</v>
      </c>
      <c r="X80" s="15"/>
      <c r="Y80" s="17" t="n">
        <v>46219.4690625</v>
      </c>
      <c r="Z80" s="18" t="n">
        <f aca="false">IF(I80="",0,IF(ISNUMBER(SEARCH("mp",LOWER(J80))),I80,IF(ISNUMBER(SEARCH("ton",LOWER(J80))),I80/0.33,IF(ISNUMBER(SEARCH("m3",LOWER(J80))),I80*4,I80))))</f>
        <v>113.96</v>
      </c>
      <c r="AA80" s="18" t="n">
        <f aca="false">IF(I80="",0,IF(ISNUMBER(SEARCH("mp",LOWER(J80))),I80*0.33,IF(ISNUMBER(SEARCH("ton",LOWER(J80))),I80,I80*0.33)))</f>
        <v>9.4017</v>
      </c>
      <c r="AB80" s="18" t="n">
        <f aca="false">Tabela_dane[[#This Row],[Wolumen_t]]*8.5</f>
        <v>79.91445</v>
      </c>
      <c r="AC80" s="18" t="n">
        <f aca="false">IF(G80&lt;&gt;"TAK",0,IF(OR(E80="ZAKUP",E80="PRODUKCJA"),Z80,IF(OR(E80="SPRZEDAŻ",E80="ZUŻYCIE"),-Z80,0)))</f>
        <v>113.96</v>
      </c>
      <c r="AD80" s="18" t="n">
        <f aca="false">IF(G80&lt;&gt;"TAK",0,IF(OR(E80="ZAKUP",E80="PRODUKCJA"),AA80,IF(OR(E80="SPRZEDAŻ",E80="ZUŻYCIE"),-AA80,0)))</f>
        <v>9.4017</v>
      </c>
      <c r="AE80" s="19" t="n">
        <f aca="false">IF(E80="ZAKUP",IF(L80&lt;&gt;"",L80,IF(K80&lt;&gt;"",Z80*K80,0)),0)</f>
        <v>6552.7</v>
      </c>
      <c r="AF80" s="19" t="n">
        <f aca="false">IF(E80="SPRZEDAŻ",IF(M80&lt;&gt;"",Z80*M80,0),0)</f>
        <v>0</v>
      </c>
      <c r="AG80" s="19" t="str">
        <f aca="false">IF(R80="","",IF(LOWER(R80)="brak","Brak",IF(OR(ISNUMBER(SEARCH("ric pl",LOWER(R80))),ISNUMBER(SEARCH("wojciechowski",LOWER(R80)))),"Własny","Zewnętrzny")))</f>
        <v/>
      </c>
      <c r="AH80" s="19" t="n">
        <f aca="false">Z80*Q80</f>
        <v>0</v>
      </c>
      <c r="AI80" s="19" t="str">
        <f aca="false">UPPER(TEXT(C80,"mmmm"))</f>
        <v>JULY</v>
      </c>
      <c r="AJ80" s="19" t="str">
        <f aca="false">IF(C80="","",TEXT(C80,"rrrr"))</f>
        <v>CE5786CE5786</v>
      </c>
      <c r="AK80" s="10"/>
      <c r="AL80" s="11" t="n">
        <v>0</v>
      </c>
      <c r="AM80" s="10" t="s">
        <v>210</v>
      </c>
      <c r="AN80" s="10" t="s">
        <v>59</v>
      </c>
      <c r="AO80" s="10"/>
      <c r="AP80" s="10"/>
      <c r="AQ80" s="10"/>
      <c r="AR80" s="10" t="s">
        <v>66</v>
      </c>
      <c r="AS80" s="10"/>
      <c r="AT80" s="15" t="n">
        <v>1</v>
      </c>
    </row>
    <row r="81" customFormat="false" ht="28.5" hidden="false" customHeight="true" outlineLevel="0" collapsed="false">
      <c r="A81" s="12" t="n">
        <v>46219</v>
      </c>
      <c r="B81" s="12"/>
      <c r="C81" s="12" t="n">
        <v>46219</v>
      </c>
      <c r="D81" s="10" t="s">
        <v>46</v>
      </c>
      <c r="E81" s="10" t="s">
        <v>63</v>
      </c>
      <c r="F81" s="20" t="s">
        <v>211</v>
      </c>
      <c r="G81" s="14" t="s">
        <v>49</v>
      </c>
      <c r="H81" s="10" t="s">
        <v>76</v>
      </c>
      <c r="I81" s="15" t="n">
        <v>32.06</v>
      </c>
      <c r="J81" s="10" t="s">
        <v>77</v>
      </c>
      <c r="K81" s="15" t="n">
        <v>230</v>
      </c>
      <c r="L81" s="11" t="n">
        <v>7373.8</v>
      </c>
      <c r="M81" s="11" t="n">
        <v>0</v>
      </c>
      <c r="N81" s="10" t="s">
        <v>64</v>
      </c>
      <c r="O81" s="10"/>
      <c r="P81" s="10"/>
      <c r="Q81" s="16" t="n">
        <v>0</v>
      </c>
      <c r="R81" s="10"/>
      <c r="S81" s="10"/>
      <c r="T81" s="10" t="n">
        <v>0</v>
      </c>
      <c r="U81" s="11" t="n">
        <f aca="false">IF(E81="TRANSPORT",IF(T81="","",T81*5),IF(AL81="","",AL81))</f>
        <v>0</v>
      </c>
      <c r="V81" s="10" t="s">
        <v>54</v>
      </c>
      <c r="W81" s="15" t="s">
        <v>212</v>
      </c>
      <c r="X81" s="15"/>
      <c r="Y81" s="17" t="n">
        <v>46219.551724537</v>
      </c>
      <c r="Z81" s="18" t="n">
        <f aca="false">IF(I81="",0,IF(ISNUMBER(SEARCH("mp",LOWER(J81))),I81,IF(ISNUMBER(SEARCH("ton",LOWER(J81))),I81/0.33,IF(ISNUMBER(SEARCH("m3",LOWER(J81))),I81*4,I81))))</f>
        <v>128.24</v>
      </c>
      <c r="AA81" s="18" t="n">
        <f aca="false">IF(I81="",0,IF(ISNUMBER(SEARCH("mp",LOWER(J81))),I81*0.33,IF(ISNUMBER(SEARCH("ton",LOWER(J81))),I81,I81*0.33)))</f>
        <v>10.5798</v>
      </c>
      <c r="AB81" s="18" t="n">
        <f aca="false">Tabela_dane[[#This Row],[Wolumen_t]]*8.5</f>
        <v>89.9283</v>
      </c>
      <c r="AC81" s="18" t="n">
        <f aca="false">IF(G81&lt;&gt;"TAK",0,IF(OR(E81="ZAKUP",E81="PRODUKCJA"),Z81,IF(OR(E81="SPRZEDAŻ",E81="ZUŻYCIE"),-Z81,0)))</f>
        <v>128.24</v>
      </c>
      <c r="AD81" s="18" t="n">
        <f aca="false">IF(G81&lt;&gt;"TAK",0,IF(OR(E81="ZAKUP",E81="PRODUKCJA"),AA81,IF(OR(E81="SPRZEDAŻ",E81="ZUŻYCIE"),-AA81,0)))</f>
        <v>10.5798</v>
      </c>
      <c r="AE81" s="19" t="n">
        <f aca="false">IF(E81="ZAKUP",IF(L81&lt;&gt;"",L81,IF(K81&lt;&gt;"",Z81*K81,0)),0)</f>
        <v>7373.8</v>
      </c>
      <c r="AF81" s="19" t="n">
        <f aca="false">IF(E81="SPRZEDAŻ",IF(M81&lt;&gt;"",Z81*M81,0),0)</f>
        <v>0</v>
      </c>
      <c r="AG81" s="19" t="str">
        <f aca="false">IF(R81="","",IF(LOWER(R81)="brak","Brak",IF(OR(ISNUMBER(SEARCH("ric pl",LOWER(R81))),ISNUMBER(SEARCH("wojciechowski",LOWER(R81)))),"Własny","Zewnętrzny")))</f>
        <v/>
      </c>
      <c r="AH81" s="19" t="n">
        <f aca="false">Z81*Q81</f>
        <v>0</v>
      </c>
      <c r="AI81" s="19" t="str">
        <f aca="false">UPPER(TEXT(C81,"mmmm"))</f>
        <v>JULY</v>
      </c>
      <c r="AJ81" s="19" t="str">
        <f aca="false">IF(C81="","",TEXT(C81,"rrrr"))</f>
        <v>CE5786CE5786</v>
      </c>
      <c r="AK81" s="10"/>
      <c r="AL81" s="11" t="n">
        <v>0</v>
      </c>
      <c r="AM81" s="10" t="s">
        <v>213</v>
      </c>
      <c r="AN81" s="10" t="s">
        <v>59</v>
      </c>
      <c r="AO81" s="10"/>
      <c r="AP81" s="10"/>
      <c r="AQ81" s="10"/>
      <c r="AR81" s="10" t="s">
        <v>66</v>
      </c>
      <c r="AS81" s="10"/>
      <c r="AT81" s="15" t="n">
        <v>1</v>
      </c>
    </row>
    <row r="82" customFormat="false" ht="28.5" hidden="false" customHeight="true" outlineLevel="0" collapsed="false">
      <c r="A82" s="12" t="n">
        <v>46219</v>
      </c>
      <c r="B82" s="12"/>
      <c r="C82" s="12" t="n">
        <v>46219</v>
      </c>
      <c r="D82" s="10" t="s">
        <v>46</v>
      </c>
      <c r="E82" s="10" t="s">
        <v>63</v>
      </c>
      <c r="F82" s="20" t="s">
        <v>214</v>
      </c>
      <c r="G82" s="14" t="s">
        <v>49</v>
      </c>
      <c r="H82" s="10" t="s">
        <v>76</v>
      </c>
      <c r="I82" s="15" t="n">
        <v>27.06</v>
      </c>
      <c r="J82" s="10" t="s">
        <v>77</v>
      </c>
      <c r="K82" s="15" t="n">
        <v>230</v>
      </c>
      <c r="L82" s="11" t="n">
        <v>6223.8</v>
      </c>
      <c r="M82" s="11" t="n">
        <v>0</v>
      </c>
      <c r="N82" s="10" t="s">
        <v>64</v>
      </c>
      <c r="O82" s="10"/>
      <c r="P82" s="10"/>
      <c r="Q82" s="16" t="n">
        <v>0</v>
      </c>
      <c r="R82" s="10"/>
      <c r="S82" s="10"/>
      <c r="T82" s="10" t="n">
        <v>0</v>
      </c>
      <c r="U82" s="11" t="n">
        <f aca="false">IF(E82="TRANSPORT",IF(T82="","",T82*5),IF(AL82="","",AL82))</f>
        <v>0</v>
      </c>
      <c r="V82" s="10" t="s">
        <v>54</v>
      </c>
      <c r="W82" s="15" t="s">
        <v>215</v>
      </c>
      <c r="X82" s="15"/>
      <c r="Y82" s="17" t="n">
        <v>46224.4246064815</v>
      </c>
      <c r="Z82" s="18" t="n">
        <f aca="false">IF(I82="",0,IF(ISNUMBER(SEARCH("mp",LOWER(J82))),I82,IF(ISNUMBER(SEARCH("ton",LOWER(J82))),I82/0.33,IF(ISNUMBER(SEARCH("m3",LOWER(J82))),I82*4,I82))))</f>
        <v>108.24</v>
      </c>
      <c r="AA82" s="18" t="n">
        <f aca="false">IF(I82="",0,IF(ISNUMBER(SEARCH("mp",LOWER(J82))),I82*0.33,IF(ISNUMBER(SEARCH("ton",LOWER(J82))),I82,I82*0.33)))</f>
        <v>8.9298</v>
      </c>
      <c r="AB82" s="18" t="n">
        <f aca="false">Tabela_dane[[#This Row],[Wolumen_t]]*8.5</f>
        <v>75.9033</v>
      </c>
      <c r="AC82" s="18" t="n">
        <f aca="false">IF(G82&lt;&gt;"TAK",0,IF(OR(E82="ZAKUP",E82="PRODUKCJA"),Z82,IF(OR(E82="SPRZEDAŻ",E82="ZUŻYCIE"),-Z82,0)))</f>
        <v>108.24</v>
      </c>
      <c r="AD82" s="18" t="n">
        <f aca="false">IF(G82&lt;&gt;"TAK",0,IF(OR(E82="ZAKUP",E82="PRODUKCJA"),AA82,IF(OR(E82="SPRZEDAŻ",E82="ZUŻYCIE"),-AA82,0)))</f>
        <v>8.9298</v>
      </c>
      <c r="AE82" s="19" t="n">
        <f aca="false">IF(E82="ZAKUP",IF(L82&lt;&gt;"",L82,IF(K82&lt;&gt;"",Z82*K82,0)),0)</f>
        <v>6223.8</v>
      </c>
      <c r="AF82" s="19" t="n">
        <f aca="false">IF(E82="SPRZEDAŻ",IF(M82&lt;&gt;"",Z82*M82,0),0)</f>
        <v>0</v>
      </c>
      <c r="AG82" s="19" t="str">
        <f aca="false">IF(R82="","",IF(LOWER(R82)="brak","Brak",IF(OR(ISNUMBER(SEARCH("ric pl",LOWER(R82))),ISNUMBER(SEARCH("wojciechowski",LOWER(R82)))),"Własny","Zewnętrzny")))</f>
        <v/>
      </c>
      <c r="AH82" s="19" t="n">
        <f aca="false">Z82*Q82</f>
        <v>0</v>
      </c>
      <c r="AI82" s="19" t="str">
        <f aca="false">UPPER(TEXT(C82,"mmmm"))</f>
        <v>JULY</v>
      </c>
      <c r="AJ82" s="19" t="str">
        <f aca="false">IF(C82="","",TEXT(C82,"rrrr"))</f>
        <v>CE5786CE5786</v>
      </c>
      <c r="AK82" s="10"/>
      <c r="AL82" s="11" t="n">
        <v>0</v>
      </c>
      <c r="AM82" s="10" t="s">
        <v>216</v>
      </c>
      <c r="AN82" s="10" t="s">
        <v>59</v>
      </c>
      <c r="AO82" s="10"/>
      <c r="AP82" s="10"/>
      <c r="AQ82" s="10"/>
      <c r="AR82" s="10" t="s">
        <v>66</v>
      </c>
      <c r="AS82" s="10"/>
      <c r="AT82" s="15" t="n">
        <v>1</v>
      </c>
    </row>
    <row r="83" s="33" customFormat="true" ht="28.5" hidden="false" customHeight="true" outlineLevel="0" collapsed="false">
      <c r="A83" s="23" t="n">
        <v>46219</v>
      </c>
      <c r="B83" s="23" t="s">
        <v>217</v>
      </c>
      <c r="C83" s="23" t="n">
        <v>46219</v>
      </c>
      <c r="D83" s="10" t="s">
        <v>218</v>
      </c>
      <c r="E83" s="24" t="s">
        <v>63</v>
      </c>
      <c r="F83" s="25" t="s">
        <v>219</v>
      </c>
      <c r="G83" s="26" t="s">
        <v>49</v>
      </c>
      <c r="H83" s="24" t="s">
        <v>76</v>
      </c>
      <c r="I83" s="27" t="n">
        <v>1055</v>
      </c>
      <c r="J83" s="24" t="s">
        <v>103</v>
      </c>
      <c r="K83" s="27" t="n">
        <v>0</v>
      </c>
      <c r="L83" s="28" t="n">
        <v>0</v>
      </c>
      <c r="M83" s="28" t="n">
        <v>0</v>
      </c>
      <c r="N83" s="24" t="s">
        <v>220</v>
      </c>
      <c r="O83" s="24"/>
      <c r="P83" s="24"/>
      <c r="Q83" s="29" t="n">
        <v>0</v>
      </c>
      <c r="R83" s="24" t="s">
        <v>221</v>
      </c>
      <c r="S83" s="24"/>
      <c r="T83" s="24" t="n">
        <v>0</v>
      </c>
      <c r="U83" s="11" t="n">
        <f aca="false">IF(E83="TRANSPORT",IF(T83="","",T83*5),IF(AL83="","",AL83))</f>
        <v>0</v>
      </c>
      <c r="V83" s="24" t="s">
        <v>54</v>
      </c>
      <c r="W83" s="27" t="s">
        <v>65</v>
      </c>
      <c r="X83" s="27"/>
      <c r="Y83" s="30" t="n">
        <v>46231.3022222222</v>
      </c>
      <c r="Z83" s="31" t="n">
        <f aca="false">IF(I83="",0,IF(ISNUMBER(SEARCH("mp",LOWER(J83))),I83,IF(ISNUMBER(SEARCH("ton",LOWER(J83))),I83/0.33,IF(ISNUMBER(SEARCH("m3",LOWER(J83))),I83*4,I83))))</f>
        <v>3196.9696969697</v>
      </c>
      <c r="AA83" s="31" t="n">
        <f aca="false">IF(I83="",0,IF(ISNUMBER(SEARCH("mp",LOWER(J83))),I83*0.33,IF(ISNUMBER(SEARCH("ton",LOWER(J83))),I83,I83*0.33)))</f>
        <v>1055</v>
      </c>
      <c r="AB83" s="31" t="n">
        <f aca="false">Tabela_dane[[#This Row],[Wolumen_t]]*8.5</f>
        <v>8967.5</v>
      </c>
      <c r="AC83" s="31" t="n">
        <f aca="false">IF(G83&lt;&gt;"TAK",0,IF(OR(E83="ZAKUP",E83="PRODUKCJA"),Z83,IF(OR(E83="SPRZEDAŻ",E83="ZUŻYCIE"),-Z83,0)))</f>
        <v>3196.9696969697</v>
      </c>
      <c r="AD83" s="31" t="n">
        <f aca="false">IF(G83&lt;&gt;"TAK",0,IF(OR(E83="ZAKUP",E83="PRODUKCJA"),AA83,IF(OR(E83="SPRZEDAŻ",E83="ZUŻYCIE"),-AA83,0)))</f>
        <v>1055</v>
      </c>
      <c r="AE83" s="32" t="n">
        <f aca="false">IF(E83="ZAKUP",IF(L83&lt;&gt;"",L83,IF(K83&lt;&gt;"",Z83*K83,0)),0)</f>
        <v>0</v>
      </c>
      <c r="AF83" s="32" t="n">
        <f aca="false">IF(E83="SPRZEDAŻ",IF(M83&lt;&gt;"",Z83*M83,0),0)</f>
        <v>0</v>
      </c>
      <c r="AG83" s="32" t="str">
        <f aca="false">IF(R83="","",IF(LOWER(R83)="brak","Brak",IF(OR(ISNUMBER(SEARCH("ric pl",LOWER(R83))),ISNUMBER(SEARCH("wojciechowski",LOWER(R83)))),"Własny","Zewnętrzny")))</f>
        <v>Zewnętrzny</v>
      </c>
      <c r="AH83" s="32" t="n">
        <f aca="false">Z83*Q83</f>
        <v>0</v>
      </c>
      <c r="AI83" s="32" t="str">
        <f aca="false">UPPER(TEXT(C83,"mmmm"))</f>
        <v>JULY</v>
      </c>
      <c r="AJ83" s="32" t="str">
        <f aca="false">IF(C83="","",TEXT(C83,"rrrr"))</f>
        <v>CE5786CE5786</v>
      </c>
      <c r="AK83" s="10"/>
      <c r="AL83" s="11" t="n">
        <v>0</v>
      </c>
      <c r="AM83" s="10" t="s">
        <v>222</v>
      </c>
      <c r="AN83" s="10" t="s">
        <v>49</v>
      </c>
      <c r="AO83" s="10"/>
      <c r="AP83" s="10"/>
      <c r="AQ83" s="10"/>
      <c r="AR83" s="10" t="s">
        <v>66</v>
      </c>
      <c r="AS83" s="10"/>
      <c r="AT83" s="15" t="n">
        <v>1</v>
      </c>
    </row>
    <row r="84" customFormat="false" ht="28.5" hidden="false" customHeight="true" outlineLevel="0" collapsed="false">
      <c r="A84" s="12" t="n">
        <v>46220</v>
      </c>
      <c r="B84" s="12" t="s">
        <v>106</v>
      </c>
      <c r="C84" s="12" t="n">
        <v>46220</v>
      </c>
      <c r="D84" s="10" t="s">
        <v>106</v>
      </c>
      <c r="E84" s="10" t="s">
        <v>107</v>
      </c>
      <c r="F84" s="22" t="s">
        <v>223</v>
      </c>
      <c r="G84" s="14" t="s">
        <v>49</v>
      </c>
      <c r="H84" s="10"/>
      <c r="I84" s="15" t="n">
        <v>80</v>
      </c>
      <c r="J84" s="10" t="s">
        <v>51</v>
      </c>
      <c r="K84" s="15" t="n">
        <v>0</v>
      </c>
      <c r="L84" s="11" t="n">
        <v>0</v>
      </c>
      <c r="M84" s="11" t="n">
        <v>0</v>
      </c>
      <c r="N84" s="10" t="s">
        <v>52</v>
      </c>
      <c r="O84" s="10" t="s">
        <v>67</v>
      </c>
      <c r="P84" s="10"/>
      <c r="Q84" s="16" t="n">
        <v>0</v>
      </c>
      <c r="R84" s="10" t="s">
        <v>68</v>
      </c>
      <c r="S84" s="10" t="s">
        <v>69</v>
      </c>
      <c r="T84" s="10" t="n">
        <v>40</v>
      </c>
      <c r="U84" s="11" t="n">
        <f aca="false">IF(E84="TRANSPORT",IF(T84="","",T84*5),IF(AL84="","",AL84))</f>
        <v>200</v>
      </c>
      <c r="V84" s="10" t="s">
        <v>54</v>
      </c>
      <c r="W84" s="15" t="s">
        <v>65</v>
      </c>
      <c r="X84" s="15" t="s">
        <v>106</v>
      </c>
      <c r="Y84" s="17" t="n">
        <v>46220.3777199074</v>
      </c>
      <c r="Z84" s="18" t="n">
        <f aca="false">IF(I84="",0,IF(ISNUMBER(SEARCH("mp",LOWER(J84))),I84,IF(ISNUMBER(SEARCH("ton",LOWER(J84))),I84/0.33,IF(ISNUMBER(SEARCH("m3",LOWER(J84))),I84*4,I84))))</f>
        <v>80</v>
      </c>
      <c r="AA84" s="18" t="n">
        <f aca="false">IF(I84="",0,IF(ISNUMBER(SEARCH("mp",LOWER(J84))),I84*0.33,IF(ISNUMBER(SEARCH("ton",LOWER(J84))),I84,I84*0.33)))</f>
        <v>26.4</v>
      </c>
      <c r="AB84" s="18" t="n">
        <f aca="false">Tabela_dane[[#This Row],[Wolumen_t]]*8.5</f>
        <v>224.4</v>
      </c>
      <c r="AC84" s="18" t="n">
        <f aca="false">IF(G84&lt;&gt;"TAK",0,IF(OR(E84="ZAKUP",E84="PRODUKCJA"),Z84,IF(OR(E84="SPRZEDAŻ",E84="ZUŻYCIE"),-Z84,0)))</f>
        <v>0</v>
      </c>
      <c r="AD84" s="18" t="n">
        <f aca="false">IF(G84&lt;&gt;"TAK",0,IF(OR(E84="ZAKUP",E84="PRODUKCJA"),AA84,IF(OR(E84="SPRZEDAŻ",E84="ZUŻYCIE"),-AA84,0)))</f>
        <v>0</v>
      </c>
      <c r="AE84" s="19" t="n">
        <f aca="false">IF(E84="ZAKUP",IF(L84&lt;&gt;"",L84,IF(K84&lt;&gt;"",Z84*K84,0)),0)</f>
        <v>0</v>
      </c>
      <c r="AF84" s="19" t="n">
        <f aca="false">IF(E84="SPRZEDAŻ",IF(M84&lt;&gt;"",Z84*M84,0),0)</f>
        <v>0</v>
      </c>
      <c r="AG84" s="19" t="str">
        <f aca="false">IF(R84="","",IF(LOWER(R84)="brak","Brak",IF(OR(ISNUMBER(SEARCH("ric pl",LOWER(R84))),ISNUMBER(SEARCH("wojciechowski",LOWER(R84)))),"Własny","Zewnętrzny")))</f>
        <v>Zewnętrzny</v>
      </c>
      <c r="AH84" s="19" t="n">
        <f aca="false">Z84*Q84</f>
        <v>0</v>
      </c>
      <c r="AI84" s="19" t="str">
        <f aca="false">UPPER(TEXT(C84,"mmmm"))</f>
        <v>JULY</v>
      </c>
      <c r="AJ84" s="19" t="str">
        <f aca="false">IF(C84="","",TEXT(C84,"rrrr"))</f>
        <v>CE5786CE5786</v>
      </c>
      <c r="AK84" s="10"/>
      <c r="AL84" s="11" t="n">
        <v>200</v>
      </c>
      <c r="AM84" s="10" t="s">
        <v>224</v>
      </c>
      <c r="AN84" s="10" t="s">
        <v>49</v>
      </c>
      <c r="AO84" s="10"/>
      <c r="AP84" s="10"/>
      <c r="AQ84" s="10"/>
      <c r="AR84" s="10" t="s">
        <v>66</v>
      </c>
      <c r="AS84" s="10"/>
      <c r="AT84" s="15" t="n">
        <v>1</v>
      </c>
    </row>
    <row r="85" customFormat="false" ht="28.5" hidden="false" customHeight="true" outlineLevel="0" collapsed="false">
      <c r="A85" s="12" t="n">
        <v>46220</v>
      </c>
      <c r="B85" s="12" t="s">
        <v>106</v>
      </c>
      <c r="C85" s="12" t="n">
        <v>46220</v>
      </c>
      <c r="D85" s="10" t="s">
        <v>106</v>
      </c>
      <c r="E85" s="10" t="s">
        <v>107</v>
      </c>
      <c r="F85" s="22" t="s">
        <v>225</v>
      </c>
      <c r="G85" s="14" t="s">
        <v>49</v>
      </c>
      <c r="H85" s="10"/>
      <c r="I85" s="15" t="n">
        <v>84</v>
      </c>
      <c r="J85" s="10" t="s">
        <v>51</v>
      </c>
      <c r="K85" s="15" t="n">
        <v>0</v>
      </c>
      <c r="L85" s="11" t="n">
        <v>0</v>
      </c>
      <c r="M85" s="11" t="n">
        <v>0</v>
      </c>
      <c r="N85" s="10" t="s">
        <v>52</v>
      </c>
      <c r="O85" s="10" t="s">
        <v>67</v>
      </c>
      <c r="P85" s="10"/>
      <c r="Q85" s="16" t="n">
        <v>0</v>
      </c>
      <c r="R85" s="10" t="s">
        <v>182</v>
      </c>
      <c r="S85" s="10" t="s">
        <v>95</v>
      </c>
      <c r="T85" s="10" t="n">
        <v>40</v>
      </c>
      <c r="U85" s="11" t="n">
        <f aca="false">IF(E85="TRANSPORT",IF(T85="","",T85*5),IF(AL85="","",AL85))</f>
        <v>200</v>
      </c>
      <c r="V85" s="10" t="s">
        <v>54</v>
      </c>
      <c r="W85" s="15" t="s">
        <v>70</v>
      </c>
      <c r="X85" s="15" t="s">
        <v>106</v>
      </c>
      <c r="Y85" s="17" t="n">
        <v>46220.3788310185</v>
      </c>
      <c r="Z85" s="18" t="n">
        <f aca="false">IF(I85="",0,IF(ISNUMBER(SEARCH("mp",LOWER(J85))),I85,IF(ISNUMBER(SEARCH("ton",LOWER(J85))),I85/0.33,IF(ISNUMBER(SEARCH("m3",LOWER(J85))),I85*4,I85))))</f>
        <v>84</v>
      </c>
      <c r="AA85" s="18" t="n">
        <f aca="false">IF(I85="",0,IF(ISNUMBER(SEARCH("mp",LOWER(J85))),I85*0.33,IF(ISNUMBER(SEARCH("ton",LOWER(J85))),I85,I85*0.33)))</f>
        <v>27.72</v>
      </c>
      <c r="AB85" s="18" t="n">
        <f aca="false">Tabela_dane[[#This Row],[Wolumen_t]]*8.5</f>
        <v>235.62</v>
      </c>
      <c r="AC85" s="18" t="n">
        <f aca="false">IF(G85&lt;&gt;"TAK",0,IF(OR(E85="ZAKUP",E85="PRODUKCJA"),Z85,IF(OR(E85="SPRZEDAŻ",E85="ZUŻYCIE"),-Z85,0)))</f>
        <v>0</v>
      </c>
      <c r="AD85" s="18" t="n">
        <f aca="false">IF(G85&lt;&gt;"TAK",0,IF(OR(E85="ZAKUP",E85="PRODUKCJA"),AA85,IF(OR(E85="SPRZEDAŻ",E85="ZUŻYCIE"),-AA85,0)))</f>
        <v>0</v>
      </c>
      <c r="AE85" s="19" t="n">
        <f aca="false">IF(E85="ZAKUP",IF(L85&lt;&gt;"",L85,IF(K85&lt;&gt;"",Z85*K85,0)),0)</f>
        <v>0</v>
      </c>
      <c r="AF85" s="19" t="n">
        <f aca="false">IF(E85="SPRZEDAŻ",IF(M85&lt;&gt;"",Z85*M85,0),0)</f>
        <v>0</v>
      </c>
      <c r="AG85" s="19" t="str">
        <f aca="false">IF(R85="","",IF(LOWER(R85)="brak","Brak",IF(OR(ISNUMBER(SEARCH("ric pl",LOWER(R85))),ISNUMBER(SEARCH("wojciechowski",LOWER(R85)))),"Własny","Zewnętrzny")))</f>
        <v>Zewnętrzny</v>
      </c>
      <c r="AH85" s="19" t="n">
        <f aca="false">Z85*Q85</f>
        <v>0</v>
      </c>
      <c r="AI85" s="19" t="str">
        <f aca="false">UPPER(TEXT(C85,"mmmm"))</f>
        <v>JULY</v>
      </c>
      <c r="AJ85" s="19" t="str">
        <f aca="false">IF(C85="","",TEXT(C85,"rrrr"))</f>
        <v>CE5786CE5786</v>
      </c>
      <c r="AK85" s="10"/>
      <c r="AL85" s="11" t="n">
        <v>200</v>
      </c>
      <c r="AM85" s="10" t="s">
        <v>226</v>
      </c>
      <c r="AN85" s="10" t="s">
        <v>49</v>
      </c>
      <c r="AO85" s="10"/>
      <c r="AP85" s="10"/>
      <c r="AQ85" s="10"/>
      <c r="AR85" s="10" t="s">
        <v>66</v>
      </c>
      <c r="AS85" s="10"/>
      <c r="AT85" s="15" t="n">
        <v>1</v>
      </c>
    </row>
    <row r="86" customFormat="false" ht="28.5" hidden="false" customHeight="true" outlineLevel="0" collapsed="false">
      <c r="A86" s="12" t="n">
        <v>46220</v>
      </c>
      <c r="B86" s="12" t="s">
        <v>106</v>
      </c>
      <c r="C86" s="12" t="n">
        <v>46220</v>
      </c>
      <c r="D86" s="10" t="s">
        <v>106</v>
      </c>
      <c r="E86" s="10" t="s">
        <v>107</v>
      </c>
      <c r="F86" s="22" t="s">
        <v>227</v>
      </c>
      <c r="G86" s="14" t="s">
        <v>49</v>
      </c>
      <c r="H86" s="10"/>
      <c r="I86" s="15" t="n">
        <v>62.19</v>
      </c>
      <c r="J86" s="10" t="s">
        <v>51</v>
      </c>
      <c r="K86" s="15" t="n">
        <v>0</v>
      </c>
      <c r="L86" s="11" t="n">
        <v>0</v>
      </c>
      <c r="M86" s="11" t="n">
        <v>0</v>
      </c>
      <c r="N86" s="10" t="s">
        <v>52</v>
      </c>
      <c r="O86" s="10" t="s">
        <v>67</v>
      </c>
      <c r="P86" s="10"/>
      <c r="Q86" s="16" t="n">
        <v>0</v>
      </c>
      <c r="R86" s="10" t="s">
        <v>72</v>
      </c>
      <c r="S86" s="10" t="s">
        <v>73</v>
      </c>
      <c r="T86" s="10" t="n">
        <v>40</v>
      </c>
      <c r="U86" s="11" t="n">
        <f aca="false">IF(E86="TRANSPORT",IF(T86="","",T86*5),IF(AL86="","",AL86))</f>
        <v>240</v>
      </c>
      <c r="V86" s="10" t="s">
        <v>54</v>
      </c>
      <c r="W86" s="15" t="s">
        <v>65</v>
      </c>
      <c r="X86" s="15" t="s">
        <v>106</v>
      </c>
      <c r="Y86" s="17" t="n">
        <v>46220.3797337963</v>
      </c>
      <c r="Z86" s="18" t="n">
        <f aca="false">IF(I86="",0,IF(ISNUMBER(SEARCH("mp",LOWER(J86))),I86,IF(ISNUMBER(SEARCH("ton",LOWER(J86))),I86/0.33,IF(ISNUMBER(SEARCH("m3",LOWER(J86))),I86*4,I86))))</f>
        <v>62.19</v>
      </c>
      <c r="AA86" s="18" t="n">
        <f aca="false">IF(I86="",0,IF(ISNUMBER(SEARCH("mp",LOWER(J86))),I86*0.33,IF(ISNUMBER(SEARCH("ton",LOWER(J86))),I86,I86*0.33)))</f>
        <v>20.5227</v>
      </c>
      <c r="AB86" s="18" t="n">
        <f aca="false">Tabela_dane[[#This Row],[Wolumen_t]]*8.5</f>
        <v>174.44295</v>
      </c>
      <c r="AC86" s="18" t="n">
        <f aca="false">IF(G86&lt;&gt;"TAK",0,IF(OR(E86="ZAKUP",E86="PRODUKCJA"),Z86,IF(OR(E86="SPRZEDAŻ",E86="ZUŻYCIE"),-Z86,0)))</f>
        <v>0</v>
      </c>
      <c r="AD86" s="18" t="n">
        <f aca="false">IF(G86&lt;&gt;"TAK",0,IF(OR(E86="ZAKUP",E86="PRODUKCJA"),AA86,IF(OR(E86="SPRZEDAŻ",E86="ZUŻYCIE"),-AA86,0)))</f>
        <v>0</v>
      </c>
      <c r="AE86" s="19" t="n">
        <f aca="false">IF(E86="ZAKUP",IF(L86&lt;&gt;"",L86,IF(K86&lt;&gt;"",Z86*K86,0)),0)</f>
        <v>0</v>
      </c>
      <c r="AF86" s="19" t="n">
        <f aca="false">IF(E86="SPRZEDAŻ",IF(M86&lt;&gt;"",Z86*M86,0),0)</f>
        <v>0</v>
      </c>
      <c r="AG86" s="19" t="str">
        <f aca="false">IF(R86="","",IF(LOWER(R86)="brak","Brak",IF(OR(ISNUMBER(SEARCH("ric pl",LOWER(R86))),ISNUMBER(SEARCH("wojciechowski",LOWER(R86)))),"Własny","Zewnętrzny")))</f>
        <v>Zewnętrzny</v>
      </c>
      <c r="AH86" s="19" t="n">
        <f aca="false">Z86*Q86</f>
        <v>0</v>
      </c>
      <c r="AI86" s="19" t="str">
        <f aca="false">UPPER(TEXT(C86,"mmmm"))</f>
        <v>JULY</v>
      </c>
      <c r="AJ86" s="19" t="str">
        <f aca="false">IF(C86="","",TEXT(C86,"rrrr"))</f>
        <v>CE5786CE5786</v>
      </c>
      <c r="AK86" s="10"/>
      <c r="AL86" s="11" t="n">
        <v>240</v>
      </c>
      <c r="AM86" s="10" t="s">
        <v>228</v>
      </c>
      <c r="AN86" s="10" t="s">
        <v>49</v>
      </c>
      <c r="AO86" s="10"/>
      <c r="AP86" s="10"/>
      <c r="AQ86" s="10"/>
      <c r="AR86" s="10" t="s">
        <v>66</v>
      </c>
      <c r="AS86" s="10"/>
      <c r="AT86" s="15" t="n">
        <v>1</v>
      </c>
    </row>
    <row r="87" customFormat="false" ht="28.5" hidden="false" customHeight="true" outlineLevel="0" collapsed="false">
      <c r="A87" s="12" t="n">
        <v>46220</v>
      </c>
      <c r="B87" s="12" t="s">
        <v>106</v>
      </c>
      <c r="C87" s="12" t="n">
        <v>46220</v>
      </c>
      <c r="D87" s="10" t="s">
        <v>106</v>
      </c>
      <c r="E87" s="10" t="s">
        <v>107</v>
      </c>
      <c r="F87" s="22" t="s">
        <v>229</v>
      </c>
      <c r="G87" s="14" t="s">
        <v>49</v>
      </c>
      <c r="H87" s="10"/>
      <c r="I87" s="15" t="n">
        <v>85</v>
      </c>
      <c r="J87" s="10" t="s">
        <v>51</v>
      </c>
      <c r="K87" s="15" t="n">
        <v>0</v>
      </c>
      <c r="L87" s="11" t="n">
        <v>0</v>
      </c>
      <c r="M87" s="11" t="n">
        <v>0</v>
      </c>
      <c r="N87" s="10" t="s">
        <v>52</v>
      </c>
      <c r="O87" s="10" t="s">
        <v>67</v>
      </c>
      <c r="P87" s="10"/>
      <c r="Q87" s="16" t="n">
        <v>0</v>
      </c>
      <c r="R87" s="10" t="s">
        <v>97</v>
      </c>
      <c r="S87" s="10" t="s">
        <v>230</v>
      </c>
      <c r="T87" s="10" t="n">
        <v>40</v>
      </c>
      <c r="U87" s="11" t="n">
        <f aca="false">IF(E87="TRANSPORT",IF(T87="","",T87*5),IF(AL87="","",AL87))</f>
        <v>600</v>
      </c>
      <c r="V87" s="10" t="s">
        <v>54</v>
      </c>
      <c r="W87" s="15" t="s">
        <v>65</v>
      </c>
      <c r="X87" s="15" t="s">
        <v>106</v>
      </c>
      <c r="Y87" s="17" t="n">
        <v>46220.3847222222</v>
      </c>
      <c r="Z87" s="18" t="n">
        <f aca="false">IF(I87="",0,IF(ISNUMBER(SEARCH("mp",LOWER(J87))),I87,IF(ISNUMBER(SEARCH("ton",LOWER(J87))),I87/0.33,IF(ISNUMBER(SEARCH("m3",LOWER(J87))),I87*4,I87))))</f>
        <v>85</v>
      </c>
      <c r="AA87" s="18" t="n">
        <f aca="false">IF(I87="",0,IF(ISNUMBER(SEARCH("mp",LOWER(J87))),I87*0.33,IF(ISNUMBER(SEARCH("ton",LOWER(J87))),I87,I87*0.33)))</f>
        <v>28.05</v>
      </c>
      <c r="AB87" s="18" t="n">
        <f aca="false">Tabela_dane[[#This Row],[Wolumen_t]]*8.5</f>
        <v>238.425</v>
      </c>
      <c r="AC87" s="18" t="n">
        <f aca="false">IF(G87&lt;&gt;"TAK",0,IF(OR(E87="ZAKUP",E87="PRODUKCJA"),Z87,IF(OR(E87="SPRZEDAŻ",E87="ZUŻYCIE"),-Z87,0)))</f>
        <v>0</v>
      </c>
      <c r="AD87" s="18" t="n">
        <f aca="false">IF(G87&lt;&gt;"TAK",0,IF(OR(E87="ZAKUP",E87="PRODUKCJA"),AA87,IF(OR(E87="SPRZEDAŻ",E87="ZUŻYCIE"),-AA87,0)))</f>
        <v>0</v>
      </c>
      <c r="AE87" s="19" t="n">
        <f aca="false">IF(E87="ZAKUP",IF(L87&lt;&gt;"",L87,IF(K87&lt;&gt;"",Z87*K87,0)),0)</f>
        <v>0</v>
      </c>
      <c r="AF87" s="19" t="n">
        <f aca="false">IF(E87="SPRZEDAŻ",IF(M87&lt;&gt;"",Z87*M87,0),0)</f>
        <v>0</v>
      </c>
      <c r="AG87" s="19" t="str">
        <f aca="false">IF(R87="","",IF(LOWER(R87)="brak","Brak",IF(OR(ISNUMBER(SEARCH("ric pl",LOWER(R87))),ISNUMBER(SEARCH("wojciechowski",LOWER(R87)))),"Własny","Zewnętrzny")))</f>
        <v>Zewnętrzny</v>
      </c>
      <c r="AH87" s="19" t="n">
        <f aca="false">Z87*Q87</f>
        <v>0</v>
      </c>
      <c r="AI87" s="19" t="str">
        <f aca="false">UPPER(TEXT(C87,"mmmm"))</f>
        <v>JULY</v>
      </c>
      <c r="AJ87" s="19" t="str">
        <f aca="false">IF(C87="","",TEXT(C87,"rrrr"))</f>
        <v>CE5786CE5786</v>
      </c>
      <c r="AK87" s="10"/>
      <c r="AL87" s="11" t="n">
        <v>600</v>
      </c>
      <c r="AM87" s="10" t="s">
        <v>231</v>
      </c>
      <c r="AN87" s="10" t="s">
        <v>49</v>
      </c>
      <c r="AO87" s="10"/>
      <c r="AP87" s="10"/>
      <c r="AQ87" s="10"/>
      <c r="AR87" s="10" t="s">
        <v>66</v>
      </c>
      <c r="AS87" s="10"/>
      <c r="AT87" s="15" t="n">
        <v>1</v>
      </c>
    </row>
    <row r="88" customFormat="false" ht="28.5" hidden="false" customHeight="true" outlineLevel="0" collapsed="false">
      <c r="A88" s="12" t="n">
        <v>46220</v>
      </c>
      <c r="B88" s="12" t="s">
        <v>106</v>
      </c>
      <c r="C88" s="12" t="n">
        <v>46220</v>
      </c>
      <c r="D88" s="10" t="s">
        <v>106</v>
      </c>
      <c r="E88" s="10" t="s">
        <v>107</v>
      </c>
      <c r="F88" s="22" t="s">
        <v>232</v>
      </c>
      <c r="G88" s="14" t="s">
        <v>49</v>
      </c>
      <c r="H88" s="10"/>
      <c r="I88" s="15" t="n">
        <v>87</v>
      </c>
      <c r="J88" s="10" t="s">
        <v>51</v>
      </c>
      <c r="K88" s="15" t="n">
        <v>0</v>
      </c>
      <c r="L88" s="11" t="n">
        <v>0</v>
      </c>
      <c r="M88" s="11" t="n">
        <v>0</v>
      </c>
      <c r="N88" s="10" t="s">
        <v>52</v>
      </c>
      <c r="O88" s="10" t="s">
        <v>67</v>
      </c>
      <c r="P88" s="10"/>
      <c r="Q88" s="16" t="n">
        <v>0</v>
      </c>
      <c r="R88" s="10" t="s">
        <v>97</v>
      </c>
      <c r="S88" s="10" t="s">
        <v>230</v>
      </c>
      <c r="T88" s="10" t="n">
        <v>40</v>
      </c>
      <c r="U88" s="11" t="n">
        <f aca="false">IF(E88="TRANSPORT",IF(T88="","",T88*5),IF(AL88="","",AL88))</f>
        <v>600</v>
      </c>
      <c r="V88" s="10" t="s">
        <v>54</v>
      </c>
      <c r="W88" s="15" t="s">
        <v>70</v>
      </c>
      <c r="X88" s="15" t="s">
        <v>106</v>
      </c>
      <c r="Y88" s="17" t="n">
        <v>46220.4527314815</v>
      </c>
      <c r="Z88" s="18" t="n">
        <f aca="false">IF(I88="",0,IF(ISNUMBER(SEARCH("mp",LOWER(J88))),I88,IF(ISNUMBER(SEARCH("ton",LOWER(J88))),I88/0.33,IF(ISNUMBER(SEARCH("m3",LOWER(J88))),I88*4,I88))))</f>
        <v>87</v>
      </c>
      <c r="AA88" s="18" t="n">
        <f aca="false">IF(I88="",0,IF(ISNUMBER(SEARCH("mp",LOWER(J88))),I88*0.33,IF(ISNUMBER(SEARCH("ton",LOWER(J88))),I88,I88*0.33)))</f>
        <v>28.71</v>
      </c>
      <c r="AB88" s="18" t="n">
        <f aca="false">Tabela_dane[[#This Row],[Wolumen_t]]*8.5</f>
        <v>244.035</v>
      </c>
      <c r="AC88" s="18" t="n">
        <f aca="false">IF(G88&lt;&gt;"TAK",0,IF(OR(E88="ZAKUP",E88="PRODUKCJA"),Z88,IF(OR(E88="SPRZEDAŻ",E88="ZUŻYCIE"),-Z88,0)))</f>
        <v>0</v>
      </c>
      <c r="AD88" s="18" t="n">
        <f aca="false">IF(G88&lt;&gt;"TAK",0,IF(OR(E88="ZAKUP",E88="PRODUKCJA"),AA88,IF(OR(E88="SPRZEDAŻ",E88="ZUŻYCIE"),-AA88,0)))</f>
        <v>0</v>
      </c>
      <c r="AE88" s="19" t="n">
        <f aca="false">IF(E88="ZAKUP",IF(L88&lt;&gt;"",L88,IF(K88&lt;&gt;"",Z88*K88,0)),0)</f>
        <v>0</v>
      </c>
      <c r="AF88" s="19" t="n">
        <f aca="false">IF(E88="SPRZEDAŻ",IF(M88&lt;&gt;"",Z88*M88,0),0)</f>
        <v>0</v>
      </c>
      <c r="AG88" s="19" t="str">
        <f aca="false">IF(R88="","",IF(LOWER(R88)="brak","Brak",IF(OR(ISNUMBER(SEARCH("ric pl",LOWER(R88))),ISNUMBER(SEARCH("wojciechowski",LOWER(R88)))),"Własny","Zewnętrzny")))</f>
        <v>Zewnętrzny</v>
      </c>
      <c r="AH88" s="19" t="n">
        <f aca="false">Z88*Q88</f>
        <v>0</v>
      </c>
      <c r="AI88" s="19" t="str">
        <f aca="false">UPPER(TEXT(C88,"mmmm"))</f>
        <v>JULY</v>
      </c>
      <c r="AJ88" s="19" t="str">
        <f aca="false">IF(C88="","",TEXT(C88,"rrrr"))</f>
        <v>CE5786CE5786</v>
      </c>
      <c r="AK88" s="10"/>
      <c r="AL88" s="11" t="n">
        <v>600</v>
      </c>
      <c r="AM88" s="10" t="s">
        <v>233</v>
      </c>
      <c r="AN88" s="10" t="s">
        <v>49</v>
      </c>
      <c r="AO88" s="10"/>
      <c r="AP88" s="10"/>
      <c r="AQ88" s="10"/>
      <c r="AR88" s="10" t="s">
        <v>66</v>
      </c>
      <c r="AS88" s="10"/>
      <c r="AT88" s="15" t="n">
        <v>1</v>
      </c>
    </row>
    <row r="89" customFormat="false" ht="28.5" hidden="false" customHeight="true" outlineLevel="0" collapsed="false">
      <c r="A89" s="12" t="n">
        <v>46220</v>
      </c>
      <c r="B89" s="12" t="s">
        <v>106</v>
      </c>
      <c r="C89" s="12" t="n">
        <v>46220</v>
      </c>
      <c r="D89" s="10" t="s">
        <v>106</v>
      </c>
      <c r="E89" s="10" t="s">
        <v>107</v>
      </c>
      <c r="F89" s="22" t="s">
        <v>234</v>
      </c>
      <c r="G89" s="14" t="s">
        <v>49</v>
      </c>
      <c r="H89" s="10"/>
      <c r="I89" s="15" t="n">
        <v>86</v>
      </c>
      <c r="J89" s="10" t="s">
        <v>51</v>
      </c>
      <c r="K89" s="15" t="n">
        <v>0</v>
      </c>
      <c r="L89" s="11" t="n">
        <v>0</v>
      </c>
      <c r="M89" s="11" t="n">
        <v>0</v>
      </c>
      <c r="N89" s="10" t="s">
        <v>52</v>
      </c>
      <c r="O89" s="10" t="s">
        <v>67</v>
      </c>
      <c r="P89" s="10"/>
      <c r="Q89" s="16" t="n">
        <v>0</v>
      </c>
      <c r="R89" s="10" t="s">
        <v>97</v>
      </c>
      <c r="S89" s="10" t="s">
        <v>230</v>
      </c>
      <c r="T89" s="10" t="n">
        <v>40</v>
      </c>
      <c r="U89" s="11" t="n">
        <f aca="false">IF(E89="TRANSPORT",IF(T89="","",T89*5),IF(AL89="","",AL89))</f>
        <v>600</v>
      </c>
      <c r="V89" s="10" t="s">
        <v>54</v>
      </c>
      <c r="W89" s="15" t="s">
        <v>70</v>
      </c>
      <c r="X89" s="15" t="s">
        <v>106</v>
      </c>
      <c r="Y89" s="17" t="n">
        <v>46224.410787037</v>
      </c>
      <c r="Z89" s="18" t="n">
        <f aca="false">IF(I89="",0,IF(ISNUMBER(SEARCH("mp",LOWER(J89))),I89,IF(ISNUMBER(SEARCH("ton",LOWER(J89))),I89/0.33,IF(ISNUMBER(SEARCH("m3",LOWER(J89))),I89*4,I89))))</f>
        <v>86</v>
      </c>
      <c r="AA89" s="18" t="n">
        <f aca="false">IF(I89="",0,IF(ISNUMBER(SEARCH("mp",LOWER(J89))),I89*0.33,IF(ISNUMBER(SEARCH("ton",LOWER(J89))),I89,I89*0.33)))</f>
        <v>28.38</v>
      </c>
      <c r="AB89" s="18" t="n">
        <f aca="false">Tabela_dane[[#This Row],[Wolumen_t]]*8.5</f>
        <v>241.23</v>
      </c>
      <c r="AC89" s="18" t="n">
        <f aca="false">IF(G89&lt;&gt;"TAK",0,IF(OR(E89="ZAKUP",E89="PRODUKCJA"),Z89,IF(OR(E89="SPRZEDAŻ",E89="ZUŻYCIE"),-Z89,0)))</f>
        <v>0</v>
      </c>
      <c r="AD89" s="18" t="n">
        <f aca="false">IF(G89&lt;&gt;"TAK",0,IF(OR(E89="ZAKUP",E89="PRODUKCJA"),AA89,IF(OR(E89="SPRZEDAŻ",E89="ZUŻYCIE"),-AA89,0)))</f>
        <v>0</v>
      </c>
      <c r="AE89" s="19" t="n">
        <f aca="false">IF(E89="ZAKUP",IF(L89&lt;&gt;"",L89,IF(K89&lt;&gt;"",Z89*K89,0)),0)</f>
        <v>0</v>
      </c>
      <c r="AF89" s="19" t="n">
        <f aca="false">IF(E89="SPRZEDAŻ",IF(M89&lt;&gt;"",Z89*M89,0),0)</f>
        <v>0</v>
      </c>
      <c r="AG89" s="19" t="str">
        <f aca="false">IF(R89="","",IF(LOWER(R89)="brak","Brak",IF(OR(ISNUMBER(SEARCH("ric pl",LOWER(R89))),ISNUMBER(SEARCH("wojciechowski",LOWER(R89)))),"Własny","Zewnętrzny")))</f>
        <v>Zewnętrzny</v>
      </c>
      <c r="AH89" s="19" t="n">
        <f aca="false">Z89*Q89</f>
        <v>0</v>
      </c>
      <c r="AI89" s="19" t="str">
        <f aca="false">UPPER(TEXT(C89,"mmmm"))</f>
        <v>JULY</v>
      </c>
      <c r="AJ89" s="19" t="str">
        <f aca="false">IF(C89="","",TEXT(C89,"rrrr"))</f>
        <v>CE5786CE5786</v>
      </c>
      <c r="AK89" s="10"/>
      <c r="AL89" s="11" t="n">
        <v>600</v>
      </c>
      <c r="AM89" s="10" t="s">
        <v>235</v>
      </c>
      <c r="AN89" s="10" t="s">
        <v>49</v>
      </c>
      <c r="AO89" s="10"/>
      <c r="AP89" s="10"/>
      <c r="AQ89" s="10"/>
      <c r="AR89" s="10" t="s">
        <v>66</v>
      </c>
      <c r="AS89" s="10"/>
      <c r="AT89" s="15" t="n">
        <v>1</v>
      </c>
    </row>
    <row r="90" customFormat="false" ht="28.5" hidden="false" customHeight="true" outlineLevel="0" collapsed="false">
      <c r="A90" s="12" t="n">
        <v>46220</v>
      </c>
      <c r="B90" s="12" t="s">
        <v>106</v>
      </c>
      <c r="C90" s="12" t="n">
        <v>46220</v>
      </c>
      <c r="D90" s="10" t="s">
        <v>106</v>
      </c>
      <c r="E90" s="10" t="s">
        <v>107</v>
      </c>
      <c r="F90" s="22" t="s">
        <v>236</v>
      </c>
      <c r="G90" s="14" t="s">
        <v>49</v>
      </c>
      <c r="H90" s="10"/>
      <c r="I90" s="15" t="n">
        <v>65</v>
      </c>
      <c r="J90" s="10" t="s">
        <v>51</v>
      </c>
      <c r="K90" s="15" t="n">
        <v>0</v>
      </c>
      <c r="L90" s="11" t="n">
        <v>0</v>
      </c>
      <c r="M90" s="11" t="n">
        <v>0</v>
      </c>
      <c r="N90" s="10" t="s">
        <v>52</v>
      </c>
      <c r="O90" s="10" t="s">
        <v>67</v>
      </c>
      <c r="P90" s="10"/>
      <c r="Q90" s="16" t="n">
        <v>0</v>
      </c>
      <c r="R90" s="10" t="s">
        <v>72</v>
      </c>
      <c r="S90" s="10" t="s">
        <v>73</v>
      </c>
      <c r="T90" s="10" t="n">
        <v>40</v>
      </c>
      <c r="U90" s="11" t="n">
        <f aca="false">IF(E90="TRANSPORT",IF(T90="","",T90*5),IF(AL90="","",AL90))</f>
        <v>240</v>
      </c>
      <c r="V90" s="10" t="s">
        <v>54</v>
      </c>
      <c r="W90" s="15" t="s">
        <v>65</v>
      </c>
      <c r="X90" s="15" t="s">
        <v>106</v>
      </c>
      <c r="Y90" s="17" t="n">
        <v>46224.4193402778</v>
      </c>
      <c r="Z90" s="18" t="n">
        <f aca="false">IF(I90="",0,IF(ISNUMBER(SEARCH("mp",LOWER(J90))),I90,IF(ISNUMBER(SEARCH("ton",LOWER(J90))),I90/0.33,IF(ISNUMBER(SEARCH("m3",LOWER(J90))),I90*4,I90))))</f>
        <v>65</v>
      </c>
      <c r="AA90" s="18" t="n">
        <f aca="false">IF(I90="",0,IF(ISNUMBER(SEARCH("mp",LOWER(J90))),I90*0.33,IF(ISNUMBER(SEARCH("ton",LOWER(J90))),I90,I90*0.33)))</f>
        <v>21.45</v>
      </c>
      <c r="AB90" s="18" t="n">
        <f aca="false">Tabela_dane[[#This Row],[Wolumen_t]]*8.5</f>
        <v>182.325</v>
      </c>
      <c r="AC90" s="18" t="n">
        <f aca="false">IF(G90&lt;&gt;"TAK",0,IF(OR(E90="ZAKUP",E90="PRODUKCJA"),Z90,IF(OR(E90="SPRZEDAŻ",E90="ZUŻYCIE"),-Z90,0)))</f>
        <v>0</v>
      </c>
      <c r="AD90" s="18" t="n">
        <f aca="false">IF(G90&lt;&gt;"TAK",0,IF(OR(E90="ZAKUP",E90="PRODUKCJA"),AA90,IF(OR(E90="SPRZEDAŻ",E90="ZUŻYCIE"),-AA90,0)))</f>
        <v>0</v>
      </c>
      <c r="AE90" s="19" t="n">
        <f aca="false">IF(E90="ZAKUP",IF(L90&lt;&gt;"",L90,IF(K90&lt;&gt;"",Z90*K90,0)),0)</f>
        <v>0</v>
      </c>
      <c r="AF90" s="19" t="n">
        <f aca="false">IF(E90="SPRZEDAŻ",IF(M90&lt;&gt;"",Z90*M90,0),0)</f>
        <v>0</v>
      </c>
      <c r="AG90" s="19" t="str">
        <f aca="false">IF(R90="","",IF(LOWER(R90)="brak","Brak",IF(OR(ISNUMBER(SEARCH("ric pl",LOWER(R90))),ISNUMBER(SEARCH("wojciechowski",LOWER(R90)))),"Własny","Zewnętrzny")))</f>
        <v>Zewnętrzny</v>
      </c>
      <c r="AH90" s="19" t="n">
        <f aca="false">Z90*Q90</f>
        <v>0</v>
      </c>
      <c r="AI90" s="19" t="str">
        <f aca="false">UPPER(TEXT(C90,"mmmm"))</f>
        <v>JULY</v>
      </c>
      <c r="AJ90" s="19" t="str">
        <f aca="false">IF(C90="","",TEXT(C90,"rrrr"))</f>
        <v>CE5786CE5786</v>
      </c>
      <c r="AK90" s="10"/>
      <c r="AL90" s="11" t="n">
        <v>240</v>
      </c>
      <c r="AM90" s="10" t="s">
        <v>237</v>
      </c>
      <c r="AN90" s="10" t="s">
        <v>49</v>
      </c>
      <c r="AO90" s="10"/>
      <c r="AP90" s="10"/>
      <c r="AQ90" s="10"/>
      <c r="AR90" s="10" t="s">
        <v>66</v>
      </c>
      <c r="AS90" s="10"/>
      <c r="AT90" s="15" t="n">
        <v>1</v>
      </c>
    </row>
    <row r="91" customFormat="false" ht="28.5" hidden="false" customHeight="true" outlineLevel="0" collapsed="false">
      <c r="A91" s="12" t="n">
        <v>46220</v>
      </c>
      <c r="B91" s="12"/>
      <c r="C91" s="12" t="n">
        <v>46220</v>
      </c>
      <c r="D91" s="10" t="s">
        <v>46</v>
      </c>
      <c r="E91" s="10" t="s">
        <v>63</v>
      </c>
      <c r="F91" s="20" t="s">
        <v>238</v>
      </c>
      <c r="G91" s="14" t="s">
        <v>49</v>
      </c>
      <c r="H91" s="10" t="s">
        <v>76</v>
      </c>
      <c r="I91" s="15" t="n">
        <v>30</v>
      </c>
      <c r="J91" s="10" t="s">
        <v>77</v>
      </c>
      <c r="K91" s="15" t="n">
        <v>230</v>
      </c>
      <c r="L91" s="11" t="n">
        <v>6900</v>
      </c>
      <c r="M91" s="11" t="n">
        <v>0</v>
      </c>
      <c r="N91" s="10" t="s">
        <v>64</v>
      </c>
      <c r="O91" s="10"/>
      <c r="P91" s="10"/>
      <c r="Q91" s="16" t="n">
        <v>0</v>
      </c>
      <c r="R91" s="10"/>
      <c r="S91" s="10"/>
      <c r="T91" s="10" t="n">
        <v>0</v>
      </c>
      <c r="U91" s="11" t="n">
        <f aca="false">IF(E91="TRANSPORT",IF(T91="","",T91*5),IF(AL91="","",AL91))</f>
        <v>0</v>
      </c>
      <c r="V91" s="10" t="s">
        <v>54</v>
      </c>
      <c r="W91" s="15" t="s">
        <v>239</v>
      </c>
      <c r="X91" s="15"/>
      <c r="Y91" s="17" t="n">
        <v>46224.4223263889</v>
      </c>
      <c r="Z91" s="18" t="n">
        <f aca="false">IF(I91="",0,IF(ISNUMBER(SEARCH("mp",LOWER(J91))),I91,IF(ISNUMBER(SEARCH("ton",LOWER(J91))),I91/0.33,IF(ISNUMBER(SEARCH("m3",LOWER(J91))),I91*4,I91))))</f>
        <v>120</v>
      </c>
      <c r="AA91" s="18" t="n">
        <f aca="false">IF(I91="",0,IF(ISNUMBER(SEARCH("mp",LOWER(J91))),I91*0.33,IF(ISNUMBER(SEARCH("ton",LOWER(J91))),I91,I91*0.33)))</f>
        <v>9.9</v>
      </c>
      <c r="AB91" s="18" t="n">
        <f aca="false">Tabela_dane[[#This Row],[Wolumen_t]]*8.5</f>
        <v>84.15</v>
      </c>
      <c r="AC91" s="18" t="n">
        <f aca="false">IF(G91&lt;&gt;"TAK",0,IF(OR(E91="ZAKUP",E91="PRODUKCJA"),Z91,IF(OR(E91="SPRZEDAŻ",E91="ZUŻYCIE"),-Z91,0)))</f>
        <v>120</v>
      </c>
      <c r="AD91" s="18" t="n">
        <f aca="false">IF(G91&lt;&gt;"TAK",0,IF(OR(E91="ZAKUP",E91="PRODUKCJA"),AA91,IF(OR(E91="SPRZEDAŻ",E91="ZUŻYCIE"),-AA91,0)))</f>
        <v>9.9</v>
      </c>
      <c r="AE91" s="19" t="n">
        <f aca="false">IF(E91="ZAKUP",IF(L91&lt;&gt;"",L91,IF(K91&lt;&gt;"",Z91*K91,0)),0)</f>
        <v>6900</v>
      </c>
      <c r="AF91" s="19" t="n">
        <f aca="false">IF(E91="SPRZEDAŻ",IF(M91&lt;&gt;"",Z91*M91,0),0)</f>
        <v>0</v>
      </c>
      <c r="AG91" s="19" t="str">
        <f aca="false">IF(R91="","",IF(LOWER(R91)="brak","Brak",IF(OR(ISNUMBER(SEARCH("ric pl",LOWER(R91))),ISNUMBER(SEARCH("wojciechowski",LOWER(R91)))),"Własny","Zewnętrzny")))</f>
        <v/>
      </c>
      <c r="AH91" s="19" t="n">
        <f aca="false">Z91*Q91</f>
        <v>0</v>
      </c>
      <c r="AI91" s="19" t="str">
        <f aca="false">UPPER(TEXT(C91,"mmmm"))</f>
        <v>JULY</v>
      </c>
      <c r="AJ91" s="19" t="str">
        <f aca="false">IF(C91="","",TEXT(C91,"rrrr"))</f>
        <v>CE5786CE5786</v>
      </c>
      <c r="AK91" s="10"/>
      <c r="AL91" s="11" t="n">
        <v>0</v>
      </c>
      <c r="AM91" s="10" t="s">
        <v>240</v>
      </c>
      <c r="AN91" s="10" t="s">
        <v>59</v>
      </c>
      <c r="AO91" s="10"/>
      <c r="AP91" s="10"/>
      <c r="AQ91" s="10"/>
      <c r="AR91" s="10" t="s">
        <v>66</v>
      </c>
      <c r="AS91" s="10"/>
      <c r="AT91" s="15" t="n">
        <v>1</v>
      </c>
    </row>
    <row r="92" customFormat="false" ht="28.5" hidden="false" customHeight="true" outlineLevel="0" collapsed="false">
      <c r="A92" s="12" t="n">
        <v>46220</v>
      </c>
      <c r="B92" s="12"/>
      <c r="C92" s="12" t="n">
        <v>46220</v>
      </c>
      <c r="D92" s="10" t="s">
        <v>46</v>
      </c>
      <c r="E92" s="10" t="s">
        <v>63</v>
      </c>
      <c r="F92" s="20" t="s">
        <v>241</v>
      </c>
      <c r="G92" s="14" t="s">
        <v>49</v>
      </c>
      <c r="H92" s="10" t="s">
        <v>76</v>
      </c>
      <c r="I92" s="15" t="n">
        <v>29.9</v>
      </c>
      <c r="J92" s="10" t="s">
        <v>77</v>
      </c>
      <c r="K92" s="15" t="n">
        <v>230</v>
      </c>
      <c r="L92" s="11" t="n">
        <v>6877</v>
      </c>
      <c r="M92" s="11" t="n">
        <v>0</v>
      </c>
      <c r="N92" s="10" t="s">
        <v>64</v>
      </c>
      <c r="O92" s="10"/>
      <c r="P92" s="10"/>
      <c r="Q92" s="16" t="n">
        <v>0</v>
      </c>
      <c r="R92" s="10"/>
      <c r="S92" s="10"/>
      <c r="T92" s="10" t="n">
        <v>0</v>
      </c>
      <c r="U92" s="11" t="n">
        <f aca="false">IF(E92="TRANSPORT",IF(T92="","",T92*5),IF(AL92="","",AL92))</f>
        <v>0</v>
      </c>
      <c r="V92" s="10" t="s">
        <v>54</v>
      </c>
      <c r="W92" s="15" t="s">
        <v>242</v>
      </c>
      <c r="X92" s="15"/>
      <c r="Y92" s="17" t="n">
        <v>46225.4821643519</v>
      </c>
      <c r="Z92" s="18" t="n">
        <f aca="false">IF(I92="",0,IF(ISNUMBER(SEARCH("mp",LOWER(J92))),I92,IF(ISNUMBER(SEARCH("ton",LOWER(J92))),I92/0.33,IF(ISNUMBER(SEARCH("m3",LOWER(J92))),I92*4,I92))))</f>
        <v>119.6</v>
      </c>
      <c r="AA92" s="18" t="n">
        <f aca="false">IF(I92="",0,IF(ISNUMBER(SEARCH("mp",LOWER(J92))),I92*0.33,IF(ISNUMBER(SEARCH("ton",LOWER(J92))),I92,I92*0.33)))</f>
        <v>9.867</v>
      </c>
      <c r="AB92" s="18" t="n">
        <f aca="false">Tabela_dane[[#This Row],[Wolumen_t]]*8.5</f>
        <v>83.8695</v>
      </c>
      <c r="AC92" s="18" t="n">
        <f aca="false">IF(G92&lt;&gt;"TAK",0,IF(OR(E92="ZAKUP",E92="PRODUKCJA"),Z92,IF(OR(E92="SPRZEDAŻ",E92="ZUŻYCIE"),-Z92,0)))</f>
        <v>119.6</v>
      </c>
      <c r="AD92" s="18" t="n">
        <f aca="false">IF(G92&lt;&gt;"TAK",0,IF(OR(E92="ZAKUP",E92="PRODUKCJA"),AA92,IF(OR(E92="SPRZEDAŻ",E92="ZUŻYCIE"),-AA92,0)))</f>
        <v>9.867</v>
      </c>
      <c r="AE92" s="19" t="n">
        <f aca="false">IF(E92="ZAKUP",IF(L92&lt;&gt;"",L92,IF(K92&lt;&gt;"",Z92*K92,0)),0)</f>
        <v>6877</v>
      </c>
      <c r="AF92" s="19" t="n">
        <f aca="false">IF(E92="SPRZEDAŻ",IF(M92&lt;&gt;"",Z92*M92,0),0)</f>
        <v>0</v>
      </c>
      <c r="AG92" s="19" t="str">
        <f aca="false">IF(R92="","",IF(LOWER(R92)="brak","Brak",IF(OR(ISNUMBER(SEARCH("ric pl",LOWER(R92))),ISNUMBER(SEARCH("wojciechowski",LOWER(R92)))),"Własny","Zewnętrzny")))</f>
        <v/>
      </c>
      <c r="AH92" s="19" t="n">
        <f aca="false">Z92*Q92</f>
        <v>0</v>
      </c>
      <c r="AI92" s="19" t="str">
        <f aca="false">UPPER(TEXT(C92,"mmmm"))</f>
        <v>JULY</v>
      </c>
      <c r="AJ92" s="19" t="str">
        <f aca="false">IF(C92="","",TEXT(C92,"rrrr"))</f>
        <v>CE5786CE5786</v>
      </c>
      <c r="AK92" s="10"/>
      <c r="AL92" s="11" t="n">
        <v>0</v>
      </c>
      <c r="AM92" s="10" t="s">
        <v>243</v>
      </c>
      <c r="AN92" s="10" t="s">
        <v>59</v>
      </c>
      <c r="AO92" s="10"/>
      <c r="AP92" s="10"/>
      <c r="AQ92" s="10"/>
      <c r="AR92" s="10" t="s">
        <v>66</v>
      </c>
      <c r="AS92" s="10"/>
      <c r="AT92" s="15" t="n">
        <v>1</v>
      </c>
    </row>
    <row r="93" customFormat="false" ht="28.5" hidden="false" customHeight="true" outlineLevel="0" collapsed="false">
      <c r="A93" s="12" t="n">
        <v>46223</v>
      </c>
      <c r="B93" s="12"/>
      <c r="C93" s="12" t="n">
        <v>46223</v>
      </c>
      <c r="D93" s="10" t="s">
        <v>46</v>
      </c>
      <c r="E93" s="10" t="s">
        <v>63</v>
      </c>
      <c r="F93" s="20" t="s">
        <v>244</v>
      </c>
      <c r="G93" s="14" t="s">
        <v>49</v>
      </c>
      <c r="H93" s="10" t="s">
        <v>76</v>
      </c>
      <c r="I93" s="15" t="n">
        <v>28.57</v>
      </c>
      <c r="J93" s="10" t="s">
        <v>77</v>
      </c>
      <c r="K93" s="15" t="n">
        <v>230</v>
      </c>
      <c r="L93" s="11" t="n">
        <v>6571.1</v>
      </c>
      <c r="M93" s="11" t="n">
        <v>0</v>
      </c>
      <c r="N93" s="10" t="s">
        <v>64</v>
      </c>
      <c r="O93" s="10"/>
      <c r="P93" s="10"/>
      <c r="Q93" s="16" t="n">
        <v>0</v>
      </c>
      <c r="R93" s="10"/>
      <c r="S93" s="10"/>
      <c r="T93" s="10" t="n">
        <v>0</v>
      </c>
      <c r="U93" s="11" t="n">
        <f aca="false">IF(E93="TRANSPORT",IF(T93="","",T93*5),IF(AL93="","",AL93))</f>
        <v>0</v>
      </c>
      <c r="V93" s="10" t="s">
        <v>54</v>
      </c>
      <c r="W93" s="15" t="s">
        <v>245</v>
      </c>
      <c r="X93" s="15"/>
      <c r="Y93" s="17" t="n">
        <v>46224.3981712963</v>
      </c>
      <c r="Z93" s="18" t="n">
        <f aca="false">IF(I93="",0,IF(ISNUMBER(SEARCH("mp",LOWER(J93))),I93,IF(ISNUMBER(SEARCH("ton",LOWER(J93))),I93/0.33,IF(ISNUMBER(SEARCH("m3",LOWER(J93))),I93*4,I93))))</f>
        <v>114.28</v>
      </c>
      <c r="AA93" s="18" t="n">
        <f aca="false">IF(I93="",0,IF(ISNUMBER(SEARCH("mp",LOWER(J93))),I93*0.33,IF(ISNUMBER(SEARCH("ton",LOWER(J93))),I93,I93*0.33)))</f>
        <v>9.4281</v>
      </c>
      <c r="AB93" s="18" t="n">
        <f aca="false">Tabela_dane[[#This Row],[Wolumen_t]]*8.5</f>
        <v>80.13885</v>
      </c>
      <c r="AC93" s="18" t="n">
        <f aca="false">IF(G93&lt;&gt;"TAK",0,IF(OR(E93="ZAKUP",E93="PRODUKCJA"),Z93,IF(OR(E93="SPRZEDAŻ",E93="ZUŻYCIE"),-Z93,0)))</f>
        <v>114.28</v>
      </c>
      <c r="AD93" s="18" t="n">
        <f aca="false">IF(G93&lt;&gt;"TAK",0,IF(OR(E93="ZAKUP",E93="PRODUKCJA"),AA93,IF(OR(E93="SPRZEDAŻ",E93="ZUŻYCIE"),-AA93,0)))</f>
        <v>9.4281</v>
      </c>
      <c r="AE93" s="19" t="n">
        <f aca="false">IF(E93="ZAKUP",IF(L93&lt;&gt;"",L93,IF(K93&lt;&gt;"",Z93*K93,0)),0)</f>
        <v>6571.1</v>
      </c>
      <c r="AF93" s="19" t="n">
        <f aca="false">IF(E93="SPRZEDAŻ",IF(M93&lt;&gt;"",Z93*M93,0),0)</f>
        <v>0</v>
      </c>
      <c r="AG93" s="19" t="str">
        <f aca="false">IF(R93="","",IF(LOWER(R93)="brak","Brak",IF(OR(ISNUMBER(SEARCH("ric pl",LOWER(R93))),ISNUMBER(SEARCH("wojciechowski",LOWER(R93)))),"Własny","Zewnętrzny")))</f>
        <v/>
      </c>
      <c r="AH93" s="19" t="n">
        <f aca="false">Z93*Q93</f>
        <v>0</v>
      </c>
      <c r="AI93" s="19" t="str">
        <f aca="false">UPPER(TEXT(C93,"mmmm"))</f>
        <v>JULY</v>
      </c>
      <c r="AJ93" s="19" t="str">
        <f aca="false">IF(C93="","",TEXT(C93,"rrrr"))</f>
        <v>CE5786CE5786</v>
      </c>
      <c r="AK93" s="10"/>
      <c r="AL93" s="11" t="n">
        <v>0</v>
      </c>
      <c r="AM93" s="10" t="s">
        <v>246</v>
      </c>
      <c r="AN93" s="10" t="s">
        <v>59</v>
      </c>
      <c r="AO93" s="10"/>
      <c r="AP93" s="10"/>
      <c r="AQ93" s="10"/>
      <c r="AR93" s="10" t="s">
        <v>66</v>
      </c>
      <c r="AS93" s="10"/>
      <c r="AT93" s="15" t="n">
        <v>1</v>
      </c>
    </row>
    <row r="94" customFormat="false" ht="38.25" hidden="false" customHeight="true" outlineLevel="0" collapsed="false">
      <c r="A94" s="12" t="n">
        <v>46223</v>
      </c>
      <c r="B94" s="12"/>
      <c r="C94" s="12" t="n">
        <v>46223</v>
      </c>
      <c r="D94" s="10" t="s">
        <v>46</v>
      </c>
      <c r="E94" s="10" t="s">
        <v>63</v>
      </c>
      <c r="F94" s="20" t="s">
        <v>247</v>
      </c>
      <c r="G94" s="14" t="s">
        <v>49</v>
      </c>
      <c r="H94" s="10" t="s">
        <v>76</v>
      </c>
      <c r="I94" s="15" t="n">
        <v>28.86</v>
      </c>
      <c r="J94" s="10" t="s">
        <v>77</v>
      </c>
      <c r="K94" s="15" t="n">
        <v>230</v>
      </c>
      <c r="L94" s="11" t="n">
        <v>6637.8</v>
      </c>
      <c r="M94" s="11" t="n">
        <v>0</v>
      </c>
      <c r="N94" s="10" t="s">
        <v>64</v>
      </c>
      <c r="O94" s="10"/>
      <c r="P94" s="10"/>
      <c r="Q94" s="16" t="n">
        <v>0</v>
      </c>
      <c r="R94" s="10"/>
      <c r="S94" s="10"/>
      <c r="T94" s="10" t="n">
        <v>0</v>
      </c>
      <c r="U94" s="11" t="n">
        <f aca="false">IF(E94="TRANSPORT",IF(T94="","",T94*5),IF(AL94="","",AL94))</f>
        <v>0</v>
      </c>
      <c r="V94" s="10" t="s">
        <v>54</v>
      </c>
      <c r="W94" s="15" t="s">
        <v>248</v>
      </c>
      <c r="X94" s="15"/>
      <c r="Y94" s="17" t="n">
        <v>46224.402337963</v>
      </c>
      <c r="Z94" s="18" t="n">
        <f aca="false">IF(I94="",0,IF(ISNUMBER(SEARCH("mp",LOWER(J94))),I94,IF(ISNUMBER(SEARCH("ton",LOWER(J94))),I94/0.33,IF(ISNUMBER(SEARCH("m3",LOWER(J94))),I94*4,I94))))</f>
        <v>115.44</v>
      </c>
      <c r="AA94" s="18" t="n">
        <f aca="false">IF(I94="",0,IF(ISNUMBER(SEARCH("mp",LOWER(J94))),I94*0.33,IF(ISNUMBER(SEARCH("ton",LOWER(J94))),I94,I94*0.33)))</f>
        <v>9.5238</v>
      </c>
      <c r="AB94" s="18" t="n">
        <f aca="false">Tabela_dane[[#This Row],[Wolumen_t]]*8.5</f>
        <v>80.9523</v>
      </c>
      <c r="AC94" s="18" t="n">
        <f aca="false">IF(G94&lt;&gt;"TAK",0,IF(OR(E94="ZAKUP",E94="PRODUKCJA"),Z94,IF(OR(E94="SPRZEDAŻ",E94="ZUŻYCIE"),-Z94,0)))</f>
        <v>115.44</v>
      </c>
      <c r="AD94" s="18" t="n">
        <f aca="false">IF(G94&lt;&gt;"TAK",0,IF(OR(E94="ZAKUP",E94="PRODUKCJA"),AA94,IF(OR(E94="SPRZEDAŻ",E94="ZUŻYCIE"),-AA94,0)))</f>
        <v>9.5238</v>
      </c>
      <c r="AE94" s="19" t="n">
        <f aca="false">IF(E94="ZAKUP",IF(L94&lt;&gt;"",L94,IF(K94&lt;&gt;"",Z94*K94,0)),0)</f>
        <v>6637.8</v>
      </c>
      <c r="AF94" s="19" t="n">
        <f aca="false">IF(E94="SPRZEDAŻ",IF(M94&lt;&gt;"",Z94*M94,0),0)</f>
        <v>0</v>
      </c>
      <c r="AG94" s="19" t="str">
        <f aca="false">IF(R94="","",IF(LOWER(R94)="brak","Brak",IF(OR(ISNUMBER(SEARCH("ric pl",LOWER(R94))),ISNUMBER(SEARCH("wojciechowski",LOWER(R94)))),"Własny","Zewnętrzny")))</f>
        <v/>
      </c>
      <c r="AH94" s="19" t="n">
        <f aca="false">Z94*Q94</f>
        <v>0</v>
      </c>
      <c r="AI94" s="19" t="str">
        <f aca="false">UPPER(TEXT(C94,"mmmm"))</f>
        <v>JULY</v>
      </c>
      <c r="AJ94" s="19" t="str">
        <f aca="false">IF(C94="","",TEXT(C94,"rrrr"))</f>
        <v>CE5786CE5786</v>
      </c>
      <c r="AK94" s="10"/>
      <c r="AL94" s="11" t="n">
        <v>0</v>
      </c>
      <c r="AM94" s="10" t="s">
        <v>249</v>
      </c>
      <c r="AN94" s="10" t="s">
        <v>59</v>
      </c>
      <c r="AO94" s="10"/>
      <c r="AP94" s="10"/>
      <c r="AQ94" s="10"/>
      <c r="AR94" s="10" t="s">
        <v>66</v>
      </c>
      <c r="AS94" s="10"/>
      <c r="AT94" s="15" t="n">
        <v>1</v>
      </c>
    </row>
    <row r="95" customFormat="false" ht="28.5" hidden="false" customHeight="true" outlineLevel="0" collapsed="false">
      <c r="A95" s="12" t="n">
        <v>46223</v>
      </c>
      <c r="B95" s="12"/>
      <c r="C95" s="12" t="n">
        <v>46223</v>
      </c>
      <c r="D95" s="10" t="s">
        <v>101</v>
      </c>
      <c r="E95" s="10" t="s">
        <v>63</v>
      </c>
      <c r="F95" s="13" t="s">
        <v>250</v>
      </c>
      <c r="G95" s="14" t="s">
        <v>49</v>
      </c>
      <c r="H95" s="10" t="s">
        <v>76</v>
      </c>
      <c r="I95" s="15" t="n">
        <v>30.5</v>
      </c>
      <c r="J95" s="10" t="s">
        <v>103</v>
      </c>
      <c r="K95" s="15" t="n">
        <v>265</v>
      </c>
      <c r="L95" s="11" t="n">
        <v>8082.5</v>
      </c>
      <c r="M95" s="11" t="n">
        <v>0</v>
      </c>
      <c r="N95" s="10" t="s">
        <v>104</v>
      </c>
      <c r="O95" s="10" t="s">
        <v>67</v>
      </c>
      <c r="P95" s="10"/>
      <c r="Q95" s="16" t="n">
        <v>0</v>
      </c>
      <c r="R95" s="10"/>
      <c r="S95" s="10"/>
      <c r="T95" s="10" t="n">
        <v>0</v>
      </c>
      <c r="U95" s="11" t="n">
        <f aca="false">IF(E95="TRANSPORT",IF(T95="","",T95*5),IF(AL95="","",AL95))</f>
        <v>0</v>
      </c>
      <c r="V95" s="10" t="s">
        <v>54</v>
      </c>
      <c r="W95" s="15" t="s">
        <v>251</v>
      </c>
      <c r="X95" s="15"/>
      <c r="Y95" s="17" t="n">
        <v>46224.4050462963</v>
      </c>
      <c r="Z95" s="18" t="n">
        <f aca="false">IF(I95="",0,IF(ISNUMBER(SEARCH("mp",LOWER(J95))),I95,IF(ISNUMBER(SEARCH("ton",LOWER(J95))),I95/0.33,IF(ISNUMBER(SEARCH("m3",LOWER(J95))),I95*4,I95))))</f>
        <v>92.4242424242424</v>
      </c>
      <c r="AA95" s="18" t="n">
        <f aca="false">IF(I95="",0,IF(ISNUMBER(SEARCH("mp",LOWER(J95))),I95*0.33,IF(ISNUMBER(SEARCH("ton",LOWER(J95))),I95,I95*0.33)))</f>
        <v>30.5</v>
      </c>
      <c r="AB95" s="18" t="n">
        <f aca="false">Tabela_dane[[#This Row],[Wolumen_t]]*8.5</f>
        <v>259.25</v>
      </c>
      <c r="AC95" s="18" t="n">
        <f aca="false">IF(G95&lt;&gt;"TAK",0,IF(OR(E95="ZAKUP",E95="PRODUKCJA"),Z95,IF(OR(E95="SPRZEDAŻ",E95="ZUŻYCIE"),-Z95,0)))</f>
        <v>92.4242424242424</v>
      </c>
      <c r="AD95" s="18" t="n">
        <f aca="false">IF(G95&lt;&gt;"TAK",0,IF(OR(E95="ZAKUP",E95="PRODUKCJA"),AA95,IF(OR(E95="SPRZEDAŻ",E95="ZUŻYCIE"),-AA95,0)))</f>
        <v>30.5</v>
      </c>
      <c r="AE95" s="19" t="n">
        <f aca="false">IF(E95="ZAKUP",IF(L95&lt;&gt;"",L95,IF(K95&lt;&gt;"",Z95*K95,0)),0)</f>
        <v>8082.5</v>
      </c>
      <c r="AF95" s="19" t="n">
        <f aca="false">IF(E95="SPRZEDAŻ",IF(M95&lt;&gt;"",Z95*M95,0),0)</f>
        <v>0</v>
      </c>
      <c r="AG95" s="19" t="str">
        <f aca="false">IF(R95="","",IF(LOWER(R95)="brak","Brak",IF(OR(ISNUMBER(SEARCH("ric pl",LOWER(R95))),ISNUMBER(SEARCH("wojciechowski",LOWER(R95)))),"Własny","Zewnętrzny")))</f>
        <v/>
      </c>
      <c r="AH95" s="19" t="n">
        <f aca="false">Z95*Q95</f>
        <v>0</v>
      </c>
      <c r="AI95" s="19" t="str">
        <f aca="false">UPPER(TEXT(C95,"mmmm"))</f>
        <v>JULY</v>
      </c>
      <c r="AJ95" s="19" t="str">
        <f aca="false">IF(C95="","",TEXT(C95,"rrrr"))</f>
        <v>CE5786CE5786</v>
      </c>
      <c r="AK95" s="10"/>
      <c r="AL95" s="11" t="n">
        <v>0</v>
      </c>
      <c r="AM95" s="10" t="s">
        <v>252</v>
      </c>
      <c r="AN95" s="10" t="s">
        <v>59</v>
      </c>
      <c r="AO95" s="10"/>
      <c r="AP95" s="10"/>
      <c r="AQ95" s="10"/>
      <c r="AR95" s="10" t="s">
        <v>66</v>
      </c>
      <c r="AS95" s="10"/>
      <c r="AT95" s="15" t="n">
        <v>1</v>
      </c>
    </row>
    <row r="96" customFormat="false" ht="28.5" hidden="false" customHeight="true" outlineLevel="0" collapsed="false">
      <c r="A96" s="12" t="n">
        <v>46223</v>
      </c>
      <c r="B96" s="12"/>
      <c r="C96" s="12" t="n">
        <v>46223</v>
      </c>
      <c r="D96" s="10" t="s">
        <v>253</v>
      </c>
      <c r="E96" s="10" t="s">
        <v>63</v>
      </c>
      <c r="F96" s="13" t="s">
        <v>254</v>
      </c>
      <c r="G96" s="14" t="s">
        <v>59</v>
      </c>
      <c r="H96" s="10" t="s">
        <v>76</v>
      </c>
      <c r="I96" s="15" t="n">
        <v>178</v>
      </c>
      <c r="J96" s="10" t="s">
        <v>51</v>
      </c>
      <c r="K96" s="15" t="n">
        <v>50</v>
      </c>
      <c r="L96" s="11" t="n">
        <v>9000</v>
      </c>
      <c r="M96" s="11" t="n">
        <v>0</v>
      </c>
      <c r="N96" s="10" t="s">
        <v>255</v>
      </c>
      <c r="O96" s="10" t="s">
        <v>67</v>
      </c>
      <c r="P96" s="10"/>
      <c r="Q96" s="16" t="n">
        <v>0</v>
      </c>
      <c r="R96" s="10"/>
      <c r="S96" s="10"/>
      <c r="T96" s="10" t="n">
        <v>0</v>
      </c>
      <c r="U96" s="11" t="n">
        <f aca="false">IF(E96="TRANSPORT",IF(T96="","",T96*5),IF(AL96="","",AL96))</f>
        <v>0</v>
      </c>
      <c r="V96" s="10" t="s">
        <v>54</v>
      </c>
      <c r="W96" s="15" t="s">
        <v>65</v>
      </c>
      <c r="X96" s="15"/>
      <c r="Y96" s="17" t="n">
        <v>46224.4553472222</v>
      </c>
      <c r="Z96" s="18" t="n">
        <f aca="false">IF(I96="",0,IF(ISNUMBER(SEARCH("mp",LOWER(J96))),I96,IF(ISNUMBER(SEARCH("ton",LOWER(J96))),I96/0.33,IF(ISNUMBER(SEARCH("m3",LOWER(J96))),I96*4,I96))))</f>
        <v>178</v>
      </c>
      <c r="AA96" s="18" t="n">
        <f aca="false">IF(I96="",0,IF(ISNUMBER(SEARCH("mp",LOWER(J96))),I96*0.33,IF(ISNUMBER(SEARCH("ton",LOWER(J96))),I96,I96*0.33)))</f>
        <v>58.74</v>
      </c>
      <c r="AB96" s="18" t="n">
        <f aca="false">Tabela_dane[[#This Row],[Wolumen_t]]*8.5</f>
        <v>499.29</v>
      </c>
      <c r="AC96" s="18" t="n">
        <f aca="false">IF(G96&lt;&gt;"TAK",0,IF(OR(E96="ZAKUP",E96="PRODUKCJA"),Z96,IF(OR(E96="SPRZEDAŻ",E96="ZUŻYCIE"),-Z96,0)))</f>
        <v>0</v>
      </c>
      <c r="AD96" s="18" t="n">
        <f aca="false">IF(G96&lt;&gt;"TAK",0,IF(OR(E96="ZAKUP",E96="PRODUKCJA"),AA96,IF(OR(E96="SPRZEDAŻ",E96="ZUŻYCIE"),-AA96,0)))</f>
        <v>0</v>
      </c>
      <c r="AE96" s="19" t="n">
        <f aca="false">IF(E96="ZAKUP",IF(L96&lt;&gt;"",L96,IF(K96&lt;&gt;"",Z96*K96,0)),0)</f>
        <v>9000</v>
      </c>
      <c r="AF96" s="19" t="n">
        <f aca="false">IF(E96="SPRZEDAŻ",IF(M96&lt;&gt;"",Z96*M96,0),0)</f>
        <v>0</v>
      </c>
      <c r="AG96" s="19" t="str">
        <f aca="false">IF(R96="","",IF(LOWER(R96)="brak","Brak",IF(OR(ISNUMBER(SEARCH("ric pl",LOWER(R96))),ISNUMBER(SEARCH("wojciechowski",LOWER(R96)))),"Własny","Zewnętrzny")))</f>
        <v/>
      </c>
      <c r="AH96" s="19" t="n">
        <f aca="false">Z96*Q96</f>
        <v>0</v>
      </c>
      <c r="AI96" s="19" t="str">
        <f aca="false">UPPER(TEXT(C96,"mmmm"))</f>
        <v>JULY</v>
      </c>
      <c r="AJ96" s="19" t="str">
        <f aca="false">IF(C96="","",TEXT(C96,"rrrr"))</f>
        <v>CE5786CE5786</v>
      </c>
      <c r="AK96" s="10"/>
      <c r="AL96" s="11" t="n">
        <v>0</v>
      </c>
      <c r="AM96" s="10" t="s">
        <v>256</v>
      </c>
      <c r="AN96" s="10" t="s">
        <v>59</v>
      </c>
      <c r="AO96" s="10"/>
      <c r="AP96" s="10"/>
      <c r="AQ96" s="10"/>
      <c r="AR96" s="10" t="s">
        <v>66</v>
      </c>
      <c r="AS96" s="10"/>
      <c r="AT96" s="15" t="n">
        <v>1</v>
      </c>
    </row>
    <row r="97" customFormat="false" ht="28.5" hidden="false" customHeight="true" outlineLevel="0" collapsed="false">
      <c r="A97" s="12" t="n">
        <v>46223</v>
      </c>
      <c r="B97" s="12"/>
      <c r="C97" s="12" t="n">
        <v>46223</v>
      </c>
      <c r="D97" s="10" t="s">
        <v>54</v>
      </c>
      <c r="E97" s="10" t="s">
        <v>47</v>
      </c>
      <c r="F97" s="13" t="s">
        <v>257</v>
      </c>
      <c r="G97" s="14" t="s">
        <v>49</v>
      </c>
      <c r="H97" s="10" t="s">
        <v>76</v>
      </c>
      <c r="I97" s="15" t="n">
        <v>89</v>
      </c>
      <c r="J97" s="10" t="s">
        <v>51</v>
      </c>
      <c r="K97" s="15" t="n">
        <v>0</v>
      </c>
      <c r="L97" s="11" t="n">
        <v>0</v>
      </c>
      <c r="M97" s="11" t="n">
        <v>0</v>
      </c>
      <c r="N97" s="10" t="s">
        <v>258</v>
      </c>
      <c r="O97" s="10" t="s">
        <v>67</v>
      </c>
      <c r="P97" s="10" t="s">
        <v>53</v>
      </c>
      <c r="Q97" s="16" t="n">
        <v>10</v>
      </c>
      <c r="R97" s="10"/>
      <c r="S97" s="10"/>
      <c r="T97" s="10"/>
      <c r="U97" s="11" t="str">
        <f aca="false">IF(E97="TRANSPORT",IF(T97="","",T97*5),IF(AL97="","",AL97))</f>
        <v/>
      </c>
      <c r="V97" s="10" t="s">
        <v>54</v>
      </c>
      <c r="W97" s="15" t="s">
        <v>70</v>
      </c>
      <c r="X97" s="15"/>
      <c r="Y97" s="17" t="n">
        <v>46224.4584722222</v>
      </c>
      <c r="Z97" s="18" t="n">
        <f aca="false">IF(I97="",0,IF(ISNUMBER(SEARCH("mp",LOWER(J97))),I97,IF(ISNUMBER(SEARCH("ton",LOWER(J97))),I97/0.33,IF(ISNUMBER(SEARCH("m3",LOWER(J97))),I97*4,I97))))</f>
        <v>89</v>
      </c>
      <c r="AA97" s="18" t="n">
        <f aca="false">IF(I97="",0,IF(ISNUMBER(SEARCH("mp",LOWER(J97))),I97*0.33,IF(ISNUMBER(SEARCH("ton",LOWER(J97))),I97,I97*0.33)))</f>
        <v>29.37</v>
      </c>
      <c r="AB97" s="18" t="n">
        <f aca="false">Tabela_dane[[#This Row],[Wolumen_t]]*8.5</f>
        <v>249.645</v>
      </c>
      <c r="AC97" s="18" t="n">
        <f aca="false">IF(G97&lt;&gt;"TAK",0,IF(OR(E97="ZAKUP",E97="PRODUKCJA"),Z97,IF(OR(E97="SPRZEDAŻ",E97="ZUŻYCIE"),-Z97,0)))</f>
        <v>89</v>
      </c>
      <c r="AD97" s="18" t="n">
        <f aca="false">IF(G97&lt;&gt;"TAK",0,IF(OR(E97="ZAKUP",E97="PRODUKCJA"),AA97,IF(OR(E97="SPRZEDAŻ",E97="ZUŻYCIE"),-AA97,0)))</f>
        <v>29.37</v>
      </c>
      <c r="AE97" s="19" t="n">
        <f aca="false">IF(E97="ZAKUP",IF(L97&lt;&gt;"",L97,IF(K97&lt;&gt;"",Z97*K97,0)),0)</f>
        <v>0</v>
      </c>
      <c r="AF97" s="19" t="n">
        <f aca="false">IF(E97="SPRZEDAŻ",IF(M97&lt;&gt;"",Z97*M97,0),0)</f>
        <v>0</v>
      </c>
      <c r="AG97" s="19" t="str">
        <f aca="false">IF(R97="","",IF(LOWER(R97)="brak","Brak",IF(OR(ISNUMBER(SEARCH("ric pl",LOWER(R97))),ISNUMBER(SEARCH("wojciechowski",LOWER(R97)))),"Własny","Zewnętrzny")))</f>
        <v/>
      </c>
      <c r="AH97" s="19" t="n">
        <f aca="false">Z97*Q97</f>
        <v>890</v>
      </c>
      <c r="AI97" s="19" t="str">
        <f aca="false">UPPER(TEXT(C97,"mmmm"))</f>
        <v>JULY</v>
      </c>
      <c r="AJ97" s="19" t="str">
        <f aca="false">IF(C97="","",TEXT(C97,"rrrr"))</f>
        <v>CE5786CE5786</v>
      </c>
      <c r="AK97" s="10"/>
      <c r="AL97" s="11"/>
      <c r="AM97" s="10" t="s">
        <v>259</v>
      </c>
      <c r="AN97" s="10" t="s">
        <v>59</v>
      </c>
      <c r="AO97" s="10"/>
      <c r="AP97" s="10"/>
      <c r="AQ97" s="10"/>
      <c r="AR97" s="10" t="s">
        <v>66</v>
      </c>
      <c r="AS97" s="10"/>
      <c r="AT97" s="15" t="n">
        <v>1</v>
      </c>
    </row>
    <row r="98" customFormat="false" ht="28.5" hidden="false" customHeight="true" outlineLevel="0" collapsed="false">
      <c r="A98" s="12" t="n">
        <v>46223</v>
      </c>
      <c r="B98" s="12"/>
      <c r="C98" s="12" t="n">
        <v>46223</v>
      </c>
      <c r="D98" s="10" t="s">
        <v>54</v>
      </c>
      <c r="E98" s="10" t="s">
        <v>79</v>
      </c>
      <c r="F98" s="13" t="s">
        <v>257</v>
      </c>
      <c r="G98" s="14" t="s">
        <v>49</v>
      </c>
      <c r="H98" s="10" t="s">
        <v>76</v>
      </c>
      <c r="I98" s="15" t="n">
        <v>89</v>
      </c>
      <c r="J98" s="10" t="s">
        <v>51</v>
      </c>
      <c r="K98" s="15" t="n">
        <v>0</v>
      </c>
      <c r="L98" s="11" t="n">
        <v>0</v>
      </c>
      <c r="M98" s="11" t="n">
        <v>0</v>
      </c>
      <c r="N98" s="10" t="s">
        <v>258</v>
      </c>
      <c r="O98" s="10" t="s">
        <v>67</v>
      </c>
      <c r="P98" s="10" t="s">
        <v>53</v>
      </c>
      <c r="Q98" s="16" t="n">
        <v>10</v>
      </c>
      <c r="R98" s="10"/>
      <c r="S98" s="10"/>
      <c r="T98" s="10"/>
      <c r="U98" s="11" t="str">
        <f aca="false">IF(E98="TRANSPORT",IF(T98="","",T98*5),IF(AL98="","",AL98))</f>
        <v/>
      </c>
      <c r="V98" s="10" t="s">
        <v>54</v>
      </c>
      <c r="W98" s="15" t="s">
        <v>260</v>
      </c>
      <c r="X98" s="15"/>
      <c r="Y98" s="17" t="n">
        <v>46224.4584837963</v>
      </c>
      <c r="Z98" s="18" t="n">
        <f aca="false">IF(I98="",0,IF(ISNUMBER(SEARCH("mp",LOWER(J98))),I98,IF(ISNUMBER(SEARCH("ton",LOWER(J98))),I98/0.33,IF(ISNUMBER(SEARCH("m3",LOWER(J98))),I98*4,I98))))</f>
        <v>89</v>
      </c>
      <c r="AA98" s="18" t="n">
        <f aca="false">IF(I98="",0,IF(ISNUMBER(SEARCH("mp",LOWER(J98))),I98*0.33,IF(ISNUMBER(SEARCH("ton",LOWER(J98))),I98,I98*0.33)))</f>
        <v>29.37</v>
      </c>
      <c r="AB98" s="18" t="n">
        <f aca="false">Tabela_dane[[#This Row],[Wolumen_t]]*8.5</f>
        <v>249.645</v>
      </c>
      <c r="AC98" s="18" t="n">
        <f aca="false">IF(G98&lt;&gt;"TAK",0,IF(OR(E98="ZAKUP",E98="PRODUKCJA"),Z98,IF(OR(E98="SPRZEDAŻ",E98="ZUŻYCIE"),-Z98,0)))</f>
        <v>-89</v>
      </c>
      <c r="AD98" s="18" t="n">
        <f aca="false">IF(G98&lt;&gt;"TAK",0,IF(OR(E98="ZAKUP",E98="PRODUKCJA"),AA98,IF(OR(E98="SPRZEDAŻ",E98="ZUŻYCIE"),-AA98,0)))</f>
        <v>-29.37</v>
      </c>
      <c r="AE98" s="19" t="n">
        <f aca="false">IF(E98="ZAKUP",IF(L98&lt;&gt;"",L98,IF(K98&lt;&gt;"",Z98*K98,0)),0)</f>
        <v>0</v>
      </c>
      <c r="AF98" s="19" t="n">
        <f aca="false">IF(E98="SPRZEDAŻ",IF(M98&lt;&gt;"",Z98*M98,0),0)</f>
        <v>0</v>
      </c>
      <c r="AG98" s="19" t="str">
        <f aca="false">IF(R98="","",IF(LOWER(R98)="brak","Brak",IF(OR(ISNUMBER(SEARCH("ric pl",LOWER(R98))),ISNUMBER(SEARCH("wojciechowski",LOWER(R98)))),"Własny","Zewnętrzny")))</f>
        <v/>
      </c>
      <c r="AH98" s="19" t="n">
        <f aca="false">Z98*Q98</f>
        <v>890</v>
      </c>
      <c r="AI98" s="19" t="str">
        <f aca="false">UPPER(TEXT(C98,"mmmm"))</f>
        <v>JULY</v>
      </c>
      <c r="AJ98" s="19" t="str">
        <f aca="false">IF(C98="","",TEXT(C98,"rrrr"))</f>
        <v>CE5786CE5786</v>
      </c>
      <c r="AK98" s="10"/>
      <c r="AL98" s="11"/>
      <c r="AM98" s="10" t="s">
        <v>259</v>
      </c>
      <c r="AN98" s="10" t="s">
        <v>59</v>
      </c>
      <c r="AO98" s="10"/>
      <c r="AP98" s="10"/>
      <c r="AQ98" s="10"/>
      <c r="AR98" s="10" t="s">
        <v>81</v>
      </c>
      <c r="AS98" s="10"/>
      <c r="AT98" s="15" t="n">
        <v>1</v>
      </c>
    </row>
    <row r="99" customFormat="false" ht="28.5" hidden="false" customHeight="true" outlineLevel="0" collapsed="false">
      <c r="A99" s="12" t="n">
        <v>46223</v>
      </c>
      <c r="B99" s="12" t="s">
        <v>261</v>
      </c>
      <c r="C99" s="12" t="n">
        <v>46223</v>
      </c>
      <c r="D99" s="10" t="s">
        <v>54</v>
      </c>
      <c r="E99" s="10" t="s">
        <v>63</v>
      </c>
      <c r="F99" s="13" t="s">
        <v>257</v>
      </c>
      <c r="G99" s="14" t="s">
        <v>49</v>
      </c>
      <c r="H99" s="10" t="s">
        <v>76</v>
      </c>
      <c r="I99" s="15" t="n">
        <v>89</v>
      </c>
      <c r="J99" s="10" t="s">
        <v>51</v>
      </c>
      <c r="K99" s="15" t="n">
        <v>0</v>
      </c>
      <c r="L99" s="11" t="n">
        <v>0</v>
      </c>
      <c r="M99" s="11" t="n">
        <v>0</v>
      </c>
      <c r="N99" s="10" t="s">
        <v>258</v>
      </c>
      <c r="O99" s="10" t="s">
        <v>67</v>
      </c>
      <c r="P99" s="10"/>
      <c r="Q99" s="16" t="n">
        <v>0</v>
      </c>
      <c r="R99" s="10" t="s">
        <v>68</v>
      </c>
      <c r="S99" s="10" t="s">
        <v>69</v>
      </c>
      <c r="T99" s="10" t="n">
        <v>120</v>
      </c>
      <c r="U99" s="11" t="n">
        <f aca="false">IF(E99="TRANSPORT",IF(T99="","",T99*5),IF(AL99="","",AL99))</f>
        <v>600</v>
      </c>
      <c r="V99" s="10" t="s">
        <v>54</v>
      </c>
      <c r="W99" s="15" t="s">
        <v>65</v>
      </c>
      <c r="X99" s="15"/>
      <c r="Y99" s="17" t="n">
        <v>46224.7302314815</v>
      </c>
      <c r="Z99" s="18" t="n">
        <f aca="false">IF(I99="",0,IF(ISNUMBER(SEARCH("mp",LOWER(J99))),I99,IF(ISNUMBER(SEARCH("ton",LOWER(J99))),I99/0.33,IF(ISNUMBER(SEARCH("m3",LOWER(J99))),I99*4,I99))))</f>
        <v>89</v>
      </c>
      <c r="AA99" s="18" t="n">
        <f aca="false">IF(I99="",0,IF(ISNUMBER(SEARCH("mp",LOWER(J99))),I99*0.33,IF(ISNUMBER(SEARCH("ton",LOWER(J99))),I99,I99*0.33)))</f>
        <v>29.37</v>
      </c>
      <c r="AB99" s="18" t="n">
        <f aca="false">Tabela_dane[[#This Row],[Wolumen_t]]*8.5</f>
        <v>249.645</v>
      </c>
      <c r="AC99" s="18" t="n">
        <f aca="false">IF(G99&lt;&gt;"TAK",0,IF(OR(E99="ZAKUP",E99="PRODUKCJA"),Z99,IF(OR(E99="SPRZEDAŻ",E99="ZUŻYCIE"),-Z99,0)))</f>
        <v>89</v>
      </c>
      <c r="AD99" s="18" t="n">
        <f aca="false">IF(G99&lt;&gt;"TAK",0,IF(OR(E99="ZAKUP",E99="PRODUKCJA"),AA99,IF(OR(E99="SPRZEDAŻ",E99="ZUŻYCIE"),-AA99,0)))</f>
        <v>29.37</v>
      </c>
      <c r="AE99" s="19" t="n">
        <f aca="false">IF(E99="ZAKUP",IF(L99&lt;&gt;"",L99,IF(K99&lt;&gt;"",Z99*K99,0)),0)</f>
        <v>0</v>
      </c>
      <c r="AF99" s="19" t="n">
        <f aca="false">IF(E99="SPRZEDAŻ",IF(M99&lt;&gt;"",Z99*M99,0),0)</f>
        <v>0</v>
      </c>
      <c r="AG99" s="19" t="str">
        <f aca="false">IF(R99="","",IF(LOWER(R99)="brak","Brak",IF(OR(ISNUMBER(SEARCH("ric pl",LOWER(R99))),ISNUMBER(SEARCH("wojciechowski",LOWER(R99)))),"Własny","Zewnętrzny")))</f>
        <v>Zewnętrzny</v>
      </c>
      <c r="AH99" s="19" t="n">
        <f aca="false">Z99*Q99</f>
        <v>0</v>
      </c>
      <c r="AI99" s="19" t="str">
        <f aca="false">UPPER(TEXT(C99,"mmmm"))</f>
        <v>JULY</v>
      </c>
      <c r="AJ99" s="19" t="str">
        <f aca="false">IF(C99="","",TEXT(C99,"rrrr"))</f>
        <v>CE5786CE5786</v>
      </c>
      <c r="AK99" s="10"/>
      <c r="AL99" s="11" t="n">
        <v>600</v>
      </c>
      <c r="AM99" s="10" t="s">
        <v>262</v>
      </c>
      <c r="AN99" s="10" t="s">
        <v>49</v>
      </c>
      <c r="AO99" s="10"/>
      <c r="AP99" s="10"/>
      <c r="AQ99" s="10"/>
      <c r="AR99" s="10" t="s">
        <v>66</v>
      </c>
      <c r="AS99" s="10"/>
      <c r="AT99" s="15" t="n">
        <v>1</v>
      </c>
    </row>
    <row r="100" customFormat="false" ht="28.5" hidden="false" customHeight="true" outlineLevel="0" collapsed="false">
      <c r="A100" s="12" t="n">
        <v>46223</v>
      </c>
      <c r="B100" s="12"/>
      <c r="C100" s="12" t="n">
        <v>46223</v>
      </c>
      <c r="D100" s="10" t="s">
        <v>54</v>
      </c>
      <c r="E100" s="10" t="s">
        <v>47</v>
      </c>
      <c r="F100" s="13" t="s">
        <v>263</v>
      </c>
      <c r="G100" s="14" t="s">
        <v>49</v>
      </c>
      <c r="H100" s="10" t="s">
        <v>76</v>
      </c>
      <c r="I100" s="15" t="n">
        <v>89</v>
      </c>
      <c r="J100" s="10" t="s">
        <v>51</v>
      </c>
      <c r="K100" s="15" t="n">
        <v>0</v>
      </c>
      <c r="L100" s="11" t="n">
        <v>0</v>
      </c>
      <c r="M100" s="11" t="n">
        <v>0</v>
      </c>
      <c r="N100" s="10" t="s">
        <v>258</v>
      </c>
      <c r="O100" s="10" t="s">
        <v>67</v>
      </c>
      <c r="P100" s="10" t="s">
        <v>53</v>
      </c>
      <c r="Q100" s="16" t="n">
        <v>10</v>
      </c>
      <c r="R100" s="10"/>
      <c r="S100" s="10"/>
      <c r="T100" s="10" t="n">
        <v>0</v>
      </c>
      <c r="U100" s="11" t="n">
        <f aca="false">IF(E100="TRANSPORT",IF(T100="","",T100*5),IF(AL100="","",AL100))</f>
        <v>0</v>
      </c>
      <c r="V100" s="10" t="s">
        <v>54</v>
      </c>
      <c r="W100" s="15" t="s">
        <v>65</v>
      </c>
      <c r="X100" s="15"/>
      <c r="Y100" s="17" t="n">
        <v>46224.9352777778</v>
      </c>
      <c r="Z100" s="18" t="n">
        <f aca="false">IF(I100="",0,IF(ISNUMBER(SEARCH("mp",LOWER(J100))),I100,IF(ISNUMBER(SEARCH("ton",LOWER(J100))),I100/0.33,IF(ISNUMBER(SEARCH("m3",LOWER(J100))),I100*4,I100))))</f>
        <v>89</v>
      </c>
      <c r="AA100" s="18" t="n">
        <f aca="false">IF(I100="",0,IF(ISNUMBER(SEARCH("mp",LOWER(J100))),I100*0.33,IF(ISNUMBER(SEARCH("ton",LOWER(J100))),I100,I100*0.33)))</f>
        <v>29.37</v>
      </c>
      <c r="AB100" s="18" t="n">
        <f aca="false">Tabela_dane[[#This Row],[Wolumen_t]]*8.5</f>
        <v>249.645</v>
      </c>
      <c r="AC100" s="18" t="n">
        <f aca="false">IF(G100&lt;&gt;"TAK",0,IF(OR(E100="ZAKUP",E100="PRODUKCJA"),Z100,IF(OR(E100="SPRZEDAŻ",E100="ZUŻYCIE"),-Z100,0)))</f>
        <v>89</v>
      </c>
      <c r="AD100" s="18" t="n">
        <f aca="false">IF(G100&lt;&gt;"TAK",0,IF(OR(E100="ZAKUP",E100="PRODUKCJA"),AA100,IF(OR(E100="SPRZEDAŻ",E100="ZUŻYCIE"),-AA100,0)))</f>
        <v>29.37</v>
      </c>
      <c r="AE100" s="19" t="n">
        <f aca="false">IF(E100="ZAKUP",IF(L100&lt;&gt;"",L100,IF(K100&lt;&gt;"",Z100*K100,0)),0)</f>
        <v>0</v>
      </c>
      <c r="AF100" s="19" t="n">
        <f aca="false">IF(E100="SPRZEDAŻ",IF(M100&lt;&gt;"",Z100*M100,0),0)</f>
        <v>0</v>
      </c>
      <c r="AG100" s="19" t="str">
        <f aca="false">IF(R100="","",IF(LOWER(R100)="brak","Brak",IF(OR(ISNUMBER(SEARCH("ric pl",LOWER(R100))),ISNUMBER(SEARCH("wojciechowski",LOWER(R100)))),"Własny","Zewnętrzny")))</f>
        <v/>
      </c>
      <c r="AH100" s="19" t="n">
        <f aca="false">Z100*Q100</f>
        <v>890</v>
      </c>
      <c r="AI100" s="19" t="str">
        <f aca="false">UPPER(TEXT(C100,"mmmm"))</f>
        <v>JULY</v>
      </c>
      <c r="AJ100" s="19" t="str">
        <f aca="false">IF(C100="","",TEXT(C100,"rrrr"))</f>
        <v>CE5786CE5786</v>
      </c>
      <c r="AK100" s="10"/>
      <c r="AL100" s="11" t="n">
        <v>0</v>
      </c>
      <c r="AM100" s="10" t="s">
        <v>264</v>
      </c>
      <c r="AN100" s="10" t="s">
        <v>59</v>
      </c>
      <c r="AO100" s="10"/>
      <c r="AP100" s="10"/>
      <c r="AQ100" s="10"/>
      <c r="AR100" s="10" t="s">
        <v>66</v>
      </c>
      <c r="AS100" s="10"/>
      <c r="AT100" s="15" t="n">
        <v>1</v>
      </c>
    </row>
    <row r="101" customFormat="false" ht="28.5" hidden="false" customHeight="true" outlineLevel="0" collapsed="false">
      <c r="A101" s="12" t="n">
        <v>46223</v>
      </c>
      <c r="B101" s="12"/>
      <c r="C101" s="12" t="n">
        <v>46223</v>
      </c>
      <c r="D101" s="10" t="s">
        <v>54</v>
      </c>
      <c r="E101" s="10" t="s">
        <v>79</v>
      </c>
      <c r="F101" s="13" t="s">
        <v>263</v>
      </c>
      <c r="G101" s="14" t="s">
        <v>49</v>
      </c>
      <c r="H101" s="10" t="s">
        <v>76</v>
      </c>
      <c r="I101" s="15" t="n">
        <v>89</v>
      </c>
      <c r="J101" s="10" t="s">
        <v>51</v>
      </c>
      <c r="K101" s="15" t="n">
        <v>0</v>
      </c>
      <c r="L101" s="11" t="n">
        <v>0</v>
      </c>
      <c r="M101" s="11" t="n">
        <v>0</v>
      </c>
      <c r="N101" s="10" t="s">
        <v>258</v>
      </c>
      <c r="O101" s="10" t="s">
        <v>67</v>
      </c>
      <c r="P101" s="10" t="s">
        <v>53</v>
      </c>
      <c r="Q101" s="16" t="n">
        <v>10</v>
      </c>
      <c r="R101" s="10"/>
      <c r="S101" s="10"/>
      <c r="T101" s="10" t="n">
        <v>0</v>
      </c>
      <c r="U101" s="11" t="n">
        <f aca="false">IF(E101="TRANSPORT",IF(T101="","",T101*5),IF(AL101="","",AL101))</f>
        <v>0</v>
      </c>
      <c r="V101" s="10" t="s">
        <v>54</v>
      </c>
      <c r="W101" s="15" t="s">
        <v>260</v>
      </c>
      <c r="X101" s="15"/>
      <c r="Y101" s="17" t="n">
        <v>46224.9352777778</v>
      </c>
      <c r="Z101" s="18" t="n">
        <f aca="false">IF(I101="",0,IF(ISNUMBER(SEARCH("mp",LOWER(J101))),I101,IF(ISNUMBER(SEARCH("ton",LOWER(J101))),I101/0.33,IF(ISNUMBER(SEARCH("m3",LOWER(J101))),I101*4,I101))))</f>
        <v>89</v>
      </c>
      <c r="AA101" s="18" t="n">
        <f aca="false">IF(I101="",0,IF(ISNUMBER(SEARCH("mp",LOWER(J101))),I101*0.33,IF(ISNUMBER(SEARCH("ton",LOWER(J101))),I101,I101*0.33)))</f>
        <v>29.37</v>
      </c>
      <c r="AB101" s="18" t="n">
        <f aca="false">Tabela_dane[[#This Row],[Wolumen_t]]*8.5</f>
        <v>249.645</v>
      </c>
      <c r="AC101" s="18" t="n">
        <f aca="false">IF(G101&lt;&gt;"TAK",0,IF(OR(E101="ZAKUP",E101="PRODUKCJA"),Z101,IF(OR(E101="SPRZEDAŻ",E101="ZUŻYCIE"),-Z101,0)))</f>
        <v>-89</v>
      </c>
      <c r="AD101" s="18" t="n">
        <f aca="false">IF(G101&lt;&gt;"TAK",0,IF(OR(E101="ZAKUP",E101="PRODUKCJA"),AA101,IF(OR(E101="SPRZEDAŻ",E101="ZUŻYCIE"),-AA101,0)))</f>
        <v>-29.37</v>
      </c>
      <c r="AE101" s="19" t="n">
        <f aca="false">IF(E101="ZAKUP",IF(L101&lt;&gt;"",L101,IF(K101&lt;&gt;"",Z101*K101,0)),0)</f>
        <v>0</v>
      </c>
      <c r="AF101" s="19" t="n">
        <f aca="false">IF(E101="SPRZEDAŻ",IF(M101&lt;&gt;"",Z101*M101,0),0)</f>
        <v>0</v>
      </c>
      <c r="AG101" s="19" t="str">
        <f aca="false">IF(R101="","",IF(LOWER(R101)="brak","Brak",IF(OR(ISNUMBER(SEARCH("ric pl",LOWER(R101))),ISNUMBER(SEARCH("wojciechowski",LOWER(R101)))),"Własny","Zewnętrzny")))</f>
        <v/>
      </c>
      <c r="AH101" s="19" t="n">
        <f aca="false">Z101*Q101</f>
        <v>890</v>
      </c>
      <c r="AI101" s="19" t="str">
        <f aca="false">UPPER(TEXT(C101,"mmmm"))</f>
        <v>JULY</v>
      </c>
      <c r="AJ101" s="19" t="str">
        <f aca="false">IF(C101="","",TEXT(C101,"rrrr"))</f>
        <v>CE5786CE5786</v>
      </c>
      <c r="AK101" s="10"/>
      <c r="AL101" s="11" t="n">
        <v>0</v>
      </c>
      <c r="AM101" s="10" t="s">
        <v>264</v>
      </c>
      <c r="AN101" s="10" t="s">
        <v>59</v>
      </c>
      <c r="AO101" s="10"/>
      <c r="AP101" s="10"/>
      <c r="AQ101" s="10"/>
      <c r="AR101" s="10" t="s">
        <v>81</v>
      </c>
      <c r="AS101" s="10"/>
      <c r="AT101" s="15" t="n">
        <v>1</v>
      </c>
    </row>
    <row r="102" customFormat="false" ht="28.5" hidden="false" customHeight="true" outlineLevel="0" collapsed="false">
      <c r="A102" s="12" t="n">
        <v>46223</v>
      </c>
      <c r="B102" s="12" t="s">
        <v>261</v>
      </c>
      <c r="C102" s="12" t="n">
        <v>46223</v>
      </c>
      <c r="D102" s="10" t="s">
        <v>54</v>
      </c>
      <c r="E102" s="10" t="s">
        <v>63</v>
      </c>
      <c r="F102" s="13" t="s">
        <v>263</v>
      </c>
      <c r="G102" s="14" t="s">
        <v>49</v>
      </c>
      <c r="H102" s="10" t="s">
        <v>76</v>
      </c>
      <c r="I102" s="15" t="n">
        <v>89</v>
      </c>
      <c r="J102" s="10" t="s">
        <v>51</v>
      </c>
      <c r="K102" s="15" t="n">
        <v>0</v>
      </c>
      <c r="L102" s="11" t="n">
        <v>0</v>
      </c>
      <c r="M102" s="11" t="n">
        <v>0</v>
      </c>
      <c r="N102" s="10" t="s">
        <v>258</v>
      </c>
      <c r="O102" s="10" t="s">
        <v>67</v>
      </c>
      <c r="P102" s="10"/>
      <c r="Q102" s="16" t="n">
        <v>0</v>
      </c>
      <c r="R102" s="10" t="s">
        <v>94</v>
      </c>
      <c r="S102" s="10" t="s">
        <v>95</v>
      </c>
      <c r="T102" s="10" t="n">
        <v>120</v>
      </c>
      <c r="U102" s="11" t="n">
        <f aca="false">IF(E102="TRANSPORT",IF(T102="","",T102*5),IF(AL102="","",AL102))</f>
        <v>600</v>
      </c>
      <c r="V102" s="10" t="s">
        <v>54</v>
      </c>
      <c r="W102" s="15" t="s">
        <v>70</v>
      </c>
      <c r="X102" s="15"/>
      <c r="Y102" s="17" t="n">
        <v>46224.9368402778</v>
      </c>
      <c r="Z102" s="18" t="n">
        <f aca="false">IF(I102="",0,IF(ISNUMBER(SEARCH("mp",LOWER(J102))),I102,IF(ISNUMBER(SEARCH("ton",LOWER(J102))),I102/0.33,IF(ISNUMBER(SEARCH("m3",LOWER(J102))),I102*4,I102))))</f>
        <v>89</v>
      </c>
      <c r="AA102" s="18" t="n">
        <f aca="false">IF(I102="",0,IF(ISNUMBER(SEARCH("mp",LOWER(J102))),I102*0.33,IF(ISNUMBER(SEARCH("ton",LOWER(J102))),I102,I102*0.33)))</f>
        <v>29.37</v>
      </c>
      <c r="AB102" s="18" t="n">
        <f aca="false">Tabela_dane[[#This Row],[Wolumen_t]]*8.5</f>
        <v>249.645</v>
      </c>
      <c r="AC102" s="18" t="n">
        <f aca="false">IF(G102&lt;&gt;"TAK",0,IF(OR(E102="ZAKUP",E102="PRODUKCJA"),Z102,IF(OR(E102="SPRZEDAŻ",E102="ZUŻYCIE"),-Z102,0)))</f>
        <v>89</v>
      </c>
      <c r="AD102" s="18" t="n">
        <f aca="false">IF(G102&lt;&gt;"TAK",0,IF(OR(E102="ZAKUP",E102="PRODUKCJA"),AA102,IF(OR(E102="SPRZEDAŻ",E102="ZUŻYCIE"),-AA102,0)))</f>
        <v>29.37</v>
      </c>
      <c r="AE102" s="19" t="n">
        <f aca="false">IF(E102="ZAKUP",IF(L102&lt;&gt;"",L102,IF(K102&lt;&gt;"",Z102*K102,0)),0)</f>
        <v>0</v>
      </c>
      <c r="AF102" s="19" t="n">
        <f aca="false">IF(E102="SPRZEDAŻ",IF(M102&lt;&gt;"",Z102*M102,0),0)</f>
        <v>0</v>
      </c>
      <c r="AG102" s="19" t="str">
        <f aca="false">IF(R102="","",IF(LOWER(R102)="brak","Brak",IF(OR(ISNUMBER(SEARCH("ric pl",LOWER(R102))),ISNUMBER(SEARCH("wojciechowski",LOWER(R102)))),"Własny","Zewnętrzny")))</f>
        <v>Zewnętrzny</v>
      </c>
      <c r="AH102" s="19" t="n">
        <f aca="false">Z102*Q102</f>
        <v>0</v>
      </c>
      <c r="AI102" s="19" t="str">
        <f aca="false">UPPER(TEXT(C102,"mmmm"))</f>
        <v>JULY</v>
      </c>
      <c r="AJ102" s="19" t="str">
        <f aca="false">IF(C102="","",TEXT(C102,"rrrr"))</f>
        <v>CE5786CE5786</v>
      </c>
      <c r="AK102" s="10"/>
      <c r="AL102" s="11" t="n">
        <v>600</v>
      </c>
      <c r="AM102" s="10" t="s">
        <v>265</v>
      </c>
      <c r="AN102" s="10" t="s">
        <v>49</v>
      </c>
      <c r="AO102" s="10"/>
      <c r="AP102" s="10"/>
      <c r="AQ102" s="10"/>
      <c r="AR102" s="10" t="s">
        <v>66</v>
      </c>
      <c r="AS102" s="10"/>
      <c r="AT102" s="15" t="n">
        <v>1</v>
      </c>
    </row>
    <row r="103" customFormat="false" ht="28.5" hidden="false" customHeight="true" outlineLevel="0" collapsed="false">
      <c r="A103" s="12" t="n">
        <v>46224</v>
      </c>
      <c r="B103" s="12" t="s">
        <v>106</v>
      </c>
      <c r="C103" s="12" t="n">
        <v>46224</v>
      </c>
      <c r="D103" s="10" t="s">
        <v>106</v>
      </c>
      <c r="E103" s="10" t="s">
        <v>107</v>
      </c>
      <c r="F103" s="22" t="s">
        <v>266</v>
      </c>
      <c r="G103" s="14" t="s">
        <v>49</v>
      </c>
      <c r="H103" s="10"/>
      <c r="I103" s="15" t="n">
        <v>89.98</v>
      </c>
      <c r="J103" s="10" t="s">
        <v>51</v>
      </c>
      <c r="K103" s="15" t="n">
        <v>0</v>
      </c>
      <c r="L103" s="11" t="n">
        <v>0</v>
      </c>
      <c r="M103" s="11" t="n">
        <v>0</v>
      </c>
      <c r="N103" s="10" t="s">
        <v>52</v>
      </c>
      <c r="O103" s="10" t="s">
        <v>67</v>
      </c>
      <c r="P103" s="10"/>
      <c r="Q103" s="16" t="n">
        <v>0</v>
      </c>
      <c r="R103" s="10" t="s">
        <v>97</v>
      </c>
      <c r="S103" s="10" t="s">
        <v>98</v>
      </c>
      <c r="T103" s="10" t="n">
        <v>40</v>
      </c>
      <c r="U103" s="11" t="n">
        <f aca="false">IF(E103="TRANSPORT",IF(T103="","",T103*5),IF(AL103="","",AL103))</f>
        <v>600</v>
      </c>
      <c r="V103" s="10" t="s">
        <v>54</v>
      </c>
      <c r="W103" s="15" t="s">
        <v>70</v>
      </c>
      <c r="X103" s="15" t="s">
        <v>106</v>
      </c>
      <c r="Y103" s="17" t="n">
        <v>46224.3943171296</v>
      </c>
      <c r="Z103" s="18" t="n">
        <f aca="false">IF(I103="",0,IF(ISNUMBER(SEARCH("mp",LOWER(J103))),I103,IF(ISNUMBER(SEARCH("ton",LOWER(J103))),I103/0.33,IF(ISNUMBER(SEARCH("m3",LOWER(J103))),I103*4,I103))))</f>
        <v>89.98</v>
      </c>
      <c r="AA103" s="18" t="n">
        <f aca="false">IF(I103="",0,IF(ISNUMBER(SEARCH("mp",LOWER(J103))),I103*0.33,IF(ISNUMBER(SEARCH("ton",LOWER(J103))),I103,I103*0.33)))</f>
        <v>29.6934</v>
      </c>
      <c r="AB103" s="18" t="n">
        <f aca="false">Tabela_dane[[#This Row],[Wolumen_t]]*8.5</f>
        <v>252.3939</v>
      </c>
      <c r="AC103" s="18" t="n">
        <f aca="false">IF(G103&lt;&gt;"TAK",0,IF(OR(E103="ZAKUP",E103="PRODUKCJA"),Z103,IF(OR(E103="SPRZEDAŻ",E103="ZUŻYCIE"),-Z103,0)))</f>
        <v>0</v>
      </c>
      <c r="AD103" s="18" t="n">
        <f aca="false">IF(G103&lt;&gt;"TAK",0,IF(OR(E103="ZAKUP",E103="PRODUKCJA"),AA103,IF(OR(E103="SPRZEDAŻ",E103="ZUŻYCIE"),-AA103,0)))</f>
        <v>0</v>
      </c>
      <c r="AE103" s="19" t="n">
        <f aca="false">IF(E103="ZAKUP",IF(L103&lt;&gt;"",L103,IF(K103&lt;&gt;"",Z103*K103,0)),0)</f>
        <v>0</v>
      </c>
      <c r="AF103" s="19" t="n">
        <f aca="false">IF(E103="SPRZEDAŻ",IF(M103&lt;&gt;"",Z103*M103,0),0)</f>
        <v>0</v>
      </c>
      <c r="AG103" s="19" t="str">
        <f aca="false">IF(R103="","",IF(LOWER(R103)="brak","Brak",IF(OR(ISNUMBER(SEARCH("ric pl",LOWER(R103))),ISNUMBER(SEARCH("wojciechowski",LOWER(R103)))),"Własny","Zewnętrzny")))</f>
        <v>Zewnętrzny</v>
      </c>
      <c r="AH103" s="19" t="n">
        <f aca="false">Z103*Q103</f>
        <v>0</v>
      </c>
      <c r="AI103" s="19" t="str">
        <f aca="false">UPPER(TEXT(C103,"mmmm"))</f>
        <v>JULY</v>
      </c>
      <c r="AJ103" s="19" t="str">
        <f aca="false">IF(C103="","",TEXT(C103,"rrrr"))</f>
        <v>CE5786CE5786</v>
      </c>
      <c r="AK103" s="10"/>
      <c r="AL103" s="11" t="n">
        <v>600</v>
      </c>
      <c r="AM103" s="10" t="s">
        <v>267</v>
      </c>
      <c r="AN103" s="10" t="s">
        <v>49</v>
      </c>
      <c r="AO103" s="10"/>
      <c r="AP103" s="10"/>
      <c r="AQ103" s="10"/>
      <c r="AR103" s="10" t="s">
        <v>66</v>
      </c>
      <c r="AS103" s="10"/>
      <c r="AT103" s="15" t="n">
        <v>1</v>
      </c>
    </row>
    <row r="104" customFormat="false" ht="28.5" hidden="false" customHeight="true" outlineLevel="0" collapsed="false">
      <c r="A104" s="12" t="n">
        <v>46224</v>
      </c>
      <c r="B104" s="12" t="s">
        <v>106</v>
      </c>
      <c r="C104" s="12" t="n">
        <v>46224</v>
      </c>
      <c r="D104" s="10" t="s">
        <v>106</v>
      </c>
      <c r="E104" s="10" t="s">
        <v>107</v>
      </c>
      <c r="F104" s="22" t="s">
        <v>268</v>
      </c>
      <c r="G104" s="14" t="s">
        <v>49</v>
      </c>
      <c r="H104" s="10"/>
      <c r="I104" s="15" t="n">
        <v>55.44</v>
      </c>
      <c r="J104" s="10" t="s">
        <v>51</v>
      </c>
      <c r="K104" s="15" t="n">
        <v>0</v>
      </c>
      <c r="L104" s="11" t="n">
        <v>0</v>
      </c>
      <c r="M104" s="11" t="n">
        <v>0</v>
      </c>
      <c r="N104" s="10" t="s">
        <v>52</v>
      </c>
      <c r="O104" s="10" t="s">
        <v>67</v>
      </c>
      <c r="P104" s="10"/>
      <c r="Q104" s="16" t="n">
        <v>0</v>
      </c>
      <c r="R104" s="10" t="s">
        <v>72</v>
      </c>
      <c r="S104" s="10" t="s">
        <v>73</v>
      </c>
      <c r="T104" s="10" t="n">
        <v>40</v>
      </c>
      <c r="U104" s="11" t="n">
        <f aca="false">IF(E104="TRANSPORT",IF(T104="","",T104*5),IF(AL104="","",AL104))</f>
        <v>240</v>
      </c>
      <c r="V104" s="10" t="s">
        <v>54</v>
      </c>
      <c r="W104" s="15" t="s">
        <v>70</v>
      </c>
      <c r="X104" s="15" t="s">
        <v>106</v>
      </c>
      <c r="Y104" s="17" t="n">
        <v>46224.3949305556</v>
      </c>
      <c r="Z104" s="18" t="n">
        <f aca="false">IF(I104="",0,IF(ISNUMBER(SEARCH("mp",LOWER(J104))),I104,IF(ISNUMBER(SEARCH("ton",LOWER(J104))),I104/0.33,IF(ISNUMBER(SEARCH("m3",LOWER(J104))),I104*4,I104))))</f>
        <v>55.44</v>
      </c>
      <c r="AA104" s="18" t="n">
        <f aca="false">IF(I104="",0,IF(ISNUMBER(SEARCH("mp",LOWER(J104))),I104*0.33,IF(ISNUMBER(SEARCH("ton",LOWER(J104))),I104,I104*0.33)))</f>
        <v>18.2952</v>
      </c>
      <c r="AB104" s="18" t="n">
        <f aca="false">Tabela_dane[[#This Row],[Wolumen_t]]*8.5</f>
        <v>155.5092</v>
      </c>
      <c r="AC104" s="18" t="n">
        <f aca="false">IF(G104&lt;&gt;"TAK",0,IF(OR(E104="ZAKUP",E104="PRODUKCJA"),Z104,IF(OR(E104="SPRZEDAŻ",E104="ZUŻYCIE"),-Z104,0)))</f>
        <v>0</v>
      </c>
      <c r="AD104" s="18" t="n">
        <f aca="false">IF(G104&lt;&gt;"TAK",0,IF(OR(E104="ZAKUP",E104="PRODUKCJA"),AA104,IF(OR(E104="SPRZEDAŻ",E104="ZUŻYCIE"),-AA104,0)))</f>
        <v>0</v>
      </c>
      <c r="AE104" s="19" t="n">
        <f aca="false">IF(E104="ZAKUP",IF(L104&lt;&gt;"",L104,IF(K104&lt;&gt;"",Z104*K104,0)),0)</f>
        <v>0</v>
      </c>
      <c r="AF104" s="19" t="n">
        <f aca="false">IF(E104="SPRZEDAŻ",IF(M104&lt;&gt;"",Z104*M104,0),0)</f>
        <v>0</v>
      </c>
      <c r="AG104" s="19" t="str">
        <f aca="false">IF(R104="","",IF(LOWER(R104)="brak","Brak",IF(OR(ISNUMBER(SEARCH("ric pl",LOWER(R104))),ISNUMBER(SEARCH("wojciechowski",LOWER(R104)))),"Własny","Zewnętrzny")))</f>
        <v>Zewnętrzny</v>
      </c>
      <c r="AH104" s="19" t="n">
        <f aca="false">Z104*Q104</f>
        <v>0</v>
      </c>
      <c r="AI104" s="19" t="str">
        <f aca="false">UPPER(TEXT(C104,"mmmm"))</f>
        <v>JULY</v>
      </c>
      <c r="AJ104" s="19" t="str">
        <f aca="false">IF(C104="","",TEXT(C104,"rrrr"))</f>
        <v>CE5786CE5786</v>
      </c>
      <c r="AK104" s="10"/>
      <c r="AL104" s="11" t="n">
        <v>240</v>
      </c>
      <c r="AM104" s="10" t="s">
        <v>269</v>
      </c>
      <c r="AN104" s="10" t="s">
        <v>49</v>
      </c>
      <c r="AO104" s="10"/>
      <c r="AP104" s="10"/>
      <c r="AQ104" s="10"/>
      <c r="AR104" s="10" t="s">
        <v>66</v>
      </c>
      <c r="AS104" s="10"/>
      <c r="AT104" s="15" t="n">
        <v>1</v>
      </c>
    </row>
    <row r="105" customFormat="false" ht="28.5" hidden="false" customHeight="true" outlineLevel="0" collapsed="false">
      <c r="A105" s="12" t="n">
        <v>46224</v>
      </c>
      <c r="B105" s="12" t="s">
        <v>106</v>
      </c>
      <c r="C105" s="12" t="n">
        <v>46224</v>
      </c>
      <c r="D105" s="10" t="s">
        <v>106</v>
      </c>
      <c r="E105" s="10" t="s">
        <v>107</v>
      </c>
      <c r="F105" s="22" t="s">
        <v>270</v>
      </c>
      <c r="G105" s="14" t="s">
        <v>49</v>
      </c>
      <c r="H105" s="10"/>
      <c r="I105" s="15" t="n">
        <v>86</v>
      </c>
      <c r="J105" s="10" t="s">
        <v>51</v>
      </c>
      <c r="K105" s="15" t="n">
        <v>0</v>
      </c>
      <c r="L105" s="11" t="n">
        <v>0</v>
      </c>
      <c r="M105" s="11" t="n">
        <v>0</v>
      </c>
      <c r="N105" s="10" t="s">
        <v>52</v>
      </c>
      <c r="O105" s="10" t="s">
        <v>67</v>
      </c>
      <c r="P105" s="10"/>
      <c r="Q105" s="16" t="n">
        <v>0</v>
      </c>
      <c r="R105" s="10" t="s">
        <v>97</v>
      </c>
      <c r="S105" s="10" t="s">
        <v>98</v>
      </c>
      <c r="T105" s="10" t="n">
        <v>40</v>
      </c>
      <c r="U105" s="11" t="n">
        <f aca="false">IF(E105="TRANSPORT",IF(T105="","",T105*5),IF(AL105="","",AL105))</f>
        <v>600</v>
      </c>
      <c r="V105" s="10" t="s">
        <v>54</v>
      </c>
      <c r="W105" s="15" t="s">
        <v>65</v>
      </c>
      <c r="X105" s="15" t="s">
        <v>106</v>
      </c>
      <c r="Y105" s="17" t="n">
        <v>46224.488275463</v>
      </c>
      <c r="Z105" s="18" t="n">
        <f aca="false">IF(I105="",0,IF(ISNUMBER(SEARCH("mp",LOWER(J105))),I105,IF(ISNUMBER(SEARCH("ton",LOWER(J105))),I105/0.33,IF(ISNUMBER(SEARCH("m3",LOWER(J105))),I105*4,I105))))</f>
        <v>86</v>
      </c>
      <c r="AA105" s="18" t="n">
        <f aca="false">IF(I105="",0,IF(ISNUMBER(SEARCH("mp",LOWER(J105))),I105*0.33,IF(ISNUMBER(SEARCH("ton",LOWER(J105))),I105,I105*0.33)))</f>
        <v>28.38</v>
      </c>
      <c r="AB105" s="18" t="n">
        <f aca="false">Tabela_dane[[#This Row],[Wolumen_t]]*8.5</f>
        <v>241.23</v>
      </c>
      <c r="AC105" s="18" t="n">
        <f aca="false">IF(G105&lt;&gt;"TAK",0,IF(OR(E105="ZAKUP",E105="PRODUKCJA"),Z105,IF(OR(E105="SPRZEDAŻ",E105="ZUŻYCIE"),-Z105,0)))</f>
        <v>0</v>
      </c>
      <c r="AD105" s="18" t="n">
        <f aca="false">IF(G105&lt;&gt;"TAK",0,IF(OR(E105="ZAKUP",E105="PRODUKCJA"),AA105,IF(OR(E105="SPRZEDAŻ",E105="ZUŻYCIE"),-AA105,0)))</f>
        <v>0</v>
      </c>
      <c r="AE105" s="19" t="n">
        <f aca="false">IF(E105="ZAKUP",IF(L105&lt;&gt;"",L105,IF(K105&lt;&gt;"",Z105*K105,0)),0)</f>
        <v>0</v>
      </c>
      <c r="AF105" s="19" t="n">
        <f aca="false">IF(E105="SPRZEDAŻ",IF(M105&lt;&gt;"",Z105*M105,0),0)</f>
        <v>0</v>
      </c>
      <c r="AG105" s="19" t="str">
        <f aca="false">IF(R105="","",IF(LOWER(R105)="brak","Brak",IF(OR(ISNUMBER(SEARCH("ric pl",LOWER(R105))),ISNUMBER(SEARCH("wojciechowski",LOWER(R105)))),"Własny","Zewnętrzny")))</f>
        <v>Zewnętrzny</v>
      </c>
      <c r="AH105" s="19" t="n">
        <f aca="false">Z105*Q105</f>
        <v>0</v>
      </c>
      <c r="AI105" s="19" t="str">
        <f aca="false">UPPER(TEXT(C105,"mmmm"))</f>
        <v>JULY</v>
      </c>
      <c r="AJ105" s="19" t="str">
        <f aca="false">IF(C105="","",TEXT(C105,"rrrr"))</f>
        <v>CE5786CE5786</v>
      </c>
      <c r="AK105" s="10"/>
      <c r="AL105" s="11" t="n">
        <v>600</v>
      </c>
      <c r="AM105" s="10" t="s">
        <v>271</v>
      </c>
      <c r="AN105" s="10" t="s">
        <v>49</v>
      </c>
      <c r="AO105" s="10"/>
      <c r="AP105" s="10"/>
      <c r="AQ105" s="10"/>
      <c r="AR105" s="10" t="s">
        <v>66</v>
      </c>
      <c r="AS105" s="10"/>
      <c r="AT105" s="15" t="n">
        <v>1</v>
      </c>
    </row>
    <row r="106" customFormat="false" ht="50.25" hidden="false" customHeight="true" outlineLevel="0" collapsed="false">
      <c r="A106" s="12" t="n">
        <v>46224</v>
      </c>
      <c r="B106" s="12" t="s">
        <v>106</v>
      </c>
      <c r="C106" s="12" t="n">
        <v>46224</v>
      </c>
      <c r="D106" s="10" t="s">
        <v>106</v>
      </c>
      <c r="E106" s="10" t="s">
        <v>107</v>
      </c>
      <c r="F106" s="22" t="s">
        <v>272</v>
      </c>
      <c r="G106" s="14" t="s">
        <v>49</v>
      </c>
      <c r="H106" s="10"/>
      <c r="I106" s="15" t="n">
        <v>58</v>
      </c>
      <c r="J106" s="10" t="s">
        <v>51</v>
      </c>
      <c r="K106" s="15" t="n">
        <v>0</v>
      </c>
      <c r="L106" s="11" t="n">
        <v>0</v>
      </c>
      <c r="M106" s="11" t="n">
        <v>0</v>
      </c>
      <c r="N106" s="10" t="s">
        <v>52</v>
      </c>
      <c r="O106" s="10" t="s">
        <v>67</v>
      </c>
      <c r="P106" s="10"/>
      <c r="Q106" s="16" t="n">
        <v>0</v>
      </c>
      <c r="R106" s="10" t="s">
        <v>72</v>
      </c>
      <c r="S106" s="10" t="s">
        <v>73</v>
      </c>
      <c r="T106" s="10" t="n">
        <v>40</v>
      </c>
      <c r="U106" s="11" t="n">
        <f aca="false">IF(E106="TRANSPORT",IF(T106="","",T106*5),IF(AL106="","",AL106))</f>
        <v>240</v>
      </c>
      <c r="V106" s="10" t="s">
        <v>54</v>
      </c>
      <c r="W106" s="15" t="s">
        <v>70</v>
      </c>
      <c r="X106" s="15" t="s">
        <v>106</v>
      </c>
      <c r="Y106" s="17" t="n">
        <v>46224.522349537</v>
      </c>
      <c r="Z106" s="18" t="n">
        <f aca="false">IF(I106="",0,IF(ISNUMBER(SEARCH("mp",LOWER(J106))),I106,IF(ISNUMBER(SEARCH("ton",LOWER(J106))),I106/0.33,IF(ISNUMBER(SEARCH("m3",LOWER(J106))),I106*4,I106))))</f>
        <v>58</v>
      </c>
      <c r="AA106" s="18" t="n">
        <f aca="false">IF(I106="",0,IF(ISNUMBER(SEARCH("mp",LOWER(J106))),I106*0.33,IF(ISNUMBER(SEARCH("ton",LOWER(J106))),I106,I106*0.33)))</f>
        <v>19.14</v>
      </c>
      <c r="AB106" s="18" t="n">
        <f aca="false">Tabela_dane[[#This Row],[Wolumen_t]]*8.5</f>
        <v>162.69</v>
      </c>
      <c r="AC106" s="18" t="n">
        <f aca="false">IF(G106&lt;&gt;"TAK",0,IF(OR(E106="ZAKUP",E106="PRODUKCJA"),Z106,IF(OR(E106="SPRZEDAŻ",E106="ZUŻYCIE"),-Z106,0)))</f>
        <v>0</v>
      </c>
      <c r="AD106" s="18" t="n">
        <f aca="false">IF(G106&lt;&gt;"TAK",0,IF(OR(E106="ZAKUP",E106="PRODUKCJA"),AA106,IF(OR(E106="SPRZEDAŻ",E106="ZUŻYCIE"),-AA106,0)))</f>
        <v>0</v>
      </c>
      <c r="AE106" s="19" t="n">
        <f aca="false">IF(E106="ZAKUP",IF(L106&lt;&gt;"",L106,IF(K106&lt;&gt;"",Z106*K106,0)),0)</f>
        <v>0</v>
      </c>
      <c r="AF106" s="19" t="n">
        <f aca="false">IF(E106="SPRZEDAŻ",IF(M106&lt;&gt;"",Z106*M106,0),0)</f>
        <v>0</v>
      </c>
      <c r="AG106" s="19" t="str">
        <f aca="false">IF(R106="","",IF(LOWER(R106)="brak","Brak",IF(OR(ISNUMBER(SEARCH("ric pl",LOWER(R106))),ISNUMBER(SEARCH("wojciechowski",LOWER(R106)))),"Własny","Zewnętrzny")))</f>
        <v>Zewnętrzny</v>
      </c>
      <c r="AH106" s="19" t="n">
        <f aca="false">Z106*Q106</f>
        <v>0</v>
      </c>
      <c r="AI106" s="19" t="str">
        <f aca="false">UPPER(TEXT(C106,"mmmm"))</f>
        <v>JULY</v>
      </c>
      <c r="AJ106" s="19" t="str">
        <f aca="false">IF(C106="","",TEXT(C106,"rrrr"))</f>
        <v>CE5786CE5786</v>
      </c>
      <c r="AK106" s="10"/>
      <c r="AL106" s="11" t="n">
        <v>240</v>
      </c>
      <c r="AM106" s="10" t="s">
        <v>273</v>
      </c>
      <c r="AN106" s="10" t="s">
        <v>49</v>
      </c>
      <c r="AO106" s="10"/>
      <c r="AP106" s="10"/>
      <c r="AQ106" s="10"/>
      <c r="AR106" s="10" t="s">
        <v>66</v>
      </c>
      <c r="AS106" s="10"/>
      <c r="AT106" s="15" t="n">
        <v>1</v>
      </c>
    </row>
    <row r="107" customFormat="false" ht="28.5" hidden="false" customHeight="true" outlineLevel="0" collapsed="false">
      <c r="A107" s="12" t="n">
        <v>46224</v>
      </c>
      <c r="B107" s="12"/>
      <c r="C107" s="12" t="n">
        <v>46224</v>
      </c>
      <c r="D107" s="10" t="s">
        <v>101</v>
      </c>
      <c r="E107" s="10" t="s">
        <v>63</v>
      </c>
      <c r="F107" s="13" t="s">
        <v>274</v>
      </c>
      <c r="G107" s="14" t="s">
        <v>49</v>
      </c>
      <c r="H107" s="10" t="s">
        <v>76</v>
      </c>
      <c r="I107" s="15" t="n">
        <v>27.42</v>
      </c>
      <c r="J107" s="10" t="s">
        <v>103</v>
      </c>
      <c r="K107" s="15" t="n">
        <v>265</v>
      </c>
      <c r="L107" s="11" t="n">
        <v>7266.3</v>
      </c>
      <c r="M107" s="11" t="n">
        <v>0</v>
      </c>
      <c r="N107" s="10" t="s">
        <v>104</v>
      </c>
      <c r="O107" s="10" t="s">
        <v>67</v>
      </c>
      <c r="P107" s="10"/>
      <c r="Q107" s="16" t="n">
        <v>0</v>
      </c>
      <c r="R107" s="10"/>
      <c r="S107" s="10"/>
      <c r="T107" s="10" t="n">
        <v>0</v>
      </c>
      <c r="U107" s="11" t="n">
        <f aca="false">IF(E107="TRANSPORT",IF(T107="","",T107*5),IF(AL107="","",AL107))</f>
        <v>0</v>
      </c>
      <c r="V107" s="10" t="s">
        <v>54</v>
      </c>
      <c r="W107" s="15" t="s">
        <v>275</v>
      </c>
      <c r="X107" s="15"/>
      <c r="Y107" s="17" t="n">
        <v>46224.527025463</v>
      </c>
      <c r="Z107" s="18" t="n">
        <f aca="false">IF(I107="",0,IF(ISNUMBER(SEARCH("mp",LOWER(J107))),I107,IF(ISNUMBER(SEARCH("ton",LOWER(J107))),I107/0.33,IF(ISNUMBER(SEARCH("m3",LOWER(J107))),I107*4,I107))))</f>
        <v>83.0909090909091</v>
      </c>
      <c r="AA107" s="18" t="n">
        <f aca="false">IF(I107="",0,IF(ISNUMBER(SEARCH("mp",LOWER(J107))),I107*0.33,IF(ISNUMBER(SEARCH("ton",LOWER(J107))),I107,I107*0.33)))</f>
        <v>27.42</v>
      </c>
      <c r="AB107" s="18" t="n">
        <f aca="false">Tabela_dane[[#This Row],[Wolumen_t]]*8.5</f>
        <v>233.07</v>
      </c>
      <c r="AC107" s="18" t="n">
        <f aca="false">IF(G107&lt;&gt;"TAK",0,IF(OR(E107="ZAKUP",E107="PRODUKCJA"),Z107,IF(OR(E107="SPRZEDAŻ",E107="ZUŻYCIE"),-Z107,0)))</f>
        <v>83.0909090909091</v>
      </c>
      <c r="AD107" s="18" t="n">
        <f aca="false">IF(G107&lt;&gt;"TAK",0,IF(OR(E107="ZAKUP",E107="PRODUKCJA"),AA107,IF(OR(E107="SPRZEDAŻ",E107="ZUŻYCIE"),-AA107,0)))</f>
        <v>27.42</v>
      </c>
      <c r="AE107" s="19" t="n">
        <f aca="false">IF(E107="ZAKUP",IF(L107&lt;&gt;"",L107,IF(K107&lt;&gt;"",Z107*K107,0)),0)</f>
        <v>7266.3</v>
      </c>
      <c r="AF107" s="19" t="n">
        <f aca="false">IF(E107="SPRZEDAŻ",IF(M107&lt;&gt;"",Z107*M107,0),0)</f>
        <v>0</v>
      </c>
      <c r="AG107" s="19" t="str">
        <f aca="false">IF(R107="","",IF(LOWER(R107)="brak","Brak",IF(OR(ISNUMBER(SEARCH("ric pl",LOWER(R107))),ISNUMBER(SEARCH("wojciechowski",LOWER(R107)))),"Własny","Zewnętrzny")))</f>
        <v/>
      </c>
      <c r="AH107" s="19" t="n">
        <f aca="false">Z107*Q107</f>
        <v>0</v>
      </c>
      <c r="AI107" s="19" t="str">
        <f aca="false">UPPER(TEXT(C107,"mmmm"))</f>
        <v>JULY</v>
      </c>
      <c r="AJ107" s="19" t="str">
        <f aca="false">IF(C107="","",TEXT(C107,"rrrr"))</f>
        <v>CE5786CE5786</v>
      </c>
      <c r="AK107" s="10"/>
      <c r="AL107" s="11" t="n">
        <v>0</v>
      </c>
      <c r="AM107" s="10" t="s">
        <v>276</v>
      </c>
      <c r="AN107" s="10" t="s">
        <v>59</v>
      </c>
      <c r="AO107" s="10"/>
      <c r="AP107" s="10"/>
      <c r="AQ107" s="10"/>
      <c r="AR107" s="10" t="s">
        <v>66</v>
      </c>
      <c r="AS107" s="10"/>
      <c r="AT107" s="15" t="n">
        <v>1</v>
      </c>
    </row>
    <row r="108" customFormat="false" ht="28.5" hidden="false" customHeight="true" outlineLevel="0" collapsed="false">
      <c r="A108" s="12" t="n">
        <v>46224</v>
      </c>
      <c r="B108" s="12"/>
      <c r="C108" s="12" t="n">
        <v>46224</v>
      </c>
      <c r="D108" s="10" t="s">
        <v>277</v>
      </c>
      <c r="E108" s="10" t="s">
        <v>63</v>
      </c>
      <c r="F108" s="13" t="s">
        <v>278</v>
      </c>
      <c r="G108" s="14" t="s">
        <v>49</v>
      </c>
      <c r="H108" s="10" t="s">
        <v>76</v>
      </c>
      <c r="I108" s="15" t="n">
        <v>80</v>
      </c>
      <c r="J108" s="10" t="s">
        <v>51</v>
      </c>
      <c r="K108" s="15" t="n">
        <v>40</v>
      </c>
      <c r="L108" s="11" t="n">
        <v>3200</v>
      </c>
      <c r="M108" s="11" t="n">
        <v>0</v>
      </c>
      <c r="N108" s="10" t="s">
        <v>255</v>
      </c>
      <c r="O108" s="10" t="s">
        <v>67</v>
      </c>
      <c r="P108" s="10"/>
      <c r="Q108" s="16" t="n">
        <v>0</v>
      </c>
      <c r="R108" s="10"/>
      <c r="S108" s="10"/>
      <c r="T108" s="10" t="n">
        <v>0</v>
      </c>
      <c r="U108" s="11" t="n">
        <f aca="false">IF(E108="TRANSPORT",IF(T108="","",T108*5),IF(AL108="","",AL108))</f>
        <v>0</v>
      </c>
      <c r="V108" s="10" t="s">
        <v>54</v>
      </c>
      <c r="W108" s="15" t="s">
        <v>70</v>
      </c>
      <c r="X108" s="15"/>
      <c r="Y108" s="17" t="n">
        <v>46224.9433796296</v>
      </c>
      <c r="Z108" s="18" t="n">
        <f aca="false">IF(I108="",0,IF(ISNUMBER(SEARCH("mp",LOWER(J108))),I108,IF(ISNUMBER(SEARCH("ton",LOWER(J108))),I108/0.33,IF(ISNUMBER(SEARCH("m3",LOWER(J108))),I108*4,I108))))</f>
        <v>80</v>
      </c>
      <c r="AA108" s="18" t="n">
        <f aca="false">IF(I108="",0,IF(ISNUMBER(SEARCH("mp",LOWER(J108))),I108*0.33,IF(ISNUMBER(SEARCH("ton",LOWER(J108))),I108,I108*0.33)))</f>
        <v>26.4</v>
      </c>
      <c r="AB108" s="18" t="n">
        <f aca="false">Tabela_dane[[#This Row],[Wolumen_t]]*8.5</f>
        <v>224.4</v>
      </c>
      <c r="AC108" s="18" t="n">
        <f aca="false">IF(G108&lt;&gt;"TAK",0,IF(OR(E108="ZAKUP",E108="PRODUKCJA"),Z108,IF(OR(E108="SPRZEDAŻ",E108="ZUŻYCIE"),-Z108,0)))</f>
        <v>80</v>
      </c>
      <c r="AD108" s="18" t="n">
        <f aca="false">IF(G108&lt;&gt;"TAK",0,IF(OR(E108="ZAKUP",E108="PRODUKCJA"),AA108,IF(OR(E108="SPRZEDAŻ",E108="ZUŻYCIE"),-AA108,0)))</f>
        <v>26.4</v>
      </c>
      <c r="AE108" s="19" t="n">
        <f aca="false">IF(E108="ZAKUP",IF(L108&lt;&gt;"",L108,IF(K108&lt;&gt;"",Z108*K108,0)),0)</f>
        <v>3200</v>
      </c>
      <c r="AF108" s="19" t="n">
        <f aca="false">IF(E108="SPRZEDAŻ",IF(M108&lt;&gt;"",Z108*M108,0),0)</f>
        <v>0</v>
      </c>
      <c r="AG108" s="19" t="str">
        <f aca="false">IF(R108="","",IF(LOWER(R108)="brak","Brak",IF(OR(ISNUMBER(SEARCH("ric pl",LOWER(R108))),ISNUMBER(SEARCH("wojciechowski",LOWER(R108)))),"Własny","Zewnętrzny")))</f>
        <v/>
      </c>
      <c r="AH108" s="19" t="n">
        <f aca="false">Z108*Q108</f>
        <v>0</v>
      </c>
      <c r="AI108" s="19" t="str">
        <f aca="false">UPPER(TEXT(C108,"mmmm"))</f>
        <v>JULY</v>
      </c>
      <c r="AJ108" s="19" t="str">
        <f aca="false">IF(C108="","",TEXT(C108,"rrrr"))</f>
        <v>CE5786CE5786</v>
      </c>
      <c r="AK108" s="10"/>
      <c r="AL108" s="11" t="n">
        <v>0</v>
      </c>
      <c r="AM108" s="10" t="s">
        <v>279</v>
      </c>
      <c r="AN108" s="10" t="s">
        <v>59</v>
      </c>
      <c r="AO108" s="10"/>
      <c r="AP108" s="10"/>
      <c r="AQ108" s="10"/>
      <c r="AR108" s="10" t="s">
        <v>66</v>
      </c>
      <c r="AS108" s="10"/>
      <c r="AT108" s="15" t="n">
        <v>1</v>
      </c>
    </row>
    <row r="109" customFormat="false" ht="28.5" hidden="false" customHeight="true" outlineLevel="0" collapsed="false">
      <c r="A109" s="12" t="n">
        <v>46224</v>
      </c>
      <c r="B109" s="12"/>
      <c r="C109" s="12" t="n">
        <v>46224</v>
      </c>
      <c r="D109" s="10" t="s">
        <v>54</v>
      </c>
      <c r="E109" s="10" t="s">
        <v>47</v>
      </c>
      <c r="F109" s="13" t="s">
        <v>278</v>
      </c>
      <c r="G109" s="14" t="s">
        <v>49</v>
      </c>
      <c r="H109" s="10" t="s">
        <v>76</v>
      </c>
      <c r="I109" s="15" t="n">
        <v>80</v>
      </c>
      <c r="J109" s="10" t="s">
        <v>51</v>
      </c>
      <c r="K109" s="15" t="n">
        <v>0</v>
      </c>
      <c r="L109" s="11" t="n">
        <v>0</v>
      </c>
      <c r="M109" s="11" t="n">
        <v>0</v>
      </c>
      <c r="N109" s="10" t="s">
        <v>258</v>
      </c>
      <c r="O109" s="10" t="s">
        <v>67</v>
      </c>
      <c r="P109" s="10" t="s">
        <v>53</v>
      </c>
      <c r="Q109" s="16" t="n">
        <v>10</v>
      </c>
      <c r="R109" s="10"/>
      <c r="S109" s="10"/>
      <c r="T109" s="10" t="n">
        <v>0</v>
      </c>
      <c r="U109" s="11" t="n">
        <f aca="false">IF(E109="TRANSPORT",IF(T109="","",T109*5),IF(AL109="","",AL109))</f>
        <v>0</v>
      </c>
      <c r="V109" s="10" t="s">
        <v>54</v>
      </c>
      <c r="W109" s="15" t="s">
        <v>65</v>
      </c>
      <c r="X109" s="15"/>
      <c r="Y109" s="17" t="n">
        <v>46224.9446180556</v>
      </c>
      <c r="Z109" s="18" t="n">
        <f aca="false">IF(I109="",0,IF(ISNUMBER(SEARCH("mp",LOWER(J109))),I109,IF(ISNUMBER(SEARCH("ton",LOWER(J109))),I109/0.33,IF(ISNUMBER(SEARCH("m3",LOWER(J109))),I109*4,I109))))</f>
        <v>80</v>
      </c>
      <c r="AA109" s="18" t="n">
        <f aca="false">IF(I109="",0,IF(ISNUMBER(SEARCH("mp",LOWER(J109))),I109*0.33,IF(ISNUMBER(SEARCH("ton",LOWER(J109))),I109,I109*0.33)))</f>
        <v>26.4</v>
      </c>
      <c r="AB109" s="18" t="n">
        <f aca="false">Tabela_dane[[#This Row],[Wolumen_t]]*8.5</f>
        <v>224.4</v>
      </c>
      <c r="AC109" s="18" t="n">
        <f aca="false">IF(G109&lt;&gt;"TAK",0,IF(OR(E109="ZAKUP",E109="PRODUKCJA"),Z109,IF(OR(E109="SPRZEDAŻ",E109="ZUŻYCIE"),-Z109,0)))</f>
        <v>80</v>
      </c>
      <c r="AD109" s="18" t="n">
        <f aca="false">IF(G109&lt;&gt;"TAK",0,IF(OR(E109="ZAKUP",E109="PRODUKCJA"),AA109,IF(OR(E109="SPRZEDAŻ",E109="ZUŻYCIE"),-AA109,0)))</f>
        <v>26.4</v>
      </c>
      <c r="AE109" s="19" t="n">
        <f aca="false">IF(E109="ZAKUP",IF(L109&lt;&gt;"",L109,IF(K109&lt;&gt;"",Z109*K109,0)),0)</f>
        <v>0</v>
      </c>
      <c r="AF109" s="19" t="n">
        <f aca="false">IF(E109="SPRZEDAŻ",IF(M109&lt;&gt;"",Z109*M109,0),0)</f>
        <v>0</v>
      </c>
      <c r="AG109" s="19" t="str">
        <f aca="false">IF(R109="","",IF(LOWER(R109)="brak","Brak",IF(OR(ISNUMBER(SEARCH("ric pl",LOWER(R109))),ISNUMBER(SEARCH("wojciechowski",LOWER(R109)))),"Własny","Zewnętrzny")))</f>
        <v/>
      </c>
      <c r="AH109" s="19" t="n">
        <f aca="false">Z109*Q109</f>
        <v>800</v>
      </c>
      <c r="AI109" s="19" t="str">
        <f aca="false">UPPER(TEXT(C109,"mmmm"))</f>
        <v>JULY</v>
      </c>
      <c r="AJ109" s="19" t="str">
        <f aca="false">IF(C109="","",TEXT(C109,"rrrr"))</f>
        <v>CE5786CE5786</v>
      </c>
      <c r="AK109" s="10"/>
      <c r="AL109" s="11" t="n">
        <v>0</v>
      </c>
      <c r="AM109" s="10" t="s">
        <v>280</v>
      </c>
      <c r="AN109" s="10" t="s">
        <v>59</v>
      </c>
      <c r="AO109" s="10"/>
      <c r="AP109" s="10"/>
      <c r="AQ109" s="10"/>
      <c r="AR109" s="10" t="s">
        <v>66</v>
      </c>
      <c r="AS109" s="10"/>
      <c r="AT109" s="15" t="n">
        <v>1</v>
      </c>
    </row>
    <row r="110" customFormat="false" ht="28.5" hidden="false" customHeight="true" outlineLevel="0" collapsed="false">
      <c r="A110" s="12" t="n">
        <v>46224</v>
      </c>
      <c r="B110" s="12"/>
      <c r="C110" s="12" t="n">
        <v>46224</v>
      </c>
      <c r="D110" s="10" t="s">
        <v>54</v>
      </c>
      <c r="E110" s="10" t="s">
        <v>79</v>
      </c>
      <c r="F110" s="13" t="s">
        <v>278</v>
      </c>
      <c r="G110" s="14" t="s">
        <v>49</v>
      </c>
      <c r="H110" s="10" t="s">
        <v>76</v>
      </c>
      <c r="I110" s="15" t="n">
        <v>80</v>
      </c>
      <c r="J110" s="10" t="s">
        <v>51</v>
      </c>
      <c r="K110" s="15" t="n">
        <v>0</v>
      </c>
      <c r="L110" s="11" t="n">
        <v>0</v>
      </c>
      <c r="M110" s="11" t="n">
        <v>0</v>
      </c>
      <c r="N110" s="10" t="s">
        <v>258</v>
      </c>
      <c r="O110" s="10" t="s">
        <v>67</v>
      </c>
      <c r="P110" s="10" t="s">
        <v>53</v>
      </c>
      <c r="Q110" s="16" t="n">
        <v>10</v>
      </c>
      <c r="R110" s="10"/>
      <c r="S110" s="10"/>
      <c r="T110" s="10" t="n">
        <v>0</v>
      </c>
      <c r="U110" s="11" t="n">
        <f aca="false">IF(E110="TRANSPORT",IF(T110="","",T110*5),IF(AL110="","",AL110))</f>
        <v>0</v>
      </c>
      <c r="V110" s="10" t="s">
        <v>54</v>
      </c>
      <c r="W110" s="15" t="s">
        <v>260</v>
      </c>
      <c r="X110" s="15"/>
      <c r="Y110" s="17" t="n">
        <v>46224.9446180556</v>
      </c>
      <c r="Z110" s="18" t="n">
        <f aca="false">IF(I110="",0,IF(ISNUMBER(SEARCH("mp",LOWER(J110))),I110,IF(ISNUMBER(SEARCH("ton",LOWER(J110))),I110/0.33,IF(ISNUMBER(SEARCH("m3",LOWER(J110))),I110*4,I110))))</f>
        <v>80</v>
      </c>
      <c r="AA110" s="18" t="n">
        <f aca="false">IF(I110="",0,IF(ISNUMBER(SEARCH("mp",LOWER(J110))),I110*0.33,IF(ISNUMBER(SEARCH("ton",LOWER(J110))),I110,I110*0.33)))</f>
        <v>26.4</v>
      </c>
      <c r="AB110" s="18" t="n">
        <f aca="false">Tabela_dane[[#This Row],[Wolumen_t]]*8.5</f>
        <v>224.4</v>
      </c>
      <c r="AC110" s="18" t="n">
        <f aca="false">IF(G110&lt;&gt;"TAK",0,IF(OR(E110="ZAKUP",E110="PRODUKCJA"),Z110,IF(OR(E110="SPRZEDAŻ",E110="ZUŻYCIE"),-Z110,0)))</f>
        <v>-80</v>
      </c>
      <c r="AD110" s="18" t="n">
        <f aca="false">IF(G110&lt;&gt;"TAK",0,IF(OR(E110="ZAKUP",E110="PRODUKCJA"),AA110,IF(OR(E110="SPRZEDAŻ",E110="ZUŻYCIE"),-AA110,0)))</f>
        <v>-26.4</v>
      </c>
      <c r="AE110" s="19" t="n">
        <f aca="false">IF(E110="ZAKUP",IF(L110&lt;&gt;"",L110,IF(K110&lt;&gt;"",Z110*K110,0)),0)</f>
        <v>0</v>
      </c>
      <c r="AF110" s="19" t="n">
        <f aca="false">IF(E110="SPRZEDAŻ",IF(M110&lt;&gt;"",Z110*M110,0),0)</f>
        <v>0</v>
      </c>
      <c r="AG110" s="19" t="str">
        <f aca="false">IF(R110="","",IF(LOWER(R110)="brak","Brak",IF(OR(ISNUMBER(SEARCH("ric pl",LOWER(R110))),ISNUMBER(SEARCH("wojciechowski",LOWER(R110)))),"Własny","Zewnętrzny")))</f>
        <v/>
      </c>
      <c r="AH110" s="19" t="n">
        <f aca="false">Z110*Q110</f>
        <v>800</v>
      </c>
      <c r="AI110" s="19" t="str">
        <f aca="false">UPPER(TEXT(C110,"mmmm"))</f>
        <v>JULY</v>
      </c>
      <c r="AJ110" s="19" t="str">
        <f aca="false">IF(C110="","",TEXT(C110,"rrrr"))</f>
        <v>CE5786CE5786</v>
      </c>
      <c r="AK110" s="10"/>
      <c r="AL110" s="11" t="n">
        <v>0</v>
      </c>
      <c r="AM110" s="10" t="s">
        <v>280</v>
      </c>
      <c r="AN110" s="10" t="s">
        <v>59</v>
      </c>
      <c r="AO110" s="10"/>
      <c r="AP110" s="10"/>
      <c r="AQ110" s="10"/>
      <c r="AR110" s="10" t="s">
        <v>81</v>
      </c>
      <c r="AS110" s="10"/>
      <c r="AT110" s="15" t="n">
        <v>1</v>
      </c>
    </row>
    <row r="111" customFormat="false" ht="28.5" hidden="false" customHeight="true" outlineLevel="0" collapsed="false">
      <c r="A111" s="12" t="n">
        <v>46224</v>
      </c>
      <c r="B111" s="12" t="s">
        <v>281</v>
      </c>
      <c r="C111" s="12" t="n">
        <v>46224</v>
      </c>
      <c r="D111" s="10" t="s">
        <v>54</v>
      </c>
      <c r="E111" s="10" t="s">
        <v>63</v>
      </c>
      <c r="F111" s="13" t="s">
        <v>278</v>
      </c>
      <c r="G111" s="14" t="s">
        <v>49</v>
      </c>
      <c r="H111" s="10" t="s">
        <v>76</v>
      </c>
      <c r="I111" s="15" t="n">
        <v>80</v>
      </c>
      <c r="J111" s="10" t="s">
        <v>51</v>
      </c>
      <c r="K111" s="15" t="n">
        <v>0</v>
      </c>
      <c r="L111" s="11" t="n">
        <v>0</v>
      </c>
      <c r="M111" s="11" t="n">
        <v>0</v>
      </c>
      <c r="N111" s="10" t="s">
        <v>258</v>
      </c>
      <c r="O111" s="10" t="s">
        <v>67</v>
      </c>
      <c r="P111" s="10"/>
      <c r="Q111" s="16" t="n">
        <v>0</v>
      </c>
      <c r="R111" s="10" t="s">
        <v>94</v>
      </c>
      <c r="S111" s="10" t="s">
        <v>95</v>
      </c>
      <c r="T111" s="10" t="n">
        <v>140</v>
      </c>
      <c r="U111" s="11" t="n">
        <f aca="false">IF(E111="TRANSPORT",IF(T111="","",T111*5),IF(AL111="","",AL111))</f>
        <v>700</v>
      </c>
      <c r="V111" s="10" t="s">
        <v>54</v>
      </c>
      <c r="W111" s="15" t="s">
        <v>70</v>
      </c>
      <c r="X111" s="15"/>
      <c r="Y111" s="17" t="n">
        <v>46224.9470023148</v>
      </c>
      <c r="Z111" s="18" t="n">
        <f aca="false">IF(I111="",0,IF(ISNUMBER(SEARCH("mp",LOWER(J111))),I111,IF(ISNUMBER(SEARCH("ton",LOWER(J111))),I111/0.33,IF(ISNUMBER(SEARCH("m3",LOWER(J111))),I111*4,I111))))</f>
        <v>80</v>
      </c>
      <c r="AA111" s="18" t="n">
        <f aca="false">IF(I111="",0,IF(ISNUMBER(SEARCH("mp",LOWER(J111))),I111*0.33,IF(ISNUMBER(SEARCH("ton",LOWER(J111))),I111,I111*0.33)))</f>
        <v>26.4</v>
      </c>
      <c r="AB111" s="18" t="n">
        <f aca="false">Tabela_dane[[#This Row],[Wolumen_t]]*8.5</f>
        <v>224.4</v>
      </c>
      <c r="AC111" s="18" t="n">
        <f aca="false">IF(G111&lt;&gt;"TAK",0,IF(OR(E111="ZAKUP",E111="PRODUKCJA"),Z111,IF(OR(E111="SPRZEDAŻ",E111="ZUŻYCIE"),-Z111,0)))</f>
        <v>80</v>
      </c>
      <c r="AD111" s="18" t="n">
        <f aca="false">IF(G111&lt;&gt;"TAK",0,IF(OR(E111="ZAKUP",E111="PRODUKCJA"),AA111,IF(OR(E111="SPRZEDAŻ",E111="ZUŻYCIE"),-AA111,0)))</f>
        <v>26.4</v>
      </c>
      <c r="AE111" s="19" t="n">
        <f aca="false">IF(E111="ZAKUP",IF(L111&lt;&gt;"",L111,IF(K111&lt;&gt;"",Z111*K111,0)),0)</f>
        <v>0</v>
      </c>
      <c r="AF111" s="19" t="n">
        <f aca="false">IF(E111="SPRZEDAŻ",IF(M111&lt;&gt;"",Z111*M111,0),0)</f>
        <v>0</v>
      </c>
      <c r="AG111" s="19" t="str">
        <f aca="false">IF(R111="","",IF(LOWER(R111)="brak","Brak",IF(OR(ISNUMBER(SEARCH("ric pl",LOWER(R111))),ISNUMBER(SEARCH("wojciechowski",LOWER(R111)))),"Własny","Zewnętrzny")))</f>
        <v>Zewnętrzny</v>
      </c>
      <c r="AH111" s="19" t="n">
        <f aca="false">Z111*Q111</f>
        <v>0</v>
      </c>
      <c r="AI111" s="19" t="str">
        <f aca="false">UPPER(TEXT(C111,"mmmm"))</f>
        <v>JULY</v>
      </c>
      <c r="AJ111" s="19" t="str">
        <f aca="false">IF(C111="","",TEXT(C111,"rrrr"))</f>
        <v>CE5786CE5786</v>
      </c>
      <c r="AK111" s="10"/>
      <c r="AL111" s="11" t="n">
        <v>700</v>
      </c>
      <c r="AM111" s="10" t="s">
        <v>282</v>
      </c>
      <c r="AN111" s="10" t="s">
        <v>49</v>
      </c>
      <c r="AO111" s="10"/>
      <c r="AP111" s="10"/>
      <c r="AQ111" s="10"/>
      <c r="AR111" s="10" t="s">
        <v>66</v>
      </c>
      <c r="AS111" s="10"/>
      <c r="AT111" s="15" t="n">
        <v>1</v>
      </c>
    </row>
    <row r="112" s="33" customFormat="true" ht="28.5" hidden="false" customHeight="true" outlineLevel="0" collapsed="false">
      <c r="A112" s="23" t="n">
        <v>46224</v>
      </c>
      <c r="B112" s="23" t="s">
        <v>217</v>
      </c>
      <c r="C112" s="23" t="n">
        <v>46224</v>
      </c>
      <c r="D112" s="10" t="s">
        <v>218</v>
      </c>
      <c r="E112" s="24" t="s">
        <v>63</v>
      </c>
      <c r="F112" s="25" t="s">
        <v>283</v>
      </c>
      <c r="G112" s="26" t="s">
        <v>49</v>
      </c>
      <c r="H112" s="24" t="s">
        <v>76</v>
      </c>
      <c r="I112" s="27" t="n">
        <v>1095.5</v>
      </c>
      <c r="J112" s="24" t="s">
        <v>103</v>
      </c>
      <c r="K112" s="27" t="n">
        <v>0</v>
      </c>
      <c r="L112" s="28" t="n">
        <v>0</v>
      </c>
      <c r="M112" s="28" t="n">
        <v>0</v>
      </c>
      <c r="N112" s="24" t="s">
        <v>220</v>
      </c>
      <c r="O112" s="24"/>
      <c r="P112" s="24"/>
      <c r="Q112" s="29" t="n">
        <v>0</v>
      </c>
      <c r="R112" s="24" t="s">
        <v>221</v>
      </c>
      <c r="S112" s="24"/>
      <c r="T112" s="24" t="n">
        <v>0</v>
      </c>
      <c r="U112" s="11" t="n">
        <f aca="false">IF(E112="TRANSPORT",IF(T112="","",T112*5),IF(AL112="","",AL112))</f>
        <v>0</v>
      </c>
      <c r="V112" s="24" t="s">
        <v>54</v>
      </c>
      <c r="W112" s="27" t="s">
        <v>284</v>
      </c>
      <c r="X112" s="27"/>
      <c r="Y112" s="30" t="n">
        <v>46231.3041435185</v>
      </c>
      <c r="Z112" s="31" t="n">
        <f aca="false">IF(I112="",0,IF(ISNUMBER(SEARCH("mp",LOWER(J112))),I112,IF(ISNUMBER(SEARCH("ton",LOWER(J112))),I112/0.33,IF(ISNUMBER(SEARCH("m3",LOWER(J112))),I112*4,I112))))</f>
        <v>3319.69696969697</v>
      </c>
      <c r="AA112" s="31" t="n">
        <f aca="false">IF(I112="",0,IF(ISNUMBER(SEARCH("mp",LOWER(J112))),I112*0.33,IF(ISNUMBER(SEARCH("ton",LOWER(J112))),I112,I112*0.33)))</f>
        <v>1095.5</v>
      </c>
      <c r="AB112" s="31" t="n">
        <f aca="false">Tabela_dane[[#This Row],[Wolumen_t]]*8.5</f>
        <v>9311.75</v>
      </c>
      <c r="AC112" s="31" t="n">
        <f aca="false">IF(G112&lt;&gt;"TAK",0,IF(OR(E112="ZAKUP",E112="PRODUKCJA"),Z112,IF(OR(E112="SPRZEDAŻ",E112="ZUŻYCIE"),-Z112,0)))</f>
        <v>3319.69696969697</v>
      </c>
      <c r="AD112" s="31" t="n">
        <f aca="false">IF(G112&lt;&gt;"TAK",0,IF(OR(E112="ZAKUP",E112="PRODUKCJA"),AA112,IF(OR(E112="SPRZEDAŻ",E112="ZUŻYCIE"),-AA112,0)))</f>
        <v>1095.5</v>
      </c>
      <c r="AE112" s="32" t="n">
        <f aca="false">IF(E112="ZAKUP",IF(L112&lt;&gt;"",L112,IF(K112&lt;&gt;"",Z112*K112,0)),0)</f>
        <v>0</v>
      </c>
      <c r="AF112" s="32" t="n">
        <f aca="false">IF(E112="SPRZEDAŻ",IF(M112&lt;&gt;"",Z112*M112,0),0)</f>
        <v>0</v>
      </c>
      <c r="AG112" s="32" t="str">
        <f aca="false">IF(R112="","",IF(LOWER(R112)="brak","Brak",IF(OR(ISNUMBER(SEARCH("ric pl",LOWER(R112))),ISNUMBER(SEARCH("wojciechowski",LOWER(R112)))),"Własny","Zewnętrzny")))</f>
        <v>Zewnętrzny</v>
      </c>
      <c r="AH112" s="32" t="n">
        <f aca="false">Z112*Q112</f>
        <v>0</v>
      </c>
      <c r="AI112" s="32" t="str">
        <f aca="false">UPPER(TEXT(C112,"mmmm"))</f>
        <v>JULY</v>
      </c>
      <c r="AJ112" s="32" t="str">
        <f aca="false">IF(C112="","",TEXT(C112,"rrrr"))</f>
        <v>CE5786CE5786</v>
      </c>
      <c r="AK112" s="10"/>
      <c r="AL112" s="11" t="n">
        <v>0</v>
      </c>
      <c r="AM112" s="10" t="s">
        <v>285</v>
      </c>
      <c r="AN112" s="10" t="s">
        <v>49</v>
      </c>
      <c r="AO112" s="10"/>
      <c r="AP112" s="10"/>
      <c r="AQ112" s="10"/>
      <c r="AR112" s="10" t="s">
        <v>66</v>
      </c>
      <c r="AS112" s="10"/>
      <c r="AT112" s="15" t="n">
        <v>1</v>
      </c>
    </row>
    <row r="113" customFormat="false" ht="28.5" hidden="false" customHeight="true" outlineLevel="0" collapsed="false">
      <c r="A113" s="12" t="n">
        <v>46224</v>
      </c>
      <c r="B113" s="12"/>
      <c r="C113" s="12" t="n">
        <v>46224</v>
      </c>
      <c r="D113" s="10" t="s">
        <v>277</v>
      </c>
      <c r="E113" s="10" t="s">
        <v>63</v>
      </c>
      <c r="F113" s="13" t="s">
        <v>286</v>
      </c>
      <c r="G113" s="14" t="s">
        <v>49</v>
      </c>
      <c r="H113" s="10" t="s">
        <v>76</v>
      </c>
      <c r="I113" s="15" t="n">
        <v>80</v>
      </c>
      <c r="J113" s="10" t="s">
        <v>51</v>
      </c>
      <c r="K113" s="15" t="n">
        <v>40</v>
      </c>
      <c r="L113" s="11" t="n">
        <v>3200</v>
      </c>
      <c r="M113" s="11" t="n">
        <v>0</v>
      </c>
      <c r="N113" s="10" t="s">
        <v>255</v>
      </c>
      <c r="O113" s="10" t="s">
        <v>67</v>
      </c>
      <c r="P113" s="10"/>
      <c r="Q113" s="16" t="n">
        <v>0</v>
      </c>
      <c r="R113" s="10"/>
      <c r="S113" s="10"/>
      <c r="T113" s="10" t="n">
        <v>0</v>
      </c>
      <c r="U113" s="11" t="n">
        <f aca="false">IF(E113="TRANSPORT",IF(T113="","",T113*5),IF(AL113="","",AL113))</f>
        <v>0</v>
      </c>
      <c r="V113" s="10" t="s">
        <v>54</v>
      </c>
      <c r="W113" s="15" t="s">
        <v>65</v>
      </c>
      <c r="X113" s="15"/>
      <c r="Y113" s="17" t="n">
        <v>46233.6141782407</v>
      </c>
      <c r="Z113" s="18" t="n">
        <f aca="false">IF(I113="",0,IF(ISNUMBER(SEARCH("mp",LOWER(J113))),I113,IF(ISNUMBER(SEARCH("ton",LOWER(J113))),I113/0.33,IF(ISNUMBER(SEARCH("m3",LOWER(J113))),I113*4,I113))))</f>
        <v>80</v>
      </c>
      <c r="AA113" s="18" t="n">
        <f aca="false">IF(I113="",0,IF(ISNUMBER(SEARCH("mp",LOWER(J113))),I113*0.33,IF(ISNUMBER(SEARCH("ton",LOWER(J113))),I113,I113*0.33)))</f>
        <v>26.4</v>
      </c>
      <c r="AB113" s="18" t="n">
        <f aca="false">Tabela_dane[[#This Row],[Wolumen_t]]*8.5</f>
        <v>224.4</v>
      </c>
      <c r="AC113" s="18" t="n">
        <f aca="false">IF(G113&lt;&gt;"TAK",0,IF(OR(E113="ZAKUP",E113="PRODUKCJA"),Z113,IF(OR(E113="SPRZEDAŻ",E113="ZUŻYCIE"),-Z113,0)))</f>
        <v>80</v>
      </c>
      <c r="AD113" s="18" t="n">
        <f aca="false">IF(G113&lt;&gt;"TAK",0,IF(OR(E113="ZAKUP",E113="PRODUKCJA"),AA113,IF(OR(E113="SPRZEDAŻ",E113="ZUŻYCIE"),-AA113,0)))</f>
        <v>26.4</v>
      </c>
      <c r="AE113" s="19" t="n">
        <f aca="false">IF(E113="ZAKUP",IF(L113&lt;&gt;"",L113,IF(K113&lt;&gt;"",Z113*K113,0)),0)</f>
        <v>3200</v>
      </c>
      <c r="AF113" s="19" t="n">
        <f aca="false">IF(E113="SPRZEDAŻ",IF(M113&lt;&gt;"",Z113*M113,0),0)</f>
        <v>0</v>
      </c>
      <c r="AG113" s="19" t="str">
        <f aca="false">IF(R113="","",IF(LOWER(R113)="brak","Brak",IF(OR(ISNUMBER(SEARCH("ric pl",LOWER(R113))),ISNUMBER(SEARCH("wojciechowski",LOWER(R113)))),"Własny","Zewnętrzny")))</f>
        <v/>
      </c>
      <c r="AH113" s="19" t="n">
        <f aca="false">Z113*Q113</f>
        <v>0</v>
      </c>
      <c r="AI113" s="19" t="str">
        <f aca="false">UPPER(TEXT(C113,"mmmm"))</f>
        <v>JULY</v>
      </c>
      <c r="AJ113" s="19" t="str">
        <f aca="false">IF(C113="","",TEXT(C113,"rrrr"))</f>
        <v>CE5786CE5786</v>
      </c>
      <c r="AK113" s="10"/>
      <c r="AL113" s="11" t="n">
        <v>0</v>
      </c>
      <c r="AM113" s="10" t="s">
        <v>287</v>
      </c>
      <c r="AN113" s="10" t="s">
        <v>59</v>
      </c>
      <c r="AO113" s="10"/>
      <c r="AP113" s="10"/>
      <c r="AQ113" s="10"/>
      <c r="AR113" s="10" t="s">
        <v>66</v>
      </c>
      <c r="AS113" s="10"/>
      <c r="AT113" s="15" t="n">
        <v>1</v>
      </c>
    </row>
    <row r="114" customFormat="false" ht="28.5" hidden="false" customHeight="true" outlineLevel="0" collapsed="false">
      <c r="A114" s="12" t="n">
        <v>46224</v>
      </c>
      <c r="B114" s="12"/>
      <c r="C114" s="12" t="n">
        <v>46224</v>
      </c>
      <c r="D114" s="10" t="s">
        <v>54</v>
      </c>
      <c r="E114" s="10" t="s">
        <v>47</v>
      </c>
      <c r="F114" s="13" t="s">
        <v>286</v>
      </c>
      <c r="G114" s="14" t="s">
        <v>49</v>
      </c>
      <c r="H114" s="10" t="s">
        <v>76</v>
      </c>
      <c r="I114" s="15" t="n">
        <v>80</v>
      </c>
      <c r="J114" s="10" t="s">
        <v>51</v>
      </c>
      <c r="K114" s="15" t="n">
        <v>0</v>
      </c>
      <c r="L114" s="11" t="n">
        <v>0</v>
      </c>
      <c r="M114" s="11" t="n">
        <v>0</v>
      </c>
      <c r="N114" s="10" t="s">
        <v>258</v>
      </c>
      <c r="O114" s="10" t="s">
        <v>67</v>
      </c>
      <c r="P114" s="10" t="s">
        <v>53</v>
      </c>
      <c r="Q114" s="16" t="n">
        <v>10</v>
      </c>
      <c r="R114" s="10"/>
      <c r="S114" s="10"/>
      <c r="T114" s="10" t="n">
        <v>0</v>
      </c>
      <c r="U114" s="11" t="n">
        <f aca="false">IF(E114="TRANSPORT",IF(T114="","",T114*5),IF(AL114="","",AL114))</f>
        <v>0</v>
      </c>
      <c r="V114" s="10" t="s">
        <v>54</v>
      </c>
      <c r="W114" s="15" t="s">
        <v>70</v>
      </c>
      <c r="X114" s="15"/>
      <c r="Y114" s="17" t="n">
        <v>46233.6176736111</v>
      </c>
      <c r="Z114" s="18" t="n">
        <f aca="false">IF(I114="",0,IF(ISNUMBER(SEARCH("mp",LOWER(J114))),I114,IF(ISNUMBER(SEARCH("ton",LOWER(J114))),I114/0.33,IF(ISNUMBER(SEARCH("m3",LOWER(J114))),I114*4,I114))))</f>
        <v>80</v>
      </c>
      <c r="AA114" s="18" t="n">
        <f aca="false">IF(I114="",0,IF(ISNUMBER(SEARCH("mp",LOWER(J114))),I114*0.33,IF(ISNUMBER(SEARCH("ton",LOWER(J114))),I114,I114*0.33)))</f>
        <v>26.4</v>
      </c>
      <c r="AB114" s="18" t="n">
        <f aca="false">Tabela_dane[[#This Row],[Wolumen_t]]*8.5</f>
        <v>224.4</v>
      </c>
      <c r="AC114" s="18" t="n">
        <f aca="false">IF(G114&lt;&gt;"TAK",0,IF(OR(E114="ZAKUP",E114="PRODUKCJA"),Z114,IF(OR(E114="SPRZEDAŻ",E114="ZUŻYCIE"),-Z114,0)))</f>
        <v>80</v>
      </c>
      <c r="AD114" s="18" t="n">
        <f aca="false">IF(G114&lt;&gt;"TAK",0,IF(OR(E114="ZAKUP",E114="PRODUKCJA"),AA114,IF(OR(E114="SPRZEDAŻ",E114="ZUŻYCIE"),-AA114,0)))</f>
        <v>26.4</v>
      </c>
      <c r="AE114" s="19" t="n">
        <f aca="false">IF(E114="ZAKUP",IF(L114&lt;&gt;"",L114,IF(K114&lt;&gt;"",Z114*K114,0)),0)</f>
        <v>0</v>
      </c>
      <c r="AF114" s="19" t="n">
        <f aca="false">IF(E114="SPRZEDAŻ",IF(M114&lt;&gt;"",Z114*M114,0),0)</f>
        <v>0</v>
      </c>
      <c r="AG114" s="19" t="str">
        <f aca="false">IF(R114="","",IF(LOWER(R114)="brak","Brak",IF(OR(ISNUMBER(SEARCH("ric pl",LOWER(R114))),ISNUMBER(SEARCH("wojciechowski",LOWER(R114)))),"Własny","Zewnętrzny")))</f>
        <v/>
      </c>
      <c r="AH114" s="19" t="n">
        <f aca="false">Z114*Q114</f>
        <v>800</v>
      </c>
      <c r="AI114" s="19" t="str">
        <f aca="false">UPPER(TEXT(C114,"mmmm"))</f>
        <v>JULY</v>
      </c>
      <c r="AJ114" s="19" t="str">
        <f aca="false">IF(C114="","",TEXT(C114,"rrrr"))</f>
        <v>CE5786CE5786</v>
      </c>
      <c r="AK114" s="10"/>
      <c r="AL114" s="11" t="n">
        <v>0</v>
      </c>
      <c r="AM114" s="10" t="s">
        <v>288</v>
      </c>
      <c r="AN114" s="10" t="s">
        <v>59</v>
      </c>
      <c r="AO114" s="10"/>
      <c r="AP114" s="10"/>
      <c r="AQ114" s="10"/>
      <c r="AR114" s="10" t="s">
        <v>66</v>
      </c>
      <c r="AS114" s="10"/>
      <c r="AT114" s="15" t="n">
        <v>1</v>
      </c>
    </row>
    <row r="115" customFormat="false" ht="28.5" hidden="false" customHeight="true" outlineLevel="0" collapsed="false">
      <c r="A115" s="12" t="n">
        <v>46224</v>
      </c>
      <c r="B115" s="12"/>
      <c r="C115" s="12" t="n">
        <v>46224</v>
      </c>
      <c r="D115" s="10" t="s">
        <v>54</v>
      </c>
      <c r="E115" s="10" t="s">
        <v>79</v>
      </c>
      <c r="F115" s="13" t="s">
        <v>286</v>
      </c>
      <c r="G115" s="14" t="s">
        <v>49</v>
      </c>
      <c r="H115" s="10" t="s">
        <v>76</v>
      </c>
      <c r="I115" s="15" t="n">
        <v>80</v>
      </c>
      <c r="J115" s="10" t="s">
        <v>51</v>
      </c>
      <c r="K115" s="15" t="n">
        <v>0</v>
      </c>
      <c r="L115" s="11" t="n">
        <v>0</v>
      </c>
      <c r="M115" s="11" t="n">
        <v>0</v>
      </c>
      <c r="N115" s="10" t="s">
        <v>258</v>
      </c>
      <c r="O115" s="10" t="s">
        <v>67</v>
      </c>
      <c r="P115" s="10" t="s">
        <v>53</v>
      </c>
      <c r="Q115" s="16" t="n">
        <v>10</v>
      </c>
      <c r="R115" s="10"/>
      <c r="S115" s="10"/>
      <c r="T115" s="10" t="n">
        <v>0</v>
      </c>
      <c r="U115" s="11" t="n">
        <f aca="false">IF(E115="TRANSPORT",IF(T115="","",T115*5),IF(AL115="","",AL115))</f>
        <v>0</v>
      </c>
      <c r="V115" s="10" t="s">
        <v>54</v>
      </c>
      <c r="W115" s="15" t="s">
        <v>260</v>
      </c>
      <c r="X115" s="15"/>
      <c r="Y115" s="17" t="n">
        <v>46233.6176736111</v>
      </c>
      <c r="Z115" s="18" t="n">
        <f aca="false">IF(I115="",0,IF(ISNUMBER(SEARCH("mp",LOWER(J115))),I115,IF(ISNUMBER(SEARCH("ton",LOWER(J115))),I115/0.33,IF(ISNUMBER(SEARCH("m3",LOWER(J115))),I115*4,I115))))</f>
        <v>80</v>
      </c>
      <c r="AA115" s="18" t="n">
        <f aca="false">IF(I115="",0,IF(ISNUMBER(SEARCH("mp",LOWER(J115))),I115*0.33,IF(ISNUMBER(SEARCH("ton",LOWER(J115))),I115,I115*0.33)))</f>
        <v>26.4</v>
      </c>
      <c r="AB115" s="18" t="n">
        <f aca="false">Tabela_dane[[#This Row],[Wolumen_t]]*8.5</f>
        <v>224.4</v>
      </c>
      <c r="AC115" s="18" t="n">
        <f aca="false">IF(G115&lt;&gt;"TAK",0,IF(OR(E115="ZAKUP",E115="PRODUKCJA"),Z115,IF(OR(E115="SPRZEDAŻ",E115="ZUŻYCIE"),-Z115,0)))</f>
        <v>-80</v>
      </c>
      <c r="AD115" s="18" t="n">
        <f aca="false">IF(G115&lt;&gt;"TAK",0,IF(OR(E115="ZAKUP",E115="PRODUKCJA"),AA115,IF(OR(E115="SPRZEDAŻ",E115="ZUŻYCIE"),-AA115,0)))</f>
        <v>-26.4</v>
      </c>
      <c r="AE115" s="19" t="n">
        <f aca="false">IF(E115="ZAKUP",IF(L115&lt;&gt;"",L115,IF(K115&lt;&gt;"",Z115*K115,0)),0)</f>
        <v>0</v>
      </c>
      <c r="AF115" s="19" t="n">
        <f aca="false">IF(E115="SPRZEDAŻ",IF(M115&lt;&gt;"",Z115*M115,0),0)</f>
        <v>0</v>
      </c>
      <c r="AG115" s="19" t="str">
        <f aca="false">IF(R115="","",IF(LOWER(R115)="brak","Brak",IF(OR(ISNUMBER(SEARCH("ric pl",LOWER(R115))),ISNUMBER(SEARCH("wojciechowski",LOWER(R115)))),"Własny","Zewnętrzny")))</f>
        <v/>
      </c>
      <c r="AH115" s="19" t="n">
        <f aca="false">Z115*Q115</f>
        <v>800</v>
      </c>
      <c r="AI115" s="19" t="str">
        <f aca="false">UPPER(TEXT(C115,"mmmm"))</f>
        <v>JULY</v>
      </c>
      <c r="AJ115" s="19" t="str">
        <f aca="false">IF(C115="","",TEXT(C115,"rrrr"))</f>
        <v>CE5786CE5786</v>
      </c>
      <c r="AK115" s="10"/>
      <c r="AL115" s="11" t="n">
        <v>0</v>
      </c>
      <c r="AM115" s="10" t="s">
        <v>288</v>
      </c>
      <c r="AN115" s="10" t="s">
        <v>59</v>
      </c>
      <c r="AO115" s="10"/>
      <c r="AP115" s="10"/>
      <c r="AQ115" s="10"/>
      <c r="AR115" s="10" t="s">
        <v>81</v>
      </c>
      <c r="AS115" s="10"/>
      <c r="AT115" s="15" t="n">
        <v>1</v>
      </c>
    </row>
    <row r="116" customFormat="false" ht="28.5" hidden="false" customHeight="true" outlineLevel="0" collapsed="false">
      <c r="A116" s="12" t="n">
        <v>46224</v>
      </c>
      <c r="B116" s="12" t="s">
        <v>281</v>
      </c>
      <c r="C116" s="12" t="n">
        <v>46224</v>
      </c>
      <c r="D116" s="10" t="s">
        <v>54</v>
      </c>
      <c r="E116" s="10" t="s">
        <v>63</v>
      </c>
      <c r="F116" s="13" t="s">
        <v>286</v>
      </c>
      <c r="G116" s="14" t="s">
        <v>49</v>
      </c>
      <c r="H116" s="10" t="s">
        <v>76</v>
      </c>
      <c r="I116" s="15" t="n">
        <v>80</v>
      </c>
      <c r="J116" s="10" t="s">
        <v>51</v>
      </c>
      <c r="K116" s="15" t="n">
        <v>0</v>
      </c>
      <c r="L116" s="11" t="n">
        <v>0</v>
      </c>
      <c r="M116" s="11" t="n">
        <v>0</v>
      </c>
      <c r="N116" s="10" t="s">
        <v>258</v>
      </c>
      <c r="O116" s="10" t="s">
        <v>67</v>
      </c>
      <c r="P116" s="10"/>
      <c r="Q116" s="16" t="n">
        <v>0</v>
      </c>
      <c r="R116" s="10" t="s">
        <v>94</v>
      </c>
      <c r="S116" s="10" t="s">
        <v>95</v>
      </c>
      <c r="T116" s="10" t="n">
        <v>140</v>
      </c>
      <c r="U116" s="11" t="n">
        <f aca="false">IF(E116="TRANSPORT",IF(T116="","",T116*5),IF(AL116="","",AL116))</f>
        <v>700</v>
      </c>
      <c r="V116" s="10" t="s">
        <v>54</v>
      </c>
      <c r="W116" s="15" t="s">
        <v>70</v>
      </c>
      <c r="X116" s="15"/>
      <c r="Y116" s="17" t="n">
        <v>46233.6213888889</v>
      </c>
      <c r="Z116" s="18" t="n">
        <f aca="false">IF(I116="",0,IF(ISNUMBER(SEARCH("mp",LOWER(J116))),I116,IF(ISNUMBER(SEARCH("ton",LOWER(J116))),I116/0.33,IF(ISNUMBER(SEARCH("m3",LOWER(J116))),I116*4,I116))))</f>
        <v>80</v>
      </c>
      <c r="AA116" s="18" t="n">
        <f aca="false">IF(I116="",0,IF(ISNUMBER(SEARCH("mp",LOWER(J116))),I116*0.33,IF(ISNUMBER(SEARCH("ton",LOWER(J116))),I116,I116*0.33)))</f>
        <v>26.4</v>
      </c>
      <c r="AB116" s="18" t="n">
        <f aca="false">Tabela_dane[[#This Row],[Wolumen_t]]*8.5</f>
        <v>224.4</v>
      </c>
      <c r="AC116" s="18" t="n">
        <f aca="false">IF(G116&lt;&gt;"TAK",0,IF(OR(E116="ZAKUP",E116="PRODUKCJA"),Z116,IF(OR(E116="SPRZEDAŻ",E116="ZUŻYCIE"),-Z116,0)))</f>
        <v>80</v>
      </c>
      <c r="AD116" s="18" t="n">
        <f aca="false">IF(G116&lt;&gt;"TAK",0,IF(OR(E116="ZAKUP",E116="PRODUKCJA"),AA116,IF(OR(E116="SPRZEDAŻ",E116="ZUŻYCIE"),-AA116,0)))</f>
        <v>26.4</v>
      </c>
      <c r="AE116" s="19" t="n">
        <f aca="false">IF(E116="ZAKUP",IF(L116&lt;&gt;"",L116,IF(K116&lt;&gt;"",Z116*K116,0)),0)</f>
        <v>0</v>
      </c>
      <c r="AF116" s="19" t="n">
        <f aca="false">IF(E116="SPRZEDAŻ",IF(M116&lt;&gt;"",Z116*M116,0),0)</f>
        <v>0</v>
      </c>
      <c r="AG116" s="19" t="str">
        <f aca="false">IF(R116="","",IF(LOWER(R116)="brak","Brak",IF(OR(ISNUMBER(SEARCH("ric pl",LOWER(R116))),ISNUMBER(SEARCH("wojciechowski",LOWER(R116)))),"Własny","Zewnętrzny")))</f>
        <v>Zewnętrzny</v>
      </c>
      <c r="AH116" s="19" t="n">
        <f aca="false">Z116*Q116</f>
        <v>0</v>
      </c>
      <c r="AI116" s="19" t="str">
        <f aca="false">UPPER(TEXT(C116,"mmmm"))</f>
        <v>JULY</v>
      </c>
      <c r="AJ116" s="19" t="str">
        <f aca="false">IF(C116="","",TEXT(C116,"rrrr"))</f>
        <v>CE5786CE5786</v>
      </c>
      <c r="AK116" s="10"/>
      <c r="AL116" s="11" t="n">
        <v>700</v>
      </c>
      <c r="AM116" s="10" t="s">
        <v>289</v>
      </c>
      <c r="AN116" s="10" t="s">
        <v>49</v>
      </c>
      <c r="AO116" s="10"/>
      <c r="AP116" s="10"/>
      <c r="AQ116" s="10"/>
      <c r="AR116" s="10" t="s">
        <v>66</v>
      </c>
      <c r="AS116" s="10"/>
      <c r="AT116" s="15" t="n">
        <v>1</v>
      </c>
    </row>
    <row r="117" customFormat="false" ht="28.5" hidden="false" customHeight="true" outlineLevel="0" collapsed="false">
      <c r="A117" s="12" t="n">
        <v>46224</v>
      </c>
      <c r="B117" s="12"/>
      <c r="C117" s="12" t="n">
        <v>46224</v>
      </c>
      <c r="D117" s="10" t="s">
        <v>277</v>
      </c>
      <c r="E117" s="10" t="s">
        <v>63</v>
      </c>
      <c r="F117" s="13" t="s">
        <v>290</v>
      </c>
      <c r="G117" s="14" t="s">
        <v>49</v>
      </c>
      <c r="H117" s="10" t="s">
        <v>76</v>
      </c>
      <c r="I117" s="15" t="n">
        <v>80</v>
      </c>
      <c r="J117" s="10" t="s">
        <v>51</v>
      </c>
      <c r="K117" s="15" t="n">
        <v>40</v>
      </c>
      <c r="L117" s="11" t="n">
        <v>3200</v>
      </c>
      <c r="M117" s="11" t="n">
        <v>0</v>
      </c>
      <c r="N117" s="10" t="s">
        <v>255</v>
      </c>
      <c r="O117" s="10" t="s">
        <v>67</v>
      </c>
      <c r="P117" s="10"/>
      <c r="Q117" s="16" t="n">
        <v>0</v>
      </c>
      <c r="R117" s="10"/>
      <c r="S117" s="10"/>
      <c r="T117" s="10" t="n">
        <v>0</v>
      </c>
      <c r="U117" s="11" t="n">
        <f aca="false">IF(E117="TRANSPORT",IF(T117="","",T117*5),IF(AL117="","",AL117))</f>
        <v>0</v>
      </c>
      <c r="V117" s="10" t="s">
        <v>54</v>
      </c>
      <c r="W117" s="15" t="s">
        <v>70</v>
      </c>
      <c r="X117" s="15"/>
      <c r="Y117" s="17" t="n">
        <v>46233.6225578704</v>
      </c>
      <c r="Z117" s="18" t="n">
        <f aca="false">IF(I117="",0,IF(ISNUMBER(SEARCH("mp",LOWER(J117))),I117,IF(ISNUMBER(SEARCH("ton",LOWER(J117))),I117/0.33,IF(ISNUMBER(SEARCH("m3",LOWER(J117))),I117*4,I117))))</f>
        <v>80</v>
      </c>
      <c r="AA117" s="18" t="n">
        <f aca="false">IF(I117="",0,IF(ISNUMBER(SEARCH("mp",LOWER(J117))),I117*0.33,IF(ISNUMBER(SEARCH("ton",LOWER(J117))),I117,I117*0.33)))</f>
        <v>26.4</v>
      </c>
      <c r="AB117" s="18" t="n">
        <f aca="false">Tabela_dane[[#This Row],[Wolumen_t]]*8.5</f>
        <v>224.4</v>
      </c>
      <c r="AC117" s="18" t="n">
        <f aca="false">IF(G117&lt;&gt;"TAK",0,IF(OR(E117="ZAKUP",E117="PRODUKCJA"),Z117,IF(OR(E117="SPRZEDAŻ",E117="ZUŻYCIE"),-Z117,0)))</f>
        <v>80</v>
      </c>
      <c r="AD117" s="18" t="n">
        <f aca="false">IF(G117&lt;&gt;"TAK",0,IF(OR(E117="ZAKUP",E117="PRODUKCJA"),AA117,IF(OR(E117="SPRZEDAŻ",E117="ZUŻYCIE"),-AA117,0)))</f>
        <v>26.4</v>
      </c>
      <c r="AE117" s="19" t="n">
        <f aca="false">IF(E117="ZAKUP",IF(L117&lt;&gt;"",L117,IF(K117&lt;&gt;"",Z117*K117,0)),0)</f>
        <v>3200</v>
      </c>
      <c r="AF117" s="19" t="n">
        <f aca="false">IF(E117="SPRZEDAŻ",IF(M117&lt;&gt;"",Z117*M117,0),0)</f>
        <v>0</v>
      </c>
      <c r="AG117" s="19" t="str">
        <f aca="false">IF(R117="","",IF(LOWER(R117)="brak","Brak",IF(OR(ISNUMBER(SEARCH("ric pl",LOWER(R117))),ISNUMBER(SEARCH("wojciechowski",LOWER(R117)))),"Własny","Zewnętrzny")))</f>
        <v/>
      </c>
      <c r="AH117" s="19" t="n">
        <f aca="false">Z117*Q117</f>
        <v>0</v>
      </c>
      <c r="AI117" s="19" t="str">
        <f aca="false">UPPER(TEXT(C117,"mmmm"))</f>
        <v>JULY</v>
      </c>
      <c r="AJ117" s="19" t="str">
        <f aca="false">IF(C117="","",TEXT(C117,"rrrr"))</f>
        <v>CE5786CE5786</v>
      </c>
      <c r="AK117" s="10"/>
      <c r="AL117" s="11" t="n">
        <v>0</v>
      </c>
      <c r="AM117" s="10" t="s">
        <v>291</v>
      </c>
      <c r="AN117" s="10" t="s">
        <v>59</v>
      </c>
      <c r="AO117" s="10"/>
      <c r="AP117" s="10"/>
      <c r="AQ117" s="10"/>
      <c r="AR117" s="10" t="s">
        <v>66</v>
      </c>
      <c r="AS117" s="10"/>
      <c r="AT117" s="15" t="n">
        <v>1</v>
      </c>
    </row>
    <row r="118" customFormat="false" ht="28.5" hidden="false" customHeight="true" outlineLevel="0" collapsed="false">
      <c r="A118" s="12" t="n">
        <v>46224</v>
      </c>
      <c r="B118" s="12"/>
      <c r="C118" s="12" t="n">
        <v>46224</v>
      </c>
      <c r="D118" s="10" t="s">
        <v>54</v>
      </c>
      <c r="E118" s="10" t="s">
        <v>47</v>
      </c>
      <c r="F118" s="13" t="s">
        <v>290</v>
      </c>
      <c r="G118" s="14" t="s">
        <v>49</v>
      </c>
      <c r="H118" s="10" t="s">
        <v>76</v>
      </c>
      <c r="I118" s="15" t="n">
        <v>80</v>
      </c>
      <c r="J118" s="10" t="s">
        <v>51</v>
      </c>
      <c r="K118" s="15" t="n">
        <v>0</v>
      </c>
      <c r="L118" s="11" t="n">
        <v>0</v>
      </c>
      <c r="M118" s="11" t="n">
        <v>0</v>
      </c>
      <c r="N118" s="10" t="s">
        <v>258</v>
      </c>
      <c r="O118" s="10" t="s">
        <v>67</v>
      </c>
      <c r="P118" s="10" t="s">
        <v>53</v>
      </c>
      <c r="Q118" s="16" t="n">
        <v>10</v>
      </c>
      <c r="R118" s="10"/>
      <c r="S118" s="10"/>
      <c r="T118" s="10" t="n">
        <v>0</v>
      </c>
      <c r="U118" s="11" t="n">
        <f aca="false">IF(E118="TRANSPORT",IF(T118="","",T118*5),IF(AL118="","",AL118))</f>
        <v>0</v>
      </c>
      <c r="V118" s="10" t="s">
        <v>54</v>
      </c>
      <c r="W118" s="15" t="s">
        <v>70</v>
      </c>
      <c r="X118" s="15"/>
      <c r="Y118" s="17" t="n">
        <v>46233.6229861111</v>
      </c>
      <c r="Z118" s="18" t="n">
        <f aca="false">IF(I118="",0,IF(ISNUMBER(SEARCH("mp",LOWER(J118))),I118,IF(ISNUMBER(SEARCH("ton",LOWER(J118))),I118/0.33,IF(ISNUMBER(SEARCH("m3",LOWER(J118))),I118*4,I118))))</f>
        <v>80</v>
      </c>
      <c r="AA118" s="18" t="n">
        <f aca="false">IF(I118="",0,IF(ISNUMBER(SEARCH("mp",LOWER(J118))),I118*0.33,IF(ISNUMBER(SEARCH("ton",LOWER(J118))),I118,I118*0.33)))</f>
        <v>26.4</v>
      </c>
      <c r="AB118" s="18" t="n">
        <f aca="false">Tabela_dane[[#This Row],[Wolumen_t]]*8.5</f>
        <v>224.4</v>
      </c>
      <c r="AC118" s="18" t="n">
        <f aca="false">IF(G118&lt;&gt;"TAK",0,IF(OR(E118="ZAKUP",E118="PRODUKCJA"),Z118,IF(OR(E118="SPRZEDAŻ",E118="ZUŻYCIE"),-Z118,0)))</f>
        <v>80</v>
      </c>
      <c r="AD118" s="18" t="n">
        <f aca="false">IF(G118&lt;&gt;"TAK",0,IF(OR(E118="ZAKUP",E118="PRODUKCJA"),AA118,IF(OR(E118="SPRZEDAŻ",E118="ZUŻYCIE"),-AA118,0)))</f>
        <v>26.4</v>
      </c>
      <c r="AE118" s="19" t="n">
        <f aca="false">IF(E118="ZAKUP",IF(L118&lt;&gt;"",L118,IF(K118&lt;&gt;"",Z118*K118,0)),0)</f>
        <v>0</v>
      </c>
      <c r="AF118" s="19" t="n">
        <f aca="false">IF(E118="SPRZEDAŻ",IF(M118&lt;&gt;"",Z118*M118,0),0)</f>
        <v>0</v>
      </c>
      <c r="AG118" s="19" t="str">
        <f aca="false">IF(R118="","",IF(LOWER(R118)="brak","Brak",IF(OR(ISNUMBER(SEARCH("ric pl",LOWER(R118))),ISNUMBER(SEARCH("wojciechowski",LOWER(R118)))),"Własny","Zewnętrzny")))</f>
        <v/>
      </c>
      <c r="AH118" s="19" t="n">
        <f aca="false">Z118*Q118</f>
        <v>800</v>
      </c>
      <c r="AI118" s="19" t="str">
        <f aca="false">UPPER(TEXT(C118,"mmmm"))</f>
        <v>JULY</v>
      </c>
      <c r="AJ118" s="19" t="str">
        <f aca="false">IF(C118="","",TEXT(C118,"rrrr"))</f>
        <v>CE5786CE5786</v>
      </c>
      <c r="AK118" s="10"/>
      <c r="AL118" s="11" t="n">
        <v>0</v>
      </c>
      <c r="AM118" s="10" t="s">
        <v>292</v>
      </c>
      <c r="AN118" s="10" t="s">
        <v>59</v>
      </c>
      <c r="AO118" s="10"/>
      <c r="AP118" s="10"/>
      <c r="AQ118" s="10"/>
      <c r="AR118" s="10" t="s">
        <v>66</v>
      </c>
      <c r="AS118" s="10"/>
      <c r="AT118" s="15" t="n">
        <v>1</v>
      </c>
    </row>
    <row r="119" customFormat="false" ht="28.5" hidden="false" customHeight="true" outlineLevel="0" collapsed="false">
      <c r="A119" s="12" t="n">
        <v>46224</v>
      </c>
      <c r="B119" s="12"/>
      <c r="C119" s="12" t="n">
        <v>46224</v>
      </c>
      <c r="D119" s="10" t="s">
        <v>54</v>
      </c>
      <c r="E119" s="10" t="s">
        <v>79</v>
      </c>
      <c r="F119" s="13" t="s">
        <v>290</v>
      </c>
      <c r="G119" s="14" t="s">
        <v>49</v>
      </c>
      <c r="H119" s="10" t="s">
        <v>76</v>
      </c>
      <c r="I119" s="15" t="n">
        <v>80</v>
      </c>
      <c r="J119" s="10" t="s">
        <v>51</v>
      </c>
      <c r="K119" s="15" t="n">
        <v>0</v>
      </c>
      <c r="L119" s="11" t="n">
        <v>0</v>
      </c>
      <c r="M119" s="11" t="n">
        <v>0</v>
      </c>
      <c r="N119" s="10" t="s">
        <v>258</v>
      </c>
      <c r="O119" s="10" t="s">
        <v>67</v>
      </c>
      <c r="P119" s="10" t="s">
        <v>53</v>
      </c>
      <c r="Q119" s="16" t="n">
        <v>10</v>
      </c>
      <c r="R119" s="10"/>
      <c r="S119" s="10"/>
      <c r="T119" s="10" t="n">
        <v>0</v>
      </c>
      <c r="U119" s="11" t="n">
        <f aca="false">IF(E119="TRANSPORT",IF(T119="","",T119*5),IF(AL119="","",AL119))</f>
        <v>0</v>
      </c>
      <c r="V119" s="10" t="s">
        <v>54</v>
      </c>
      <c r="W119" s="15" t="s">
        <v>260</v>
      </c>
      <c r="X119" s="15"/>
      <c r="Y119" s="17" t="n">
        <v>46233.6229861111</v>
      </c>
      <c r="Z119" s="18" t="n">
        <f aca="false">IF(I119="",0,IF(ISNUMBER(SEARCH("mp",LOWER(J119))),I119,IF(ISNUMBER(SEARCH("ton",LOWER(J119))),I119/0.33,IF(ISNUMBER(SEARCH("m3",LOWER(J119))),I119*4,I119))))</f>
        <v>80</v>
      </c>
      <c r="AA119" s="18" t="n">
        <f aca="false">IF(I119="",0,IF(ISNUMBER(SEARCH("mp",LOWER(J119))),I119*0.33,IF(ISNUMBER(SEARCH("ton",LOWER(J119))),I119,I119*0.33)))</f>
        <v>26.4</v>
      </c>
      <c r="AB119" s="18" t="n">
        <f aca="false">Tabela_dane[[#This Row],[Wolumen_t]]*8.5</f>
        <v>224.4</v>
      </c>
      <c r="AC119" s="18" t="n">
        <f aca="false">IF(G119&lt;&gt;"TAK",0,IF(OR(E119="ZAKUP",E119="PRODUKCJA"),Z119,IF(OR(E119="SPRZEDAŻ",E119="ZUŻYCIE"),-Z119,0)))</f>
        <v>-80</v>
      </c>
      <c r="AD119" s="18" t="n">
        <f aca="false">IF(G119&lt;&gt;"TAK",0,IF(OR(E119="ZAKUP",E119="PRODUKCJA"),AA119,IF(OR(E119="SPRZEDAŻ",E119="ZUŻYCIE"),-AA119,0)))</f>
        <v>-26.4</v>
      </c>
      <c r="AE119" s="19" t="n">
        <f aca="false">IF(E119="ZAKUP",IF(L119&lt;&gt;"",L119,IF(K119&lt;&gt;"",Z119*K119,0)),0)</f>
        <v>0</v>
      </c>
      <c r="AF119" s="19" t="n">
        <f aca="false">IF(E119="SPRZEDAŻ",IF(M119&lt;&gt;"",Z119*M119,0),0)</f>
        <v>0</v>
      </c>
      <c r="AG119" s="19" t="str">
        <f aca="false">IF(R119="","",IF(LOWER(R119)="brak","Brak",IF(OR(ISNUMBER(SEARCH("ric pl",LOWER(R119))),ISNUMBER(SEARCH("wojciechowski",LOWER(R119)))),"Własny","Zewnętrzny")))</f>
        <v/>
      </c>
      <c r="AH119" s="19" t="n">
        <f aca="false">Z119*Q119</f>
        <v>800</v>
      </c>
      <c r="AI119" s="19" t="str">
        <f aca="false">UPPER(TEXT(C119,"mmmm"))</f>
        <v>JULY</v>
      </c>
      <c r="AJ119" s="19" t="str">
        <f aca="false">IF(C119="","",TEXT(C119,"rrrr"))</f>
        <v>CE5786CE5786</v>
      </c>
      <c r="AK119" s="10"/>
      <c r="AL119" s="11" t="n">
        <v>0</v>
      </c>
      <c r="AM119" s="10" t="s">
        <v>292</v>
      </c>
      <c r="AN119" s="10" t="s">
        <v>59</v>
      </c>
      <c r="AO119" s="10"/>
      <c r="AP119" s="10"/>
      <c r="AQ119" s="10"/>
      <c r="AR119" s="10" t="s">
        <v>81</v>
      </c>
      <c r="AS119" s="10"/>
      <c r="AT119" s="15" t="n">
        <v>1</v>
      </c>
    </row>
    <row r="120" customFormat="false" ht="28.5" hidden="false" customHeight="true" outlineLevel="0" collapsed="false">
      <c r="A120" s="12" t="n">
        <v>46224</v>
      </c>
      <c r="B120" s="12" t="s">
        <v>281</v>
      </c>
      <c r="C120" s="12" t="n">
        <v>46224</v>
      </c>
      <c r="D120" s="10" t="s">
        <v>54</v>
      </c>
      <c r="E120" s="10" t="s">
        <v>63</v>
      </c>
      <c r="F120" s="13" t="s">
        <v>290</v>
      </c>
      <c r="G120" s="14" t="s">
        <v>49</v>
      </c>
      <c r="H120" s="10" t="s">
        <v>76</v>
      </c>
      <c r="I120" s="15" t="n">
        <v>80</v>
      </c>
      <c r="J120" s="10" t="s">
        <v>51</v>
      </c>
      <c r="K120" s="15" t="n">
        <v>0</v>
      </c>
      <c r="L120" s="11" t="n">
        <v>0</v>
      </c>
      <c r="M120" s="11" t="n">
        <v>0</v>
      </c>
      <c r="N120" s="10" t="s">
        <v>258</v>
      </c>
      <c r="O120" s="10"/>
      <c r="P120" s="10"/>
      <c r="Q120" s="16" t="n">
        <v>0</v>
      </c>
      <c r="R120" s="10" t="s">
        <v>68</v>
      </c>
      <c r="S120" s="10" t="s">
        <v>69</v>
      </c>
      <c r="T120" s="10" t="n">
        <v>140</v>
      </c>
      <c r="U120" s="11" t="n">
        <f aca="false">IF(E120="TRANSPORT",IF(T120="","",T120*5),IF(AL120="","",AL120))</f>
        <v>700</v>
      </c>
      <c r="V120" s="10" t="s">
        <v>54</v>
      </c>
      <c r="W120" s="15" t="s">
        <v>70</v>
      </c>
      <c r="X120" s="15"/>
      <c r="Y120" s="17" t="n">
        <v>46233.624224537</v>
      </c>
      <c r="Z120" s="18" t="n">
        <f aca="false">IF(I120="",0,IF(ISNUMBER(SEARCH("mp",LOWER(J120))),I120,IF(ISNUMBER(SEARCH("ton",LOWER(J120))),I120/0.33,IF(ISNUMBER(SEARCH("m3",LOWER(J120))),I120*4,I120))))</f>
        <v>80</v>
      </c>
      <c r="AA120" s="18" t="n">
        <f aca="false">IF(I120="",0,IF(ISNUMBER(SEARCH("mp",LOWER(J120))),I120*0.33,IF(ISNUMBER(SEARCH("ton",LOWER(J120))),I120,I120*0.33)))</f>
        <v>26.4</v>
      </c>
      <c r="AB120" s="18" t="n">
        <f aca="false">Tabela_dane[[#This Row],[Wolumen_t]]*8.5</f>
        <v>224.4</v>
      </c>
      <c r="AC120" s="18" t="n">
        <f aca="false">IF(G120&lt;&gt;"TAK",0,IF(OR(E120="ZAKUP",E120="PRODUKCJA"),Z120,IF(OR(E120="SPRZEDAŻ",E120="ZUŻYCIE"),-Z120,0)))</f>
        <v>80</v>
      </c>
      <c r="AD120" s="18" t="n">
        <f aca="false">IF(G120&lt;&gt;"TAK",0,IF(OR(E120="ZAKUP",E120="PRODUKCJA"),AA120,IF(OR(E120="SPRZEDAŻ",E120="ZUŻYCIE"),-AA120,0)))</f>
        <v>26.4</v>
      </c>
      <c r="AE120" s="19" t="n">
        <f aca="false">IF(E120="ZAKUP",IF(L120&lt;&gt;"",L120,IF(K120&lt;&gt;"",Z120*K120,0)),0)</f>
        <v>0</v>
      </c>
      <c r="AF120" s="19" t="n">
        <f aca="false">IF(E120="SPRZEDAŻ",IF(M120&lt;&gt;"",Z120*M120,0),0)</f>
        <v>0</v>
      </c>
      <c r="AG120" s="19" t="str">
        <f aca="false">IF(R120="","",IF(LOWER(R120)="brak","Brak",IF(OR(ISNUMBER(SEARCH("ric pl",LOWER(R120))),ISNUMBER(SEARCH("wojciechowski",LOWER(R120)))),"Własny","Zewnętrzny")))</f>
        <v>Zewnętrzny</v>
      </c>
      <c r="AH120" s="19" t="n">
        <f aca="false">Z120*Q120</f>
        <v>0</v>
      </c>
      <c r="AI120" s="19" t="str">
        <f aca="false">UPPER(TEXT(C120,"mmmm"))</f>
        <v>JULY</v>
      </c>
      <c r="AJ120" s="19" t="str">
        <f aca="false">IF(C120="","",TEXT(C120,"rrrr"))</f>
        <v>CE5786CE5786</v>
      </c>
      <c r="AK120" s="10"/>
      <c r="AL120" s="11" t="n">
        <v>700</v>
      </c>
      <c r="AM120" s="10" t="s">
        <v>293</v>
      </c>
      <c r="AN120" s="10" t="s">
        <v>49</v>
      </c>
      <c r="AO120" s="10"/>
      <c r="AP120" s="10"/>
      <c r="AQ120" s="10"/>
      <c r="AR120" s="10" t="s">
        <v>66</v>
      </c>
      <c r="AS120" s="10"/>
      <c r="AT120" s="15" t="n">
        <v>1</v>
      </c>
    </row>
    <row r="121" customFormat="false" ht="28.5" hidden="false" customHeight="true" outlineLevel="0" collapsed="false">
      <c r="A121" s="12" t="n">
        <v>46225</v>
      </c>
      <c r="B121" s="12" t="s">
        <v>106</v>
      </c>
      <c r="C121" s="12" t="n">
        <v>46225</v>
      </c>
      <c r="D121" s="10" t="s">
        <v>106</v>
      </c>
      <c r="E121" s="10" t="s">
        <v>107</v>
      </c>
      <c r="F121" s="22" t="s">
        <v>294</v>
      </c>
      <c r="G121" s="14" t="s">
        <v>49</v>
      </c>
      <c r="H121" s="10"/>
      <c r="I121" s="15" t="n">
        <v>69.72</v>
      </c>
      <c r="J121" s="10" t="s">
        <v>51</v>
      </c>
      <c r="K121" s="15" t="n">
        <v>0</v>
      </c>
      <c r="L121" s="11" t="n">
        <v>0</v>
      </c>
      <c r="M121" s="11" t="n">
        <v>0</v>
      </c>
      <c r="N121" s="10" t="s">
        <v>52</v>
      </c>
      <c r="O121" s="10" t="s">
        <v>67</v>
      </c>
      <c r="P121" s="10"/>
      <c r="Q121" s="16" t="n">
        <v>0</v>
      </c>
      <c r="R121" s="10" t="s">
        <v>72</v>
      </c>
      <c r="S121" s="10" t="s">
        <v>73</v>
      </c>
      <c r="T121" s="10" t="n">
        <v>40</v>
      </c>
      <c r="U121" s="11" t="n">
        <f aca="false">IF(E121="TRANSPORT",IF(T121="","",T121*5),IF(AL121="","",AL121))</f>
        <v>240</v>
      </c>
      <c r="V121" s="10" t="s">
        <v>54</v>
      </c>
      <c r="W121" s="15" t="s">
        <v>65</v>
      </c>
      <c r="X121" s="15" t="s">
        <v>106</v>
      </c>
      <c r="Y121" s="17" t="n">
        <v>46225.4548958333</v>
      </c>
      <c r="Z121" s="18" t="n">
        <f aca="false">IF(I121="",0,IF(ISNUMBER(SEARCH("mp",LOWER(J121))),I121,IF(ISNUMBER(SEARCH("ton",LOWER(J121))),I121/0.33,IF(ISNUMBER(SEARCH("m3",LOWER(J121))),I121*4,I121))))</f>
        <v>69.72</v>
      </c>
      <c r="AA121" s="18" t="n">
        <f aca="false">IF(I121="",0,IF(ISNUMBER(SEARCH("mp",LOWER(J121))),I121*0.33,IF(ISNUMBER(SEARCH("ton",LOWER(J121))),I121,I121*0.33)))</f>
        <v>23.0076</v>
      </c>
      <c r="AB121" s="18" t="n">
        <f aca="false">Tabela_dane[[#This Row],[Wolumen_t]]*8.5</f>
        <v>195.5646</v>
      </c>
      <c r="AC121" s="18" t="n">
        <f aca="false">IF(G121&lt;&gt;"TAK",0,IF(OR(E121="ZAKUP",E121="PRODUKCJA"),Z121,IF(OR(E121="SPRZEDAŻ",E121="ZUŻYCIE"),-Z121,0)))</f>
        <v>0</v>
      </c>
      <c r="AD121" s="18" t="n">
        <f aca="false">IF(G121&lt;&gt;"TAK",0,IF(OR(E121="ZAKUP",E121="PRODUKCJA"),AA121,IF(OR(E121="SPRZEDAŻ",E121="ZUŻYCIE"),-AA121,0)))</f>
        <v>0</v>
      </c>
      <c r="AE121" s="19" t="n">
        <f aca="false">IF(E121="ZAKUP",IF(L121&lt;&gt;"",L121,IF(K121&lt;&gt;"",Z121*K121,0)),0)</f>
        <v>0</v>
      </c>
      <c r="AF121" s="19" t="n">
        <f aca="false">IF(E121="SPRZEDAŻ",IF(M121&lt;&gt;"",Z121*M121,0),0)</f>
        <v>0</v>
      </c>
      <c r="AG121" s="19" t="str">
        <f aca="false">IF(R121="","",IF(LOWER(R121)="brak","Brak",IF(OR(ISNUMBER(SEARCH("ric pl",LOWER(R121))),ISNUMBER(SEARCH("wojciechowski",LOWER(R121)))),"Własny","Zewnętrzny")))</f>
        <v>Zewnętrzny</v>
      </c>
      <c r="AH121" s="19" t="n">
        <f aca="false">Z121*Q121</f>
        <v>0</v>
      </c>
      <c r="AI121" s="19" t="str">
        <f aca="false">UPPER(TEXT(C121,"mmmm"))</f>
        <v>JULY</v>
      </c>
      <c r="AJ121" s="19" t="str">
        <f aca="false">IF(C121="","",TEXT(C121,"rrrr"))</f>
        <v>CE5786CE5786</v>
      </c>
      <c r="AK121" s="10"/>
      <c r="AL121" s="11" t="n">
        <v>240</v>
      </c>
      <c r="AM121" s="10" t="s">
        <v>295</v>
      </c>
      <c r="AN121" s="10" t="s">
        <v>49</v>
      </c>
      <c r="AO121" s="10"/>
      <c r="AP121" s="10"/>
      <c r="AQ121" s="10"/>
      <c r="AR121" s="10" t="s">
        <v>66</v>
      </c>
      <c r="AS121" s="10"/>
      <c r="AT121" s="15" t="n">
        <v>1</v>
      </c>
    </row>
    <row r="122" customFormat="false" ht="28.5" hidden="false" customHeight="true" outlineLevel="0" collapsed="false">
      <c r="A122" s="12" t="n">
        <v>46225</v>
      </c>
      <c r="B122" s="12" t="s">
        <v>106</v>
      </c>
      <c r="C122" s="12" t="n">
        <v>46225</v>
      </c>
      <c r="D122" s="10" t="s">
        <v>106</v>
      </c>
      <c r="E122" s="10" t="s">
        <v>107</v>
      </c>
      <c r="F122" s="22" t="s">
        <v>296</v>
      </c>
      <c r="G122" s="14" t="s">
        <v>49</v>
      </c>
      <c r="H122" s="10"/>
      <c r="I122" s="15" t="n">
        <v>88</v>
      </c>
      <c r="J122" s="10" t="s">
        <v>51</v>
      </c>
      <c r="K122" s="15" t="n">
        <v>0</v>
      </c>
      <c r="L122" s="11" t="n">
        <v>0</v>
      </c>
      <c r="M122" s="11" t="n">
        <v>0</v>
      </c>
      <c r="N122" s="10" t="s">
        <v>52</v>
      </c>
      <c r="O122" s="10" t="s">
        <v>67</v>
      </c>
      <c r="P122" s="10"/>
      <c r="Q122" s="16" t="n">
        <v>0</v>
      </c>
      <c r="R122" s="10" t="s">
        <v>97</v>
      </c>
      <c r="S122" s="10" t="s">
        <v>98</v>
      </c>
      <c r="T122" s="10" t="n">
        <v>40</v>
      </c>
      <c r="U122" s="11" t="n">
        <f aca="false">IF(E122="TRANSPORT",IF(T122="","",T122*5),IF(AL122="","",AL122))</f>
        <v>600</v>
      </c>
      <c r="V122" s="10" t="s">
        <v>54</v>
      </c>
      <c r="W122" s="15" t="s">
        <v>70</v>
      </c>
      <c r="X122" s="15" t="s">
        <v>106</v>
      </c>
      <c r="Y122" s="17" t="n">
        <v>46225.455775463</v>
      </c>
      <c r="Z122" s="18" t="n">
        <f aca="false">IF(I122="",0,IF(ISNUMBER(SEARCH("mp",LOWER(J122))),I122,IF(ISNUMBER(SEARCH("ton",LOWER(J122))),I122/0.33,IF(ISNUMBER(SEARCH("m3",LOWER(J122))),I122*4,I122))))</f>
        <v>88</v>
      </c>
      <c r="AA122" s="18" t="n">
        <f aca="false">IF(I122="",0,IF(ISNUMBER(SEARCH("mp",LOWER(J122))),I122*0.33,IF(ISNUMBER(SEARCH("ton",LOWER(J122))),I122,I122*0.33)))</f>
        <v>29.04</v>
      </c>
      <c r="AB122" s="18" t="n">
        <f aca="false">Tabela_dane[[#This Row],[Wolumen_t]]*8.5</f>
        <v>246.84</v>
      </c>
      <c r="AC122" s="18" t="n">
        <f aca="false">IF(G122&lt;&gt;"TAK",0,IF(OR(E122="ZAKUP",E122="PRODUKCJA"),Z122,IF(OR(E122="SPRZEDAŻ",E122="ZUŻYCIE"),-Z122,0)))</f>
        <v>0</v>
      </c>
      <c r="AD122" s="18" t="n">
        <f aca="false">IF(G122&lt;&gt;"TAK",0,IF(OR(E122="ZAKUP",E122="PRODUKCJA"),AA122,IF(OR(E122="SPRZEDAŻ",E122="ZUŻYCIE"),-AA122,0)))</f>
        <v>0</v>
      </c>
      <c r="AE122" s="19" t="n">
        <f aca="false">IF(E122="ZAKUP",IF(L122&lt;&gt;"",L122,IF(K122&lt;&gt;"",Z122*K122,0)),0)</f>
        <v>0</v>
      </c>
      <c r="AF122" s="19" t="n">
        <f aca="false">IF(E122="SPRZEDAŻ",IF(M122&lt;&gt;"",Z122*M122,0),0)</f>
        <v>0</v>
      </c>
      <c r="AG122" s="19" t="str">
        <f aca="false">IF(R122="","",IF(LOWER(R122)="brak","Brak",IF(OR(ISNUMBER(SEARCH("ric pl",LOWER(R122))),ISNUMBER(SEARCH("wojciechowski",LOWER(R122)))),"Własny","Zewnętrzny")))</f>
        <v>Zewnętrzny</v>
      </c>
      <c r="AH122" s="19" t="n">
        <f aca="false">Z122*Q122</f>
        <v>0</v>
      </c>
      <c r="AI122" s="19" t="str">
        <f aca="false">UPPER(TEXT(C122,"mmmm"))</f>
        <v>JULY</v>
      </c>
      <c r="AJ122" s="19" t="str">
        <f aca="false">IF(C122="","",TEXT(C122,"rrrr"))</f>
        <v>CE5786CE5786</v>
      </c>
      <c r="AK122" s="10"/>
      <c r="AL122" s="11" t="n">
        <v>600</v>
      </c>
      <c r="AM122" s="10" t="s">
        <v>297</v>
      </c>
      <c r="AN122" s="10" t="s">
        <v>49</v>
      </c>
      <c r="AO122" s="10"/>
      <c r="AP122" s="10"/>
      <c r="AQ122" s="10"/>
      <c r="AR122" s="10" t="s">
        <v>66</v>
      </c>
      <c r="AS122" s="10"/>
      <c r="AT122" s="15" t="n">
        <v>1</v>
      </c>
    </row>
    <row r="123" customFormat="false" ht="28.5" hidden="false" customHeight="true" outlineLevel="0" collapsed="false">
      <c r="A123" s="12" t="n">
        <v>46225</v>
      </c>
      <c r="B123" s="12"/>
      <c r="C123" s="12" t="n">
        <v>46225</v>
      </c>
      <c r="D123" s="10" t="s">
        <v>46</v>
      </c>
      <c r="E123" s="10" t="s">
        <v>63</v>
      </c>
      <c r="F123" s="20" t="s">
        <v>298</v>
      </c>
      <c r="G123" s="14" t="s">
        <v>49</v>
      </c>
      <c r="H123" s="10" t="s">
        <v>76</v>
      </c>
      <c r="I123" s="15" t="n">
        <v>29.02</v>
      </c>
      <c r="J123" s="10" t="s">
        <v>77</v>
      </c>
      <c r="K123" s="15" t="n">
        <v>230</v>
      </c>
      <c r="L123" s="11" t="n">
        <v>6674.6</v>
      </c>
      <c r="M123" s="11" t="n">
        <v>0</v>
      </c>
      <c r="N123" s="10" t="s">
        <v>64</v>
      </c>
      <c r="O123" s="10"/>
      <c r="P123" s="10"/>
      <c r="Q123" s="16" t="n">
        <v>0</v>
      </c>
      <c r="R123" s="10"/>
      <c r="S123" s="10"/>
      <c r="T123" s="10" t="n">
        <v>0</v>
      </c>
      <c r="U123" s="11" t="n">
        <f aca="false">IF(E123="TRANSPORT",IF(T123="","",T123*5),IF(AL123="","",AL123))</f>
        <v>0</v>
      </c>
      <c r="V123" s="10" t="s">
        <v>54</v>
      </c>
      <c r="W123" s="15" t="s">
        <v>299</v>
      </c>
      <c r="X123" s="15"/>
      <c r="Y123" s="17" t="n">
        <v>46225.4586226852</v>
      </c>
      <c r="Z123" s="18" t="n">
        <f aca="false">IF(I123="",0,IF(ISNUMBER(SEARCH("mp",LOWER(J123))),I123,IF(ISNUMBER(SEARCH("ton",LOWER(J123))),I123/0.33,IF(ISNUMBER(SEARCH("m3",LOWER(J123))),I123*4,I123))))</f>
        <v>116.08</v>
      </c>
      <c r="AA123" s="18" t="n">
        <f aca="false">IF(I123="",0,IF(ISNUMBER(SEARCH("mp",LOWER(J123))),I123*0.33,IF(ISNUMBER(SEARCH("ton",LOWER(J123))),I123,I123*0.33)))</f>
        <v>9.5766</v>
      </c>
      <c r="AB123" s="18" t="n">
        <f aca="false">Tabela_dane[[#This Row],[Wolumen_t]]*8.5</f>
        <v>81.4011</v>
      </c>
      <c r="AC123" s="18" t="n">
        <f aca="false">IF(G123&lt;&gt;"TAK",0,IF(OR(E123="ZAKUP",E123="PRODUKCJA"),Z123,IF(OR(E123="SPRZEDAŻ",E123="ZUŻYCIE"),-Z123,0)))</f>
        <v>116.08</v>
      </c>
      <c r="AD123" s="18" t="n">
        <f aca="false">IF(G123&lt;&gt;"TAK",0,IF(OR(E123="ZAKUP",E123="PRODUKCJA"),AA123,IF(OR(E123="SPRZEDAŻ",E123="ZUŻYCIE"),-AA123,0)))</f>
        <v>9.5766</v>
      </c>
      <c r="AE123" s="19" t="n">
        <f aca="false">IF(E123="ZAKUP",IF(L123&lt;&gt;"",L123,IF(K123&lt;&gt;"",Z123*K123,0)),0)</f>
        <v>6674.6</v>
      </c>
      <c r="AF123" s="19" t="n">
        <f aca="false">IF(E123="SPRZEDAŻ",IF(M123&lt;&gt;"",Z123*M123,0),0)</f>
        <v>0</v>
      </c>
      <c r="AG123" s="19" t="str">
        <f aca="false">IF(R123="","",IF(LOWER(R123)="brak","Brak",IF(OR(ISNUMBER(SEARCH("ric pl",LOWER(R123))),ISNUMBER(SEARCH("wojciechowski",LOWER(R123)))),"Własny","Zewnętrzny")))</f>
        <v/>
      </c>
      <c r="AH123" s="19" t="n">
        <f aca="false">Z123*Q123</f>
        <v>0</v>
      </c>
      <c r="AI123" s="19" t="str">
        <f aca="false">UPPER(TEXT(C123,"mmmm"))</f>
        <v>JULY</v>
      </c>
      <c r="AJ123" s="19" t="str">
        <f aca="false">IF(C123="","",TEXT(C123,"rrrr"))</f>
        <v>CE5786CE5786</v>
      </c>
      <c r="AK123" s="10"/>
      <c r="AL123" s="11" t="n">
        <v>0</v>
      </c>
      <c r="AM123" s="10" t="s">
        <v>300</v>
      </c>
      <c r="AN123" s="10" t="s">
        <v>59</v>
      </c>
      <c r="AO123" s="10"/>
      <c r="AP123" s="10"/>
      <c r="AQ123" s="10"/>
      <c r="AR123" s="10" t="s">
        <v>66</v>
      </c>
      <c r="AS123" s="10"/>
      <c r="AT123" s="15" t="n">
        <v>1</v>
      </c>
    </row>
    <row r="124" customFormat="false" ht="28.5" hidden="false" customHeight="true" outlineLevel="0" collapsed="false">
      <c r="A124" s="12" t="n">
        <v>46225</v>
      </c>
      <c r="B124" s="12"/>
      <c r="C124" s="12" t="n">
        <v>46225</v>
      </c>
      <c r="D124" s="10" t="s">
        <v>46</v>
      </c>
      <c r="E124" s="10" t="s">
        <v>63</v>
      </c>
      <c r="F124" s="20" t="s">
        <v>301</v>
      </c>
      <c r="G124" s="14" t="s">
        <v>49</v>
      </c>
      <c r="H124" s="10" t="s">
        <v>76</v>
      </c>
      <c r="I124" s="15" t="n">
        <v>29.03</v>
      </c>
      <c r="J124" s="10" t="s">
        <v>77</v>
      </c>
      <c r="K124" s="15" t="n">
        <v>230</v>
      </c>
      <c r="L124" s="11" t="n">
        <v>6676.9</v>
      </c>
      <c r="M124" s="11" t="n">
        <v>0</v>
      </c>
      <c r="N124" s="10" t="s">
        <v>64</v>
      </c>
      <c r="O124" s="10"/>
      <c r="P124" s="10"/>
      <c r="Q124" s="16" t="n">
        <v>0</v>
      </c>
      <c r="R124" s="10"/>
      <c r="S124" s="10"/>
      <c r="T124" s="10" t="n">
        <v>0</v>
      </c>
      <c r="U124" s="11" t="n">
        <f aca="false">IF(E124="TRANSPORT",IF(T124="","",T124*5),IF(AL124="","",AL124))</f>
        <v>0</v>
      </c>
      <c r="V124" s="10" t="s">
        <v>54</v>
      </c>
      <c r="W124" s="15" t="s">
        <v>302</v>
      </c>
      <c r="X124" s="15"/>
      <c r="Y124" s="17" t="n">
        <v>46225.4637037037</v>
      </c>
      <c r="Z124" s="18" t="n">
        <f aca="false">IF(I124="",0,IF(ISNUMBER(SEARCH("mp",LOWER(J124))),I124,IF(ISNUMBER(SEARCH("ton",LOWER(J124))),I124/0.33,IF(ISNUMBER(SEARCH("m3",LOWER(J124))),I124*4,I124))))</f>
        <v>116.12</v>
      </c>
      <c r="AA124" s="18" t="n">
        <f aca="false">IF(I124="",0,IF(ISNUMBER(SEARCH("mp",LOWER(J124))),I124*0.33,IF(ISNUMBER(SEARCH("ton",LOWER(J124))),I124,I124*0.33)))</f>
        <v>9.5799</v>
      </c>
      <c r="AB124" s="18" t="n">
        <f aca="false">Tabela_dane[[#This Row],[Wolumen_t]]*8.5</f>
        <v>81.42915</v>
      </c>
      <c r="AC124" s="18" t="n">
        <f aca="false">IF(G124&lt;&gt;"TAK",0,IF(OR(E124="ZAKUP",E124="PRODUKCJA"),Z124,IF(OR(E124="SPRZEDAŻ",E124="ZUŻYCIE"),-Z124,0)))</f>
        <v>116.12</v>
      </c>
      <c r="AD124" s="18" t="n">
        <f aca="false">IF(G124&lt;&gt;"TAK",0,IF(OR(E124="ZAKUP",E124="PRODUKCJA"),AA124,IF(OR(E124="SPRZEDAŻ",E124="ZUŻYCIE"),-AA124,0)))</f>
        <v>9.5799</v>
      </c>
      <c r="AE124" s="19" t="n">
        <f aca="false">IF(E124="ZAKUP",IF(L124&lt;&gt;"",L124,IF(K124&lt;&gt;"",Z124*K124,0)),0)</f>
        <v>6676.9</v>
      </c>
      <c r="AF124" s="19" t="n">
        <f aca="false">IF(E124="SPRZEDAŻ",IF(M124&lt;&gt;"",Z124*M124,0),0)</f>
        <v>0</v>
      </c>
      <c r="AG124" s="19" t="str">
        <f aca="false">IF(R124="","",IF(LOWER(R124)="brak","Brak",IF(OR(ISNUMBER(SEARCH("ric pl",LOWER(R124))),ISNUMBER(SEARCH("wojciechowski",LOWER(R124)))),"Własny","Zewnętrzny")))</f>
        <v/>
      </c>
      <c r="AH124" s="19" t="n">
        <f aca="false">Z124*Q124</f>
        <v>0</v>
      </c>
      <c r="AI124" s="19" t="str">
        <f aca="false">UPPER(TEXT(C124,"mmmm"))</f>
        <v>JULY</v>
      </c>
      <c r="AJ124" s="19" t="str">
        <f aca="false">IF(C124="","",TEXT(C124,"rrrr"))</f>
        <v>CE5786CE5786</v>
      </c>
      <c r="AK124" s="10"/>
      <c r="AL124" s="11" t="n">
        <v>0</v>
      </c>
      <c r="AM124" s="10" t="s">
        <v>303</v>
      </c>
      <c r="AN124" s="10" t="s">
        <v>59</v>
      </c>
      <c r="AO124" s="10"/>
      <c r="AP124" s="10"/>
      <c r="AQ124" s="10"/>
      <c r="AR124" s="10" t="s">
        <v>66</v>
      </c>
      <c r="AS124" s="10"/>
      <c r="AT124" s="15" t="n">
        <v>1</v>
      </c>
    </row>
    <row r="125" customFormat="false" ht="28.5" hidden="false" customHeight="true" outlineLevel="0" collapsed="false">
      <c r="A125" s="12" t="n">
        <v>46225</v>
      </c>
      <c r="B125" s="12"/>
      <c r="C125" s="12" t="n">
        <v>46225</v>
      </c>
      <c r="D125" s="10" t="s">
        <v>304</v>
      </c>
      <c r="E125" s="10" t="s">
        <v>63</v>
      </c>
      <c r="F125" s="13" t="s">
        <v>305</v>
      </c>
      <c r="G125" s="14" t="s">
        <v>59</v>
      </c>
      <c r="H125" s="10" t="s">
        <v>50</v>
      </c>
      <c r="I125" s="15" t="n">
        <v>20.03</v>
      </c>
      <c r="J125" s="10" t="s">
        <v>77</v>
      </c>
      <c r="K125" s="15" t="n">
        <v>141</v>
      </c>
      <c r="L125" s="11" t="n">
        <v>2824.23</v>
      </c>
      <c r="M125" s="11" t="n">
        <v>0</v>
      </c>
      <c r="N125" s="10" t="s">
        <v>64</v>
      </c>
      <c r="O125" s="10" t="s">
        <v>67</v>
      </c>
      <c r="P125" s="10"/>
      <c r="Q125" s="16" t="n">
        <v>0</v>
      </c>
      <c r="R125" s="10"/>
      <c r="S125" s="10"/>
      <c r="T125" s="10" t="n">
        <v>0</v>
      </c>
      <c r="U125" s="11" t="n">
        <f aca="false">IF(E125="TRANSPORT",IF(T125="","",T125*5),IF(AL125="","",AL125))</f>
        <v>0</v>
      </c>
      <c r="V125" s="10" t="s">
        <v>54</v>
      </c>
      <c r="W125" s="15" t="s">
        <v>70</v>
      </c>
      <c r="X125" s="15"/>
      <c r="Y125" s="17" t="n">
        <v>46225.4886111111</v>
      </c>
      <c r="Z125" s="18" t="n">
        <f aca="false">IF(I125="",0,IF(ISNUMBER(SEARCH("mp",LOWER(J125))),I125,IF(ISNUMBER(SEARCH("ton",LOWER(J125))),I125/0.33,IF(ISNUMBER(SEARCH("m3",LOWER(J125))),I125*4,I125))))</f>
        <v>80.12</v>
      </c>
      <c r="AA125" s="18" t="n">
        <f aca="false">IF(I125="",0,IF(ISNUMBER(SEARCH("mp",LOWER(J125))),I125*0.33,IF(ISNUMBER(SEARCH("ton",LOWER(J125))),I125,I125*0.33)))</f>
        <v>6.6099</v>
      </c>
      <c r="AB125" s="18" t="n">
        <f aca="false">Tabela_dane[[#This Row],[Wolumen_t]]*8.5</f>
        <v>56.18415</v>
      </c>
      <c r="AC125" s="18" t="n">
        <f aca="false">IF(G125&lt;&gt;"TAK",0,IF(OR(E125="ZAKUP",E125="PRODUKCJA"),Z125,IF(OR(E125="SPRZEDAŻ",E125="ZUŻYCIE"),-Z125,0)))</f>
        <v>0</v>
      </c>
      <c r="AD125" s="18" t="n">
        <f aca="false">IF(G125&lt;&gt;"TAK",0,IF(OR(E125="ZAKUP",E125="PRODUKCJA"),AA125,IF(OR(E125="SPRZEDAŻ",E125="ZUŻYCIE"),-AA125,0)))</f>
        <v>0</v>
      </c>
      <c r="AE125" s="19" t="n">
        <f aca="false">IF(E125="ZAKUP",IF(L125&lt;&gt;"",L125,IF(K125&lt;&gt;"",Z125*K125,0)),0)</f>
        <v>2824.23</v>
      </c>
      <c r="AF125" s="19" t="n">
        <f aca="false">IF(E125="SPRZEDAŻ",IF(M125&lt;&gt;"",Z125*M125,0),0)</f>
        <v>0</v>
      </c>
      <c r="AG125" s="19" t="str">
        <f aca="false">IF(R125="","",IF(LOWER(R125)="brak","Brak",IF(OR(ISNUMBER(SEARCH("ric pl",LOWER(R125))),ISNUMBER(SEARCH("wojciechowski",LOWER(R125)))),"Własny","Zewnętrzny")))</f>
        <v/>
      </c>
      <c r="AH125" s="19" t="n">
        <f aca="false">Z125*Q125</f>
        <v>0</v>
      </c>
      <c r="AI125" s="19" t="str">
        <f aca="false">UPPER(TEXT(C125,"mmmm"))</f>
        <v>JULY</v>
      </c>
      <c r="AJ125" s="19" t="str">
        <f aca="false">IF(C125="","",TEXT(C125,"rrrr"))</f>
        <v>CE5786CE5786</v>
      </c>
      <c r="AK125" s="10"/>
      <c r="AL125" s="11" t="n">
        <v>0</v>
      </c>
      <c r="AM125" s="10" t="s">
        <v>306</v>
      </c>
      <c r="AN125" s="10" t="s">
        <v>59</v>
      </c>
      <c r="AO125" s="10"/>
      <c r="AP125" s="10"/>
      <c r="AQ125" s="10"/>
      <c r="AR125" s="10" t="s">
        <v>66</v>
      </c>
      <c r="AS125" s="10"/>
      <c r="AT125" s="15" t="n">
        <v>1</v>
      </c>
    </row>
    <row r="126" customFormat="false" ht="28.5" hidden="false" customHeight="true" outlineLevel="0" collapsed="false">
      <c r="A126" s="12" t="n">
        <v>46225</v>
      </c>
      <c r="B126" s="12"/>
      <c r="C126" s="12" t="n">
        <v>46225</v>
      </c>
      <c r="D126" s="10" t="s">
        <v>304</v>
      </c>
      <c r="E126" s="10" t="s">
        <v>47</v>
      </c>
      <c r="F126" s="13" t="s">
        <v>307</v>
      </c>
      <c r="G126" s="14" t="s">
        <v>59</v>
      </c>
      <c r="H126" s="10" t="s">
        <v>50</v>
      </c>
      <c r="I126" s="15" t="n">
        <v>80.12</v>
      </c>
      <c r="J126" s="10" t="s">
        <v>51</v>
      </c>
      <c r="K126" s="15" t="n">
        <v>0</v>
      </c>
      <c r="L126" s="11" t="n">
        <v>0</v>
      </c>
      <c r="M126" s="11" t="n">
        <v>0</v>
      </c>
      <c r="N126" s="10" t="s">
        <v>52</v>
      </c>
      <c r="O126" s="10" t="s">
        <v>67</v>
      </c>
      <c r="P126" s="10" t="s">
        <v>53</v>
      </c>
      <c r="Q126" s="16" t="n">
        <v>10</v>
      </c>
      <c r="R126" s="10"/>
      <c r="S126" s="10"/>
      <c r="T126" s="10" t="n">
        <v>0</v>
      </c>
      <c r="U126" s="11" t="n">
        <f aca="false">IF(E126="TRANSPORT",IF(T126="","",T126*5),IF(AL126="","",AL126))</f>
        <v>0</v>
      </c>
      <c r="V126" s="10" t="s">
        <v>54</v>
      </c>
      <c r="W126" s="15" t="s">
        <v>65</v>
      </c>
      <c r="X126" s="15"/>
      <c r="Y126" s="17" t="n">
        <v>46225.4916666667</v>
      </c>
      <c r="Z126" s="18" t="n">
        <f aca="false">IF(I126="",0,IF(ISNUMBER(SEARCH("mp",LOWER(J126))),I126,IF(ISNUMBER(SEARCH("ton",LOWER(J126))),I126/0.33,IF(ISNUMBER(SEARCH("m3",LOWER(J126))),I126*4,I126))))</f>
        <v>80.12</v>
      </c>
      <c r="AA126" s="18" t="n">
        <f aca="false">IF(I126="",0,IF(ISNUMBER(SEARCH("mp",LOWER(J126))),I126*0.33,IF(ISNUMBER(SEARCH("ton",LOWER(J126))),I126,I126*0.33)))</f>
        <v>26.4396</v>
      </c>
      <c r="AB126" s="18" t="n">
        <f aca="false">Tabela_dane[[#This Row],[Wolumen_t]]*8.5</f>
        <v>224.7366</v>
      </c>
      <c r="AC126" s="18" t="n">
        <f aca="false">IF(G126&lt;&gt;"TAK",0,IF(OR(E126="ZAKUP",E126="PRODUKCJA"),Z126,IF(OR(E126="SPRZEDAŻ",E126="ZUŻYCIE"),-Z126,0)))</f>
        <v>0</v>
      </c>
      <c r="AD126" s="18" t="n">
        <f aca="false">IF(G126&lt;&gt;"TAK",0,IF(OR(E126="ZAKUP",E126="PRODUKCJA"),AA126,IF(OR(E126="SPRZEDAŻ",E126="ZUŻYCIE"),-AA126,0)))</f>
        <v>0</v>
      </c>
      <c r="AE126" s="19" t="n">
        <f aca="false">IF(E126="ZAKUP",IF(L126&lt;&gt;"",L126,IF(K126&lt;&gt;"",Z126*K126,0)),0)</f>
        <v>0</v>
      </c>
      <c r="AF126" s="19" t="n">
        <f aca="false">IF(E126="SPRZEDAŻ",IF(M126&lt;&gt;"",Z126*M126,0),0)</f>
        <v>0</v>
      </c>
      <c r="AG126" s="19" t="str">
        <f aca="false">IF(R126="","",IF(LOWER(R126)="brak","Brak",IF(OR(ISNUMBER(SEARCH("ric pl",LOWER(R126))),ISNUMBER(SEARCH("wojciechowski",LOWER(R126)))),"Własny","Zewnętrzny")))</f>
        <v/>
      </c>
      <c r="AH126" s="19" t="n">
        <f aca="false">Z126*Q126</f>
        <v>801.2</v>
      </c>
      <c r="AI126" s="19" t="str">
        <f aca="false">UPPER(TEXT(C126,"mmmm"))</f>
        <v>JULY</v>
      </c>
      <c r="AJ126" s="19" t="str">
        <f aca="false">IF(C126="","",TEXT(C126,"rrrr"))</f>
        <v>CE5786CE5786</v>
      </c>
      <c r="AK126" s="10"/>
      <c r="AL126" s="11" t="n">
        <v>0</v>
      </c>
      <c r="AM126" s="10" t="s">
        <v>308</v>
      </c>
      <c r="AN126" s="10" t="s">
        <v>59</v>
      </c>
      <c r="AO126" s="10"/>
      <c r="AP126" s="10"/>
      <c r="AQ126" s="10"/>
      <c r="AR126" s="10" t="s">
        <v>66</v>
      </c>
      <c r="AS126" s="10"/>
      <c r="AT126" s="15" t="n">
        <v>1</v>
      </c>
    </row>
    <row r="127" customFormat="false" ht="28.5" hidden="false" customHeight="true" outlineLevel="0" collapsed="false">
      <c r="A127" s="12" t="n">
        <v>46225</v>
      </c>
      <c r="B127" s="12"/>
      <c r="C127" s="12" t="n">
        <v>46225</v>
      </c>
      <c r="D127" s="10" t="s">
        <v>304</v>
      </c>
      <c r="E127" s="10" t="s">
        <v>79</v>
      </c>
      <c r="F127" s="13" t="s">
        <v>307</v>
      </c>
      <c r="G127" s="14" t="s">
        <v>59</v>
      </c>
      <c r="H127" s="10" t="s">
        <v>50</v>
      </c>
      <c r="I127" s="15" t="n">
        <v>80.12</v>
      </c>
      <c r="J127" s="10" t="s">
        <v>51</v>
      </c>
      <c r="K127" s="15" t="n">
        <v>0</v>
      </c>
      <c r="L127" s="11" t="n">
        <v>0</v>
      </c>
      <c r="M127" s="11" t="n">
        <v>0</v>
      </c>
      <c r="N127" s="10" t="s">
        <v>52</v>
      </c>
      <c r="O127" s="10" t="s">
        <v>67</v>
      </c>
      <c r="P127" s="10" t="s">
        <v>53</v>
      </c>
      <c r="Q127" s="16" t="n">
        <v>10</v>
      </c>
      <c r="R127" s="10"/>
      <c r="S127" s="10"/>
      <c r="T127" s="10" t="n">
        <v>0</v>
      </c>
      <c r="U127" s="11" t="n">
        <f aca="false">IF(E127="TRANSPORT",IF(T127="","",T127*5),IF(AL127="","",AL127))</f>
        <v>0</v>
      </c>
      <c r="V127" s="10" t="s">
        <v>54</v>
      </c>
      <c r="W127" s="15" t="s">
        <v>260</v>
      </c>
      <c r="X127" s="15"/>
      <c r="Y127" s="17" t="n">
        <v>46225.4916666667</v>
      </c>
      <c r="Z127" s="18" t="n">
        <f aca="false">IF(I127="",0,IF(ISNUMBER(SEARCH("mp",LOWER(J127))),I127,IF(ISNUMBER(SEARCH("ton",LOWER(J127))),I127/0.33,IF(ISNUMBER(SEARCH("m3",LOWER(J127))),I127*4,I127))))</f>
        <v>80.12</v>
      </c>
      <c r="AA127" s="18" t="n">
        <f aca="false">IF(I127="",0,IF(ISNUMBER(SEARCH("mp",LOWER(J127))),I127*0.33,IF(ISNUMBER(SEARCH("ton",LOWER(J127))),I127,I127*0.33)))</f>
        <v>26.4396</v>
      </c>
      <c r="AB127" s="18" t="n">
        <f aca="false">Tabela_dane[[#This Row],[Wolumen_t]]*8.5</f>
        <v>224.7366</v>
      </c>
      <c r="AC127" s="18" t="n">
        <f aca="false">IF(G127&lt;&gt;"TAK",0,IF(OR(E127="ZAKUP",E127="PRODUKCJA"),Z127,IF(OR(E127="SPRZEDAŻ",E127="ZUŻYCIE"),-Z127,0)))</f>
        <v>0</v>
      </c>
      <c r="AD127" s="18" t="n">
        <f aca="false">IF(G127&lt;&gt;"TAK",0,IF(OR(E127="ZAKUP",E127="PRODUKCJA"),AA127,IF(OR(E127="SPRZEDAŻ",E127="ZUŻYCIE"),-AA127,0)))</f>
        <v>0</v>
      </c>
      <c r="AE127" s="19" t="n">
        <f aca="false">IF(E127="ZAKUP",IF(L127&lt;&gt;"",L127,IF(K127&lt;&gt;"",Z127*K127,0)),0)</f>
        <v>0</v>
      </c>
      <c r="AF127" s="19" t="n">
        <f aca="false">IF(E127="SPRZEDAŻ",IF(M127&lt;&gt;"",Z127*M127,0),0)</f>
        <v>0</v>
      </c>
      <c r="AG127" s="19" t="str">
        <f aca="false">IF(R127="","",IF(LOWER(R127)="brak","Brak",IF(OR(ISNUMBER(SEARCH("ric pl",LOWER(R127))),ISNUMBER(SEARCH("wojciechowski",LOWER(R127)))),"Własny","Zewnętrzny")))</f>
        <v/>
      </c>
      <c r="AH127" s="19" t="n">
        <f aca="false">Z127*Q127</f>
        <v>801.2</v>
      </c>
      <c r="AI127" s="19" t="str">
        <f aca="false">UPPER(TEXT(C127,"mmmm"))</f>
        <v>JULY</v>
      </c>
      <c r="AJ127" s="19" t="str">
        <f aca="false">IF(C127="","",TEXT(C127,"rrrr"))</f>
        <v>CE5786CE5786</v>
      </c>
      <c r="AK127" s="10"/>
      <c r="AL127" s="11" t="n">
        <v>0</v>
      </c>
      <c r="AM127" s="10" t="s">
        <v>308</v>
      </c>
      <c r="AN127" s="10" t="s">
        <v>59</v>
      </c>
      <c r="AO127" s="10"/>
      <c r="AP127" s="10"/>
      <c r="AQ127" s="10"/>
      <c r="AR127" s="10" t="s">
        <v>81</v>
      </c>
      <c r="AS127" s="10"/>
      <c r="AT127" s="15" t="n">
        <v>1</v>
      </c>
    </row>
    <row r="128" customFormat="false" ht="28.5" hidden="false" customHeight="true" outlineLevel="0" collapsed="false">
      <c r="A128" s="12" t="n">
        <v>46225</v>
      </c>
      <c r="B128" s="12" t="s">
        <v>309</v>
      </c>
      <c r="C128" s="12" t="n">
        <v>46225</v>
      </c>
      <c r="D128" s="10" t="s">
        <v>54</v>
      </c>
      <c r="E128" s="10" t="s">
        <v>63</v>
      </c>
      <c r="F128" s="13" t="s">
        <v>307</v>
      </c>
      <c r="G128" s="14" t="s">
        <v>49</v>
      </c>
      <c r="H128" s="10" t="s">
        <v>50</v>
      </c>
      <c r="I128" s="15" t="n">
        <v>80.12</v>
      </c>
      <c r="J128" s="10" t="s">
        <v>51</v>
      </c>
      <c r="K128" s="15" t="n">
        <v>0</v>
      </c>
      <c r="L128" s="11" t="n">
        <v>0</v>
      </c>
      <c r="M128" s="11" t="n">
        <v>0</v>
      </c>
      <c r="N128" s="10" t="s">
        <v>52</v>
      </c>
      <c r="O128" s="10" t="s">
        <v>67</v>
      </c>
      <c r="P128" s="10"/>
      <c r="Q128" s="16" t="n">
        <v>0</v>
      </c>
      <c r="R128" s="10" t="s">
        <v>68</v>
      </c>
      <c r="S128" s="10" t="s">
        <v>69</v>
      </c>
      <c r="T128" s="10" t="n">
        <v>122</v>
      </c>
      <c r="U128" s="11" t="n">
        <f aca="false">IF(E128="TRANSPORT",IF(T128="","",T128*5),IF(AL128="","",AL128))</f>
        <v>610</v>
      </c>
      <c r="V128" s="10" t="s">
        <v>54</v>
      </c>
      <c r="W128" s="15" t="s">
        <v>70</v>
      </c>
      <c r="X128" s="15"/>
      <c r="Y128" s="17" t="n">
        <v>46225.4936111111</v>
      </c>
      <c r="Z128" s="18" t="n">
        <f aca="false">IF(I128="",0,IF(ISNUMBER(SEARCH("mp",LOWER(J128))),I128,IF(ISNUMBER(SEARCH("ton",LOWER(J128))),I128/0.33,IF(ISNUMBER(SEARCH("m3",LOWER(J128))),I128*4,I128))))</f>
        <v>80.12</v>
      </c>
      <c r="AA128" s="18" t="n">
        <f aca="false">IF(I128="",0,IF(ISNUMBER(SEARCH("mp",LOWER(J128))),I128*0.33,IF(ISNUMBER(SEARCH("ton",LOWER(J128))),I128,I128*0.33)))</f>
        <v>26.4396</v>
      </c>
      <c r="AB128" s="18" t="n">
        <f aca="false">Tabela_dane[[#This Row],[Wolumen_t]]*8.5</f>
        <v>224.7366</v>
      </c>
      <c r="AC128" s="18" t="n">
        <f aca="false">IF(G128&lt;&gt;"TAK",0,IF(OR(E128="ZAKUP",E128="PRODUKCJA"),Z128,IF(OR(E128="SPRZEDAŻ",E128="ZUŻYCIE"),-Z128,0)))</f>
        <v>80.12</v>
      </c>
      <c r="AD128" s="18" t="n">
        <f aca="false">IF(G128&lt;&gt;"TAK",0,IF(OR(E128="ZAKUP",E128="PRODUKCJA"),AA128,IF(OR(E128="SPRZEDAŻ",E128="ZUŻYCIE"),-AA128,0)))</f>
        <v>26.4396</v>
      </c>
      <c r="AE128" s="19" t="n">
        <f aca="false">IF(E128="ZAKUP",IF(L128&lt;&gt;"",L128,IF(K128&lt;&gt;"",Z128*K128,0)),0)</f>
        <v>0</v>
      </c>
      <c r="AF128" s="19" t="n">
        <f aca="false">IF(E128="SPRZEDAŻ",IF(M128&lt;&gt;"",Z128*M128,0),0)</f>
        <v>0</v>
      </c>
      <c r="AG128" s="19" t="str">
        <f aca="false">IF(R128="","",IF(LOWER(R128)="brak","Brak",IF(OR(ISNUMBER(SEARCH("ric pl",LOWER(R128))),ISNUMBER(SEARCH("wojciechowski",LOWER(R128)))),"Własny","Zewnętrzny")))</f>
        <v>Zewnętrzny</v>
      </c>
      <c r="AH128" s="19" t="n">
        <f aca="false">Z128*Q128</f>
        <v>0</v>
      </c>
      <c r="AI128" s="19" t="str">
        <f aca="false">UPPER(TEXT(C128,"mmmm"))</f>
        <v>JULY</v>
      </c>
      <c r="AJ128" s="19" t="str">
        <f aca="false">IF(C128="","",TEXT(C128,"rrrr"))</f>
        <v>CE5786CE5786</v>
      </c>
      <c r="AK128" s="10"/>
      <c r="AL128" s="11" t="n">
        <v>610</v>
      </c>
      <c r="AM128" s="10" t="s">
        <v>310</v>
      </c>
      <c r="AN128" s="10" t="s">
        <v>49</v>
      </c>
      <c r="AO128" s="10"/>
      <c r="AP128" s="10"/>
      <c r="AQ128" s="10"/>
      <c r="AR128" s="10" t="s">
        <v>66</v>
      </c>
      <c r="AS128" s="10"/>
      <c r="AT128" s="15" t="n">
        <v>1</v>
      </c>
    </row>
    <row r="129" customFormat="false" ht="28.5" hidden="false" customHeight="true" outlineLevel="0" collapsed="false">
      <c r="A129" s="12" t="n">
        <v>46225</v>
      </c>
      <c r="B129" s="12"/>
      <c r="C129" s="12" t="n">
        <v>46225</v>
      </c>
      <c r="D129" s="10" t="s">
        <v>46</v>
      </c>
      <c r="E129" s="10" t="s">
        <v>63</v>
      </c>
      <c r="F129" s="20" t="s">
        <v>311</v>
      </c>
      <c r="G129" s="14" t="s">
        <v>49</v>
      </c>
      <c r="H129" s="10" t="s">
        <v>76</v>
      </c>
      <c r="I129" s="34" t="n">
        <v>15.56</v>
      </c>
      <c r="J129" s="10" t="s">
        <v>77</v>
      </c>
      <c r="K129" s="15" t="n">
        <v>230</v>
      </c>
      <c r="L129" s="11" t="n">
        <v>3578.8</v>
      </c>
      <c r="M129" s="11" t="n">
        <v>0</v>
      </c>
      <c r="N129" s="10" t="s">
        <v>64</v>
      </c>
      <c r="O129" s="10"/>
      <c r="P129" s="10"/>
      <c r="Q129" s="16" t="n">
        <v>0</v>
      </c>
      <c r="R129" s="10"/>
      <c r="S129" s="10"/>
      <c r="T129" s="10" t="n">
        <v>0</v>
      </c>
      <c r="U129" s="11" t="n">
        <f aca="false">IF(E129="TRANSPORT",IF(T129="","",T129*5),IF(AL129="","",AL129))</f>
        <v>0</v>
      </c>
      <c r="V129" s="10" t="s">
        <v>54</v>
      </c>
      <c r="W129" s="15" t="s">
        <v>242</v>
      </c>
      <c r="X129" s="15"/>
      <c r="Y129" s="17" t="n">
        <v>46225.494849537</v>
      </c>
      <c r="Z129" s="18" t="n">
        <f aca="false">IF(I129="",0,IF(ISNUMBER(SEARCH("mp",LOWER(J129))),I129,IF(ISNUMBER(SEARCH("ton",LOWER(J129))),I129/0.33,IF(ISNUMBER(SEARCH("m3",LOWER(J129))),I129*4,I129))))</f>
        <v>62.24</v>
      </c>
      <c r="AA129" s="18" t="n">
        <f aca="false">IF(I129="",0,IF(ISNUMBER(SEARCH("mp",LOWER(J129))),I129*0.33,IF(ISNUMBER(SEARCH("ton",LOWER(J129))),I129,I129*0.33)))</f>
        <v>5.1348</v>
      </c>
      <c r="AB129" s="18" t="n">
        <f aca="false">Tabela_dane[[#This Row],[Wolumen_t]]*8.5</f>
        <v>43.6458</v>
      </c>
      <c r="AC129" s="18" t="n">
        <f aca="false">IF(G129&lt;&gt;"TAK",0,IF(OR(E129="ZAKUP",E129="PRODUKCJA"),Z129,IF(OR(E129="SPRZEDAŻ",E129="ZUŻYCIE"),-Z129,0)))</f>
        <v>62.24</v>
      </c>
      <c r="AD129" s="18" t="n">
        <f aca="false">IF(G129&lt;&gt;"TAK",0,IF(OR(E129="ZAKUP",E129="PRODUKCJA"),AA129,IF(OR(E129="SPRZEDAŻ",E129="ZUŻYCIE"),-AA129,0)))</f>
        <v>5.1348</v>
      </c>
      <c r="AE129" s="19" t="n">
        <f aca="false">IF(E129="ZAKUP",IF(L129&lt;&gt;"",L129,IF(K129&lt;&gt;"",Z129*K129,0)),0)</f>
        <v>3578.8</v>
      </c>
      <c r="AF129" s="19" t="n">
        <f aca="false">IF(E129="SPRZEDAŻ",IF(M129&lt;&gt;"",Z129*M129,0),0)</f>
        <v>0</v>
      </c>
      <c r="AG129" s="19" t="str">
        <f aca="false">IF(R129="","",IF(LOWER(R129)="brak","Brak",IF(OR(ISNUMBER(SEARCH("ric pl",LOWER(R129))),ISNUMBER(SEARCH("wojciechowski",LOWER(R129)))),"Własny","Zewnętrzny")))</f>
        <v/>
      </c>
      <c r="AH129" s="19" t="n">
        <f aca="false">Z129*Q129</f>
        <v>0</v>
      </c>
      <c r="AI129" s="19" t="str">
        <f aca="false">UPPER(TEXT(C129,"mmmm"))</f>
        <v>JULY</v>
      </c>
      <c r="AJ129" s="19" t="str">
        <f aca="false">IF(C129="","",TEXT(C129,"rrrr"))</f>
        <v>CE5786CE5786</v>
      </c>
      <c r="AK129" s="10"/>
      <c r="AL129" s="11" t="n">
        <v>0</v>
      </c>
      <c r="AM129" s="10" t="s">
        <v>312</v>
      </c>
      <c r="AN129" s="10" t="s">
        <v>59</v>
      </c>
      <c r="AO129" s="10"/>
      <c r="AP129" s="10"/>
      <c r="AQ129" s="10"/>
      <c r="AR129" s="10" t="s">
        <v>66</v>
      </c>
      <c r="AS129" s="10"/>
      <c r="AT129" s="15" t="n">
        <v>1</v>
      </c>
    </row>
    <row r="130" customFormat="false" ht="28.5" hidden="false" customHeight="true" outlineLevel="0" collapsed="false">
      <c r="A130" s="12" t="n">
        <v>46225</v>
      </c>
      <c r="B130" s="12" t="s">
        <v>106</v>
      </c>
      <c r="C130" s="12" t="n">
        <v>46225</v>
      </c>
      <c r="D130" s="10" t="s">
        <v>106</v>
      </c>
      <c r="E130" s="10" t="s">
        <v>107</v>
      </c>
      <c r="F130" s="22" t="s">
        <v>313</v>
      </c>
      <c r="G130" s="14" t="s">
        <v>49</v>
      </c>
      <c r="H130" s="10"/>
      <c r="I130" s="15" t="n">
        <v>88.67</v>
      </c>
      <c r="J130" s="10" t="s">
        <v>51</v>
      </c>
      <c r="K130" s="15" t="n">
        <v>0</v>
      </c>
      <c r="L130" s="11" t="n">
        <v>0</v>
      </c>
      <c r="M130" s="11" t="n">
        <v>0</v>
      </c>
      <c r="N130" s="10" t="s">
        <v>52</v>
      </c>
      <c r="O130" s="10" t="s">
        <v>67</v>
      </c>
      <c r="P130" s="10"/>
      <c r="Q130" s="16" t="n">
        <v>0</v>
      </c>
      <c r="R130" s="10" t="s">
        <v>97</v>
      </c>
      <c r="S130" s="10" t="s">
        <v>98</v>
      </c>
      <c r="T130" s="10" t="n">
        <v>40</v>
      </c>
      <c r="U130" s="11" t="n">
        <f aca="false">IF(E130="TRANSPORT",IF(T130="","",T130*5),IF(AL130="","",AL130))</f>
        <v>600</v>
      </c>
      <c r="V130" s="10" t="s">
        <v>54</v>
      </c>
      <c r="W130" s="15" t="s">
        <v>65</v>
      </c>
      <c r="X130" s="15" t="s">
        <v>106</v>
      </c>
      <c r="Y130" s="17" t="n">
        <v>46225.5390046296</v>
      </c>
      <c r="Z130" s="18" t="n">
        <f aca="false">IF(I130="",0,IF(ISNUMBER(SEARCH("mp",LOWER(J130))),I130,IF(ISNUMBER(SEARCH("ton",LOWER(J130))),I130/0.33,IF(ISNUMBER(SEARCH("m3",LOWER(J130))),I130*4,I130))))</f>
        <v>88.67</v>
      </c>
      <c r="AA130" s="18" t="n">
        <f aca="false">IF(I130="",0,IF(ISNUMBER(SEARCH("mp",LOWER(J130))),I130*0.33,IF(ISNUMBER(SEARCH("ton",LOWER(J130))),I130,I130*0.33)))</f>
        <v>29.2611</v>
      </c>
      <c r="AB130" s="18" t="n">
        <f aca="false">Tabela_dane[[#This Row],[Wolumen_t]]*8.5</f>
        <v>248.71935</v>
      </c>
      <c r="AC130" s="18" t="n">
        <f aca="false">IF(G130&lt;&gt;"TAK",0,IF(OR(E130="ZAKUP",E130="PRODUKCJA"),Z130,IF(OR(E130="SPRZEDAŻ",E130="ZUŻYCIE"),-Z130,0)))</f>
        <v>0</v>
      </c>
      <c r="AD130" s="18" t="n">
        <f aca="false">IF(G130&lt;&gt;"TAK",0,IF(OR(E130="ZAKUP",E130="PRODUKCJA"),AA130,IF(OR(E130="SPRZEDAŻ",E130="ZUŻYCIE"),-AA130,0)))</f>
        <v>0</v>
      </c>
      <c r="AE130" s="19" t="n">
        <f aca="false">IF(E130="ZAKUP",IF(L130&lt;&gt;"",L130,IF(K130&lt;&gt;"",Z130*K130,0)),0)</f>
        <v>0</v>
      </c>
      <c r="AF130" s="19" t="n">
        <f aca="false">IF(E130="SPRZEDAŻ",IF(M130&lt;&gt;"",Z130*M130,0),0)</f>
        <v>0</v>
      </c>
      <c r="AG130" s="19" t="str">
        <f aca="false">IF(R130="","",IF(LOWER(R130)="brak","Brak",IF(OR(ISNUMBER(SEARCH("ric pl",LOWER(R130))),ISNUMBER(SEARCH("wojciechowski",LOWER(R130)))),"Własny","Zewnętrzny")))</f>
        <v>Zewnętrzny</v>
      </c>
      <c r="AH130" s="19" t="n">
        <f aca="false">Z130*Q130</f>
        <v>0</v>
      </c>
      <c r="AI130" s="19" t="str">
        <f aca="false">UPPER(TEXT(C130,"mmmm"))</f>
        <v>JULY</v>
      </c>
      <c r="AJ130" s="19" t="str">
        <f aca="false">IF(C130="","",TEXT(C130,"rrrr"))</f>
        <v>CE5786CE5786</v>
      </c>
      <c r="AK130" s="10"/>
      <c r="AL130" s="11" t="n">
        <v>600</v>
      </c>
      <c r="AM130" s="10" t="s">
        <v>314</v>
      </c>
      <c r="AN130" s="10" t="s">
        <v>49</v>
      </c>
      <c r="AO130" s="10"/>
      <c r="AP130" s="10"/>
      <c r="AQ130" s="10"/>
      <c r="AR130" s="10" t="s">
        <v>66</v>
      </c>
      <c r="AS130" s="10"/>
      <c r="AT130" s="15" t="n">
        <v>1</v>
      </c>
    </row>
    <row r="131" customFormat="false" ht="28.5" hidden="false" customHeight="true" outlineLevel="0" collapsed="false">
      <c r="A131" s="12" t="n">
        <v>46225</v>
      </c>
      <c r="B131" s="12" t="s">
        <v>106</v>
      </c>
      <c r="C131" s="12" t="n">
        <v>46225</v>
      </c>
      <c r="D131" s="10" t="s">
        <v>106</v>
      </c>
      <c r="E131" s="10" t="s">
        <v>107</v>
      </c>
      <c r="F131" s="22" t="s">
        <v>315</v>
      </c>
      <c r="G131" s="14" t="s">
        <v>49</v>
      </c>
      <c r="H131" s="10"/>
      <c r="I131" s="15" t="n">
        <v>70</v>
      </c>
      <c r="J131" s="10" t="s">
        <v>51</v>
      </c>
      <c r="K131" s="15" t="n">
        <v>0</v>
      </c>
      <c r="L131" s="11" t="n">
        <v>0</v>
      </c>
      <c r="M131" s="11" t="n">
        <v>0</v>
      </c>
      <c r="N131" s="10" t="s">
        <v>52</v>
      </c>
      <c r="O131" s="10" t="s">
        <v>67</v>
      </c>
      <c r="P131" s="10"/>
      <c r="Q131" s="16" t="n">
        <v>0</v>
      </c>
      <c r="R131" s="10" t="s">
        <v>72</v>
      </c>
      <c r="S131" s="10" t="s">
        <v>73</v>
      </c>
      <c r="T131" s="10" t="n">
        <v>40</v>
      </c>
      <c r="U131" s="11" t="n">
        <f aca="false">IF(E131="TRANSPORT",IF(T131="","",T131*5),IF(AL131="","",AL131))</f>
        <v>240</v>
      </c>
      <c r="V131" s="10" t="s">
        <v>54</v>
      </c>
      <c r="W131" s="15" t="s">
        <v>70</v>
      </c>
      <c r="X131" s="15" t="s">
        <v>106</v>
      </c>
      <c r="Y131" s="17" t="n">
        <v>46225.5626041667</v>
      </c>
      <c r="Z131" s="18" t="n">
        <f aca="false">IF(I131="",0,IF(ISNUMBER(SEARCH("mp",LOWER(J131))),I131,IF(ISNUMBER(SEARCH("ton",LOWER(J131))),I131/0.33,IF(ISNUMBER(SEARCH("m3",LOWER(J131))),I131*4,I131))))</f>
        <v>70</v>
      </c>
      <c r="AA131" s="18" t="n">
        <f aca="false">IF(I131="",0,IF(ISNUMBER(SEARCH("mp",LOWER(J131))),I131*0.33,IF(ISNUMBER(SEARCH("ton",LOWER(J131))),I131,I131*0.33)))</f>
        <v>23.1</v>
      </c>
      <c r="AB131" s="18" t="n">
        <f aca="false">Tabela_dane[[#This Row],[Wolumen_t]]*8.5</f>
        <v>196.35</v>
      </c>
      <c r="AC131" s="18" t="n">
        <f aca="false">IF(G131&lt;&gt;"TAK",0,IF(OR(E131="ZAKUP",E131="PRODUKCJA"),Z131,IF(OR(E131="SPRZEDAŻ",E131="ZUŻYCIE"),-Z131,0)))</f>
        <v>0</v>
      </c>
      <c r="AD131" s="18" t="n">
        <f aca="false">IF(G131&lt;&gt;"TAK",0,IF(OR(E131="ZAKUP",E131="PRODUKCJA"),AA131,IF(OR(E131="SPRZEDAŻ",E131="ZUŻYCIE"),-AA131,0)))</f>
        <v>0</v>
      </c>
      <c r="AE131" s="19" t="n">
        <f aca="false">IF(E131="ZAKUP",IF(L131&lt;&gt;"",L131,IF(K131&lt;&gt;"",Z131*K131,0)),0)</f>
        <v>0</v>
      </c>
      <c r="AF131" s="19" t="n">
        <f aca="false">IF(E131="SPRZEDAŻ",IF(M131&lt;&gt;"",Z131*M131,0),0)</f>
        <v>0</v>
      </c>
      <c r="AG131" s="19" t="str">
        <f aca="false">IF(R131="","",IF(LOWER(R131)="brak","Brak",IF(OR(ISNUMBER(SEARCH("ric pl",LOWER(R131))),ISNUMBER(SEARCH("wojciechowski",LOWER(R131)))),"Własny","Zewnętrzny")))</f>
        <v>Zewnętrzny</v>
      </c>
      <c r="AH131" s="19" t="n">
        <f aca="false">Z131*Q131</f>
        <v>0</v>
      </c>
      <c r="AI131" s="19" t="str">
        <f aca="false">UPPER(TEXT(C131,"mmmm"))</f>
        <v>JULY</v>
      </c>
      <c r="AJ131" s="19" t="str">
        <f aca="false">IF(C131="","",TEXT(C131,"rrrr"))</f>
        <v>CE5786CE5786</v>
      </c>
      <c r="AK131" s="10"/>
      <c r="AL131" s="11" t="n">
        <v>240</v>
      </c>
      <c r="AM131" s="10" t="s">
        <v>316</v>
      </c>
      <c r="AN131" s="10" t="s">
        <v>49</v>
      </c>
      <c r="AO131" s="10"/>
      <c r="AP131" s="10"/>
      <c r="AQ131" s="10"/>
      <c r="AR131" s="10" t="s">
        <v>66</v>
      </c>
      <c r="AS131" s="10"/>
      <c r="AT131" s="15" t="n">
        <v>1</v>
      </c>
    </row>
    <row r="132" customFormat="false" ht="28.5" hidden="false" customHeight="true" outlineLevel="0" collapsed="false">
      <c r="A132" s="12" t="n">
        <v>46225</v>
      </c>
      <c r="B132" s="12"/>
      <c r="C132" s="12" t="n">
        <v>46225</v>
      </c>
      <c r="D132" s="10" t="s">
        <v>304</v>
      </c>
      <c r="E132" s="10" t="s">
        <v>63</v>
      </c>
      <c r="F132" s="13" t="s">
        <v>317</v>
      </c>
      <c r="G132" s="14" t="s">
        <v>59</v>
      </c>
      <c r="H132" s="10" t="s">
        <v>50</v>
      </c>
      <c r="I132" s="15" t="n">
        <v>20.03</v>
      </c>
      <c r="J132" s="10" t="s">
        <v>77</v>
      </c>
      <c r="K132" s="15" t="n">
        <v>141</v>
      </c>
      <c r="L132" s="11" t="n">
        <v>2824.23</v>
      </c>
      <c r="M132" s="11" t="n">
        <v>0</v>
      </c>
      <c r="N132" s="10" t="s">
        <v>64</v>
      </c>
      <c r="O132" s="10" t="s">
        <v>67</v>
      </c>
      <c r="P132" s="10"/>
      <c r="Q132" s="16" t="n">
        <v>0</v>
      </c>
      <c r="R132" s="10"/>
      <c r="S132" s="10"/>
      <c r="T132" s="10" t="n">
        <v>0</v>
      </c>
      <c r="U132" s="11" t="n">
        <f aca="false">IF(E132="TRANSPORT",IF(T132="","",T132*5),IF(AL132="","",AL132))</f>
        <v>0</v>
      </c>
      <c r="V132" s="10" t="s">
        <v>54</v>
      </c>
      <c r="W132" s="15" t="s">
        <v>65</v>
      </c>
      <c r="X132" s="15"/>
      <c r="Y132" s="17" t="n">
        <v>46225.5663078704</v>
      </c>
      <c r="Z132" s="18" t="n">
        <f aca="false">IF(I132="",0,IF(ISNUMBER(SEARCH("mp",LOWER(J132))),I132,IF(ISNUMBER(SEARCH("ton",LOWER(J132))),I132/0.33,IF(ISNUMBER(SEARCH("m3",LOWER(J132))),I132*4,I132))))</f>
        <v>80.12</v>
      </c>
      <c r="AA132" s="18" t="n">
        <f aca="false">IF(I132="",0,IF(ISNUMBER(SEARCH("mp",LOWER(J132))),I132*0.33,IF(ISNUMBER(SEARCH("ton",LOWER(J132))),I132,I132*0.33)))</f>
        <v>6.6099</v>
      </c>
      <c r="AB132" s="18" t="n">
        <f aca="false">Tabela_dane[[#This Row],[Wolumen_t]]*8.5</f>
        <v>56.18415</v>
      </c>
      <c r="AC132" s="18" t="n">
        <f aca="false">IF(G132&lt;&gt;"TAK",0,IF(OR(E132="ZAKUP",E132="PRODUKCJA"),Z132,IF(OR(E132="SPRZEDAŻ",E132="ZUŻYCIE"),-Z132,0)))</f>
        <v>0</v>
      </c>
      <c r="AD132" s="18" t="n">
        <f aca="false">IF(G132&lt;&gt;"TAK",0,IF(OR(E132="ZAKUP",E132="PRODUKCJA"),AA132,IF(OR(E132="SPRZEDAŻ",E132="ZUŻYCIE"),-AA132,0)))</f>
        <v>0</v>
      </c>
      <c r="AE132" s="19" t="n">
        <f aca="false">IF(E132="ZAKUP",IF(L132&lt;&gt;"",L132,IF(K132&lt;&gt;"",Z132*K132,0)),0)</f>
        <v>2824.23</v>
      </c>
      <c r="AF132" s="19" t="n">
        <f aca="false">IF(E132="SPRZEDAŻ",IF(M132&lt;&gt;"",Z132*M132,0),0)</f>
        <v>0</v>
      </c>
      <c r="AG132" s="19" t="str">
        <f aca="false">IF(R132="","",IF(LOWER(R132)="brak","Brak",IF(OR(ISNUMBER(SEARCH("ric pl",LOWER(R132))),ISNUMBER(SEARCH("wojciechowski",LOWER(R132)))),"Własny","Zewnętrzny")))</f>
        <v/>
      </c>
      <c r="AH132" s="19" t="n">
        <f aca="false">Z132*Q132</f>
        <v>0</v>
      </c>
      <c r="AI132" s="19" t="str">
        <f aca="false">UPPER(TEXT(C132,"mmmm"))</f>
        <v>JULY</v>
      </c>
      <c r="AJ132" s="19" t="str">
        <f aca="false">IF(C132="","",TEXT(C132,"rrrr"))</f>
        <v>CE5786CE5786</v>
      </c>
      <c r="AK132" s="10"/>
      <c r="AL132" s="11" t="n">
        <v>0</v>
      </c>
      <c r="AM132" s="10" t="s">
        <v>318</v>
      </c>
      <c r="AN132" s="10" t="s">
        <v>59</v>
      </c>
      <c r="AO132" s="10"/>
      <c r="AP132" s="10"/>
      <c r="AQ132" s="10"/>
      <c r="AR132" s="10" t="s">
        <v>66</v>
      </c>
      <c r="AS132" s="10"/>
      <c r="AT132" s="15" t="n">
        <v>1</v>
      </c>
    </row>
    <row r="133" customFormat="false" ht="28.5" hidden="false" customHeight="true" outlineLevel="0" collapsed="false">
      <c r="A133" s="12" t="n">
        <v>46225</v>
      </c>
      <c r="B133" s="12"/>
      <c r="C133" s="12" t="n">
        <v>46225</v>
      </c>
      <c r="D133" s="10" t="s">
        <v>304</v>
      </c>
      <c r="E133" s="10" t="s">
        <v>47</v>
      </c>
      <c r="F133" s="13" t="s">
        <v>319</v>
      </c>
      <c r="G133" s="14" t="s">
        <v>59</v>
      </c>
      <c r="H133" s="10" t="s">
        <v>50</v>
      </c>
      <c r="I133" s="15" t="n">
        <v>80.12</v>
      </c>
      <c r="J133" s="10" t="s">
        <v>51</v>
      </c>
      <c r="K133" s="15" t="n">
        <v>0</v>
      </c>
      <c r="L133" s="11" t="n">
        <v>0</v>
      </c>
      <c r="M133" s="11" t="n">
        <v>0</v>
      </c>
      <c r="N133" s="10" t="s">
        <v>52</v>
      </c>
      <c r="O133" s="10" t="s">
        <v>67</v>
      </c>
      <c r="P133" s="10" t="s">
        <v>53</v>
      </c>
      <c r="Q133" s="16" t="n">
        <v>10</v>
      </c>
      <c r="R133" s="10"/>
      <c r="S133" s="10"/>
      <c r="T133" s="10" t="n">
        <v>0</v>
      </c>
      <c r="U133" s="11" t="n">
        <f aca="false">IF(E133="TRANSPORT",IF(T133="","",T133*5),IF(AL133="","",AL133))</f>
        <v>0</v>
      </c>
      <c r="V133" s="10" t="s">
        <v>54</v>
      </c>
      <c r="W133" s="15" t="s">
        <v>70</v>
      </c>
      <c r="X133" s="15"/>
      <c r="Y133" s="17" t="n">
        <v>46225.5672222222</v>
      </c>
      <c r="Z133" s="18" t="n">
        <f aca="false">IF(I133="",0,IF(ISNUMBER(SEARCH("mp",LOWER(J133))),I133,IF(ISNUMBER(SEARCH("ton",LOWER(J133))),I133/0.33,IF(ISNUMBER(SEARCH("m3",LOWER(J133))),I133*4,I133))))</f>
        <v>80.12</v>
      </c>
      <c r="AA133" s="18" t="n">
        <f aca="false">IF(I133="",0,IF(ISNUMBER(SEARCH("mp",LOWER(J133))),I133*0.33,IF(ISNUMBER(SEARCH("ton",LOWER(J133))),I133,I133*0.33)))</f>
        <v>26.4396</v>
      </c>
      <c r="AB133" s="18" t="n">
        <f aca="false">Tabela_dane[[#This Row],[Wolumen_t]]*8.5</f>
        <v>224.7366</v>
      </c>
      <c r="AC133" s="18" t="n">
        <f aca="false">IF(G133&lt;&gt;"TAK",0,IF(OR(E133="ZAKUP",E133="PRODUKCJA"),Z133,IF(OR(E133="SPRZEDAŻ",E133="ZUŻYCIE"),-Z133,0)))</f>
        <v>0</v>
      </c>
      <c r="AD133" s="18" t="n">
        <f aca="false">IF(G133&lt;&gt;"TAK",0,IF(OR(E133="ZAKUP",E133="PRODUKCJA"),AA133,IF(OR(E133="SPRZEDAŻ",E133="ZUŻYCIE"),-AA133,0)))</f>
        <v>0</v>
      </c>
      <c r="AE133" s="19" t="n">
        <f aca="false">IF(E133="ZAKUP",IF(L133&lt;&gt;"",L133,IF(K133&lt;&gt;"",Z133*K133,0)),0)</f>
        <v>0</v>
      </c>
      <c r="AF133" s="19" t="n">
        <f aca="false">IF(E133="SPRZEDAŻ",IF(M133&lt;&gt;"",Z133*M133,0),0)</f>
        <v>0</v>
      </c>
      <c r="AG133" s="19" t="str">
        <f aca="false">IF(R133="","",IF(LOWER(R133)="brak","Brak",IF(OR(ISNUMBER(SEARCH("ric pl",LOWER(R133))),ISNUMBER(SEARCH("wojciechowski",LOWER(R133)))),"Własny","Zewnętrzny")))</f>
        <v/>
      </c>
      <c r="AH133" s="19" t="n">
        <f aca="false">Z133*Q133</f>
        <v>801.2</v>
      </c>
      <c r="AI133" s="19" t="str">
        <f aca="false">UPPER(TEXT(C133,"mmmm"))</f>
        <v>JULY</v>
      </c>
      <c r="AJ133" s="19" t="str">
        <f aca="false">IF(C133="","",TEXT(C133,"rrrr"))</f>
        <v>CE5786CE5786</v>
      </c>
      <c r="AK133" s="10"/>
      <c r="AL133" s="11" t="n">
        <v>0</v>
      </c>
      <c r="AM133" s="10" t="s">
        <v>320</v>
      </c>
      <c r="AN133" s="10" t="s">
        <v>59</v>
      </c>
      <c r="AO133" s="10"/>
      <c r="AP133" s="10"/>
      <c r="AQ133" s="10"/>
      <c r="AR133" s="10" t="s">
        <v>66</v>
      </c>
      <c r="AS133" s="10"/>
      <c r="AT133" s="15" t="n">
        <v>1</v>
      </c>
    </row>
    <row r="134" customFormat="false" ht="28.5" hidden="false" customHeight="true" outlineLevel="0" collapsed="false">
      <c r="A134" s="12" t="n">
        <v>46225</v>
      </c>
      <c r="B134" s="12"/>
      <c r="C134" s="12" t="n">
        <v>46225</v>
      </c>
      <c r="D134" s="10" t="s">
        <v>304</v>
      </c>
      <c r="E134" s="10" t="s">
        <v>79</v>
      </c>
      <c r="F134" s="13" t="s">
        <v>319</v>
      </c>
      <c r="G134" s="14" t="s">
        <v>59</v>
      </c>
      <c r="H134" s="10" t="s">
        <v>50</v>
      </c>
      <c r="I134" s="15" t="n">
        <v>80.12</v>
      </c>
      <c r="J134" s="10" t="s">
        <v>51</v>
      </c>
      <c r="K134" s="15" t="n">
        <v>0</v>
      </c>
      <c r="L134" s="11" t="n">
        <v>0</v>
      </c>
      <c r="M134" s="11" t="n">
        <v>0</v>
      </c>
      <c r="N134" s="10" t="s">
        <v>52</v>
      </c>
      <c r="O134" s="10" t="s">
        <v>67</v>
      </c>
      <c r="P134" s="10" t="s">
        <v>53</v>
      </c>
      <c r="Q134" s="16" t="n">
        <v>10</v>
      </c>
      <c r="R134" s="10"/>
      <c r="S134" s="10"/>
      <c r="T134" s="10" t="n">
        <v>0</v>
      </c>
      <c r="U134" s="11" t="n">
        <f aca="false">IF(E134="TRANSPORT",IF(T134="","",T134*5),IF(AL134="","",AL134))</f>
        <v>0</v>
      </c>
      <c r="V134" s="10" t="s">
        <v>54</v>
      </c>
      <c r="W134" s="15" t="s">
        <v>260</v>
      </c>
      <c r="X134" s="15"/>
      <c r="Y134" s="17" t="n">
        <v>46225.5672222222</v>
      </c>
      <c r="Z134" s="18" t="n">
        <f aca="false">IF(I134="",0,IF(ISNUMBER(SEARCH("mp",LOWER(J134))),I134,IF(ISNUMBER(SEARCH("ton",LOWER(J134))),I134/0.33,IF(ISNUMBER(SEARCH("m3",LOWER(J134))),I134*4,I134))))</f>
        <v>80.12</v>
      </c>
      <c r="AA134" s="18" t="n">
        <f aca="false">IF(I134="",0,IF(ISNUMBER(SEARCH("mp",LOWER(J134))),I134*0.33,IF(ISNUMBER(SEARCH("ton",LOWER(J134))),I134,I134*0.33)))</f>
        <v>26.4396</v>
      </c>
      <c r="AB134" s="18" t="n">
        <f aca="false">Tabela_dane[[#This Row],[Wolumen_t]]*8.5</f>
        <v>224.7366</v>
      </c>
      <c r="AC134" s="18" t="n">
        <f aca="false">IF(G134&lt;&gt;"TAK",0,IF(OR(E134="ZAKUP",E134="PRODUKCJA"),Z134,IF(OR(E134="SPRZEDAŻ",E134="ZUŻYCIE"),-Z134,0)))</f>
        <v>0</v>
      </c>
      <c r="AD134" s="18" t="n">
        <f aca="false">IF(G134&lt;&gt;"TAK",0,IF(OR(E134="ZAKUP",E134="PRODUKCJA"),AA134,IF(OR(E134="SPRZEDAŻ",E134="ZUŻYCIE"),-AA134,0)))</f>
        <v>0</v>
      </c>
      <c r="AE134" s="19" t="n">
        <f aca="false">IF(E134="ZAKUP",IF(L134&lt;&gt;"",L134,IF(K134&lt;&gt;"",Z134*K134,0)),0)</f>
        <v>0</v>
      </c>
      <c r="AF134" s="19" t="n">
        <f aca="false">IF(E134="SPRZEDAŻ",IF(M134&lt;&gt;"",Z134*M134,0),0)</f>
        <v>0</v>
      </c>
      <c r="AG134" s="19" t="str">
        <f aca="false">IF(R134="","",IF(LOWER(R134)="brak","Brak",IF(OR(ISNUMBER(SEARCH("ric pl",LOWER(R134))),ISNUMBER(SEARCH("wojciechowski",LOWER(R134)))),"Własny","Zewnętrzny")))</f>
        <v/>
      </c>
      <c r="AH134" s="19" t="n">
        <f aca="false">Z134*Q134</f>
        <v>801.2</v>
      </c>
      <c r="AI134" s="19" t="str">
        <f aca="false">UPPER(TEXT(C134,"mmmm"))</f>
        <v>JULY</v>
      </c>
      <c r="AJ134" s="19" t="str">
        <f aca="false">IF(C134="","",TEXT(C134,"rrrr"))</f>
        <v>CE5786CE5786</v>
      </c>
      <c r="AK134" s="10"/>
      <c r="AL134" s="11" t="n">
        <v>0</v>
      </c>
      <c r="AM134" s="10" t="s">
        <v>320</v>
      </c>
      <c r="AN134" s="10" t="s">
        <v>59</v>
      </c>
      <c r="AO134" s="10"/>
      <c r="AP134" s="10"/>
      <c r="AQ134" s="10"/>
      <c r="AR134" s="10" t="s">
        <v>81</v>
      </c>
      <c r="AS134" s="10"/>
      <c r="AT134" s="15" t="n">
        <v>1</v>
      </c>
    </row>
    <row r="135" customFormat="false" ht="28.5" hidden="false" customHeight="true" outlineLevel="0" collapsed="false">
      <c r="A135" s="12" t="n">
        <v>46225</v>
      </c>
      <c r="B135" s="12" t="s">
        <v>309</v>
      </c>
      <c r="C135" s="12" t="n">
        <v>46225</v>
      </c>
      <c r="D135" s="10" t="s">
        <v>54</v>
      </c>
      <c r="E135" s="10" t="s">
        <v>63</v>
      </c>
      <c r="F135" s="13" t="s">
        <v>319</v>
      </c>
      <c r="G135" s="14" t="s">
        <v>49</v>
      </c>
      <c r="H135" s="10" t="s">
        <v>50</v>
      </c>
      <c r="I135" s="15" t="n">
        <v>80.12</v>
      </c>
      <c r="J135" s="10" t="s">
        <v>51</v>
      </c>
      <c r="K135" s="15" t="n">
        <v>0</v>
      </c>
      <c r="L135" s="11" t="n">
        <v>0</v>
      </c>
      <c r="M135" s="11" t="n">
        <v>0</v>
      </c>
      <c r="N135" s="10" t="s">
        <v>52</v>
      </c>
      <c r="O135" s="10" t="s">
        <v>67</v>
      </c>
      <c r="P135" s="10"/>
      <c r="Q135" s="16" t="n">
        <v>0</v>
      </c>
      <c r="R135" s="10" t="s">
        <v>94</v>
      </c>
      <c r="S135" s="10" t="s">
        <v>95</v>
      </c>
      <c r="T135" s="10" t="n">
        <v>122</v>
      </c>
      <c r="U135" s="11" t="n">
        <f aca="false">IF(E135="TRANSPORT",IF(T135="","",T135*5),IF(AL135="","",AL135))</f>
        <v>610</v>
      </c>
      <c r="V135" s="10" t="s">
        <v>54</v>
      </c>
      <c r="W135" s="15" t="s">
        <v>70</v>
      </c>
      <c r="X135" s="15"/>
      <c r="Y135" s="17" t="n">
        <v>46225.5682638889</v>
      </c>
      <c r="Z135" s="18" t="n">
        <f aca="false">IF(I135="",0,IF(ISNUMBER(SEARCH("mp",LOWER(J135))),I135,IF(ISNUMBER(SEARCH("ton",LOWER(J135))),I135/0.33,IF(ISNUMBER(SEARCH("m3",LOWER(J135))),I135*4,I135))))</f>
        <v>80.12</v>
      </c>
      <c r="AA135" s="18" t="n">
        <f aca="false">IF(I135="",0,IF(ISNUMBER(SEARCH("mp",LOWER(J135))),I135*0.33,IF(ISNUMBER(SEARCH("ton",LOWER(J135))),I135,I135*0.33)))</f>
        <v>26.4396</v>
      </c>
      <c r="AB135" s="18" t="n">
        <f aca="false">Tabela_dane[[#This Row],[Wolumen_t]]*8.5</f>
        <v>224.7366</v>
      </c>
      <c r="AC135" s="18" t="n">
        <f aca="false">IF(G135&lt;&gt;"TAK",0,IF(OR(E135="ZAKUP",E135="PRODUKCJA"),Z135,IF(OR(E135="SPRZEDAŻ",E135="ZUŻYCIE"),-Z135,0)))</f>
        <v>80.12</v>
      </c>
      <c r="AD135" s="18" t="n">
        <f aca="false">IF(G135&lt;&gt;"TAK",0,IF(OR(E135="ZAKUP",E135="PRODUKCJA"),AA135,IF(OR(E135="SPRZEDAŻ",E135="ZUŻYCIE"),-AA135,0)))</f>
        <v>26.4396</v>
      </c>
      <c r="AE135" s="19" t="n">
        <f aca="false">IF(E135="ZAKUP",IF(L135&lt;&gt;"",L135,IF(K135&lt;&gt;"",Z135*K135,0)),0)</f>
        <v>0</v>
      </c>
      <c r="AF135" s="19" t="n">
        <f aca="false">IF(E135="SPRZEDAŻ",IF(M135&lt;&gt;"",Z135*M135,0),0)</f>
        <v>0</v>
      </c>
      <c r="AG135" s="19" t="str">
        <f aca="false">IF(R135="","",IF(LOWER(R135)="brak","Brak",IF(OR(ISNUMBER(SEARCH("ric pl",LOWER(R135))),ISNUMBER(SEARCH("wojciechowski",LOWER(R135)))),"Własny","Zewnętrzny")))</f>
        <v>Zewnętrzny</v>
      </c>
      <c r="AH135" s="19" t="n">
        <f aca="false">Z135*Q135</f>
        <v>0</v>
      </c>
      <c r="AI135" s="19" t="str">
        <f aca="false">UPPER(TEXT(C135,"mmmm"))</f>
        <v>JULY</v>
      </c>
      <c r="AJ135" s="19" t="str">
        <f aca="false">IF(C135="","",TEXT(C135,"rrrr"))</f>
        <v>CE5786CE5786</v>
      </c>
      <c r="AK135" s="10"/>
      <c r="AL135" s="11" t="n">
        <v>610</v>
      </c>
      <c r="AM135" s="10" t="s">
        <v>321</v>
      </c>
      <c r="AN135" s="10" t="s">
        <v>49</v>
      </c>
      <c r="AO135" s="10"/>
      <c r="AP135" s="10"/>
      <c r="AQ135" s="10"/>
      <c r="AR135" s="10" t="s">
        <v>66</v>
      </c>
      <c r="AS135" s="10"/>
      <c r="AT135" s="15" t="n">
        <v>1</v>
      </c>
    </row>
    <row r="136" customFormat="false" ht="28.5" hidden="false" customHeight="true" outlineLevel="0" collapsed="false">
      <c r="A136" s="12" t="n">
        <v>46225</v>
      </c>
      <c r="B136" s="12"/>
      <c r="C136" s="12" t="n">
        <v>46225</v>
      </c>
      <c r="D136" s="10" t="s">
        <v>304</v>
      </c>
      <c r="E136" s="10" t="s">
        <v>63</v>
      </c>
      <c r="F136" s="13" t="s">
        <v>322</v>
      </c>
      <c r="G136" s="14" t="s">
        <v>59</v>
      </c>
      <c r="H136" s="10" t="s">
        <v>50</v>
      </c>
      <c r="I136" s="15" t="n">
        <v>20.03</v>
      </c>
      <c r="J136" s="10" t="s">
        <v>77</v>
      </c>
      <c r="K136" s="15" t="n">
        <v>141</v>
      </c>
      <c r="L136" s="11" t="n">
        <v>2824.23</v>
      </c>
      <c r="M136" s="11" t="n">
        <v>0</v>
      </c>
      <c r="N136" s="10" t="s">
        <v>64</v>
      </c>
      <c r="O136" s="10"/>
      <c r="P136" s="10"/>
      <c r="Q136" s="16" t="n">
        <v>0</v>
      </c>
      <c r="R136" s="10"/>
      <c r="S136" s="10"/>
      <c r="T136" s="10" t="n">
        <v>0</v>
      </c>
      <c r="U136" s="11" t="n">
        <f aca="false">IF(E136="TRANSPORT",IF(T136="","",T136*5),IF(AL136="","",AL136))</f>
        <v>0</v>
      </c>
      <c r="V136" s="10" t="s">
        <v>54</v>
      </c>
      <c r="W136" s="15" t="s">
        <v>70</v>
      </c>
      <c r="X136" s="15"/>
      <c r="Y136" s="17" t="n">
        <v>46226.3500115741</v>
      </c>
      <c r="Z136" s="18" t="n">
        <f aca="false">IF(I136="",0,IF(ISNUMBER(SEARCH("mp",LOWER(J136))),I136,IF(ISNUMBER(SEARCH("ton",LOWER(J136))),I136/0.33,IF(ISNUMBER(SEARCH("m3",LOWER(J136))),I136*4,I136))))</f>
        <v>80.12</v>
      </c>
      <c r="AA136" s="18" t="n">
        <f aca="false">IF(I136="",0,IF(ISNUMBER(SEARCH("mp",LOWER(J136))),I136*0.33,IF(ISNUMBER(SEARCH("ton",LOWER(J136))),I136,I136*0.33)))</f>
        <v>6.6099</v>
      </c>
      <c r="AB136" s="18" t="n">
        <f aca="false">Tabela_dane[[#This Row],[Wolumen_t]]*8.5</f>
        <v>56.18415</v>
      </c>
      <c r="AC136" s="18" t="n">
        <f aca="false">IF(G136&lt;&gt;"TAK",0,IF(OR(E136="ZAKUP",E136="PRODUKCJA"),Z136,IF(OR(E136="SPRZEDAŻ",E136="ZUŻYCIE"),-Z136,0)))</f>
        <v>0</v>
      </c>
      <c r="AD136" s="18" t="n">
        <f aca="false">IF(G136&lt;&gt;"TAK",0,IF(OR(E136="ZAKUP",E136="PRODUKCJA"),AA136,IF(OR(E136="SPRZEDAŻ",E136="ZUŻYCIE"),-AA136,0)))</f>
        <v>0</v>
      </c>
      <c r="AE136" s="19" t="n">
        <f aca="false">IF(E136="ZAKUP",IF(L136&lt;&gt;"",L136,IF(K136&lt;&gt;"",Z136*K136,0)),0)</f>
        <v>2824.23</v>
      </c>
      <c r="AF136" s="19" t="n">
        <f aca="false">IF(E136="SPRZEDAŻ",IF(M136&lt;&gt;"",Z136*M136,0),0)</f>
        <v>0</v>
      </c>
      <c r="AG136" s="19" t="str">
        <f aca="false">IF(R136="","",IF(LOWER(R136)="brak","Brak",IF(OR(ISNUMBER(SEARCH("ric pl",LOWER(R136))),ISNUMBER(SEARCH("wojciechowski",LOWER(R136)))),"Własny","Zewnętrzny")))</f>
        <v/>
      </c>
      <c r="AH136" s="19" t="n">
        <f aca="false">Z136*Q136</f>
        <v>0</v>
      </c>
      <c r="AI136" s="19" t="str">
        <f aca="false">UPPER(TEXT(C136,"mmmm"))</f>
        <v>JULY</v>
      </c>
      <c r="AJ136" s="19" t="str">
        <f aca="false">IF(C136="","",TEXT(C136,"rrrr"))</f>
        <v>CE5786CE5786</v>
      </c>
      <c r="AK136" s="10"/>
      <c r="AL136" s="11" t="n">
        <v>0</v>
      </c>
      <c r="AM136" s="10" t="s">
        <v>323</v>
      </c>
      <c r="AN136" s="10" t="s">
        <v>59</v>
      </c>
      <c r="AO136" s="10"/>
      <c r="AP136" s="10"/>
      <c r="AQ136" s="10"/>
      <c r="AR136" s="10" t="s">
        <v>66</v>
      </c>
      <c r="AS136" s="10"/>
      <c r="AT136" s="15" t="n">
        <v>1</v>
      </c>
    </row>
    <row r="137" customFormat="false" ht="28.5" hidden="false" customHeight="true" outlineLevel="0" collapsed="false">
      <c r="A137" s="12" t="n">
        <v>46225</v>
      </c>
      <c r="B137" s="12"/>
      <c r="C137" s="12" t="n">
        <v>46225</v>
      </c>
      <c r="D137" s="10" t="s">
        <v>304</v>
      </c>
      <c r="E137" s="10" t="s">
        <v>47</v>
      </c>
      <c r="F137" s="13" t="s">
        <v>324</v>
      </c>
      <c r="G137" s="14" t="s">
        <v>59</v>
      </c>
      <c r="H137" s="10" t="s">
        <v>50</v>
      </c>
      <c r="I137" s="15" t="n">
        <v>80.12</v>
      </c>
      <c r="J137" s="10" t="s">
        <v>51</v>
      </c>
      <c r="K137" s="15" t="n">
        <v>0</v>
      </c>
      <c r="L137" s="11" t="n">
        <v>0</v>
      </c>
      <c r="M137" s="11" t="n">
        <v>0</v>
      </c>
      <c r="N137" s="10" t="s">
        <v>52</v>
      </c>
      <c r="O137" s="10" t="s">
        <v>67</v>
      </c>
      <c r="P137" s="10" t="s">
        <v>53</v>
      </c>
      <c r="Q137" s="16" t="n">
        <v>10</v>
      </c>
      <c r="R137" s="10"/>
      <c r="S137" s="10"/>
      <c r="T137" s="10" t="n">
        <v>0</v>
      </c>
      <c r="U137" s="11" t="n">
        <f aca="false">IF(E137="TRANSPORT",IF(T137="","",T137*5),IF(AL137="","",AL137))</f>
        <v>0</v>
      </c>
      <c r="V137" s="10" t="s">
        <v>54</v>
      </c>
      <c r="W137" s="15" t="s">
        <v>70</v>
      </c>
      <c r="X137" s="15"/>
      <c r="Y137" s="17" t="n">
        <v>46226.3509375</v>
      </c>
      <c r="Z137" s="18" t="n">
        <f aca="false">IF(I137="",0,IF(ISNUMBER(SEARCH("mp",LOWER(J137))),I137,IF(ISNUMBER(SEARCH("ton",LOWER(J137))),I137/0.33,IF(ISNUMBER(SEARCH("m3",LOWER(J137))),I137*4,I137))))</f>
        <v>80.12</v>
      </c>
      <c r="AA137" s="18" t="n">
        <f aca="false">IF(I137="",0,IF(ISNUMBER(SEARCH("mp",LOWER(J137))),I137*0.33,IF(ISNUMBER(SEARCH("ton",LOWER(J137))),I137,I137*0.33)))</f>
        <v>26.4396</v>
      </c>
      <c r="AB137" s="18" t="n">
        <f aca="false">Tabela_dane[[#This Row],[Wolumen_t]]*8.5</f>
        <v>224.7366</v>
      </c>
      <c r="AC137" s="18" t="n">
        <f aca="false">IF(G137&lt;&gt;"TAK",0,IF(OR(E137="ZAKUP",E137="PRODUKCJA"),Z137,IF(OR(E137="SPRZEDAŻ",E137="ZUŻYCIE"),-Z137,0)))</f>
        <v>0</v>
      </c>
      <c r="AD137" s="18" t="n">
        <f aca="false">IF(G137&lt;&gt;"TAK",0,IF(OR(E137="ZAKUP",E137="PRODUKCJA"),AA137,IF(OR(E137="SPRZEDAŻ",E137="ZUŻYCIE"),-AA137,0)))</f>
        <v>0</v>
      </c>
      <c r="AE137" s="19" t="n">
        <f aca="false">IF(E137="ZAKUP",IF(L137&lt;&gt;"",L137,IF(K137&lt;&gt;"",Z137*K137,0)),0)</f>
        <v>0</v>
      </c>
      <c r="AF137" s="19" t="n">
        <f aca="false">IF(E137="SPRZEDAŻ",IF(M137&lt;&gt;"",Z137*M137,0),0)</f>
        <v>0</v>
      </c>
      <c r="AG137" s="19" t="str">
        <f aca="false">IF(R137="","",IF(LOWER(R137)="brak","Brak",IF(OR(ISNUMBER(SEARCH("ric pl",LOWER(R137))),ISNUMBER(SEARCH("wojciechowski",LOWER(R137)))),"Własny","Zewnętrzny")))</f>
        <v/>
      </c>
      <c r="AH137" s="19" t="n">
        <f aca="false">Z137*Q137</f>
        <v>801.2</v>
      </c>
      <c r="AI137" s="19" t="str">
        <f aca="false">UPPER(TEXT(C137,"mmmm"))</f>
        <v>JULY</v>
      </c>
      <c r="AJ137" s="19" t="str">
        <f aca="false">IF(C137="","",TEXT(C137,"rrrr"))</f>
        <v>CE5786CE5786</v>
      </c>
      <c r="AK137" s="10"/>
      <c r="AL137" s="11" t="n">
        <v>0</v>
      </c>
      <c r="AM137" s="10" t="s">
        <v>325</v>
      </c>
      <c r="AN137" s="10" t="s">
        <v>59</v>
      </c>
      <c r="AO137" s="10"/>
      <c r="AP137" s="10"/>
      <c r="AQ137" s="10"/>
      <c r="AR137" s="10" t="s">
        <v>66</v>
      </c>
      <c r="AS137" s="10"/>
      <c r="AT137" s="15" t="n">
        <v>1</v>
      </c>
    </row>
    <row r="138" customFormat="false" ht="28.5" hidden="false" customHeight="true" outlineLevel="0" collapsed="false">
      <c r="A138" s="12" t="n">
        <v>46225</v>
      </c>
      <c r="B138" s="12"/>
      <c r="C138" s="12" t="n">
        <v>46225</v>
      </c>
      <c r="D138" s="10" t="s">
        <v>304</v>
      </c>
      <c r="E138" s="10" t="s">
        <v>79</v>
      </c>
      <c r="F138" s="13" t="s">
        <v>324</v>
      </c>
      <c r="G138" s="14" t="s">
        <v>59</v>
      </c>
      <c r="H138" s="10" t="s">
        <v>50</v>
      </c>
      <c r="I138" s="15" t="n">
        <v>80.12</v>
      </c>
      <c r="J138" s="10" t="s">
        <v>51</v>
      </c>
      <c r="K138" s="15" t="n">
        <v>0</v>
      </c>
      <c r="L138" s="11" t="n">
        <v>0</v>
      </c>
      <c r="M138" s="11" t="n">
        <v>0</v>
      </c>
      <c r="N138" s="10" t="s">
        <v>52</v>
      </c>
      <c r="O138" s="10" t="s">
        <v>67</v>
      </c>
      <c r="P138" s="10" t="s">
        <v>53</v>
      </c>
      <c r="Q138" s="16" t="n">
        <v>10</v>
      </c>
      <c r="R138" s="10"/>
      <c r="S138" s="10"/>
      <c r="T138" s="10" t="n">
        <v>0</v>
      </c>
      <c r="U138" s="11" t="n">
        <f aca="false">IF(E138="TRANSPORT",IF(T138="","",T138*5),IF(AL138="","",AL138))</f>
        <v>0</v>
      </c>
      <c r="V138" s="10" t="s">
        <v>54</v>
      </c>
      <c r="W138" s="15" t="s">
        <v>260</v>
      </c>
      <c r="X138" s="15"/>
      <c r="Y138" s="17" t="n">
        <v>46226.3509490741</v>
      </c>
      <c r="Z138" s="18" t="n">
        <f aca="false">IF(I138="",0,IF(ISNUMBER(SEARCH("mp",LOWER(J138))),I138,IF(ISNUMBER(SEARCH("ton",LOWER(J138))),I138/0.33,IF(ISNUMBER(SEARCH("m3",LOWER(J138))),I138*4,I138))))</f>
        <v>80.12</v>
      </c>
      <c r="AA138" s="18" t="n">
        <f aca="false">IF(I138="",0,IF(ISNUMBER(SEARCH("mp",LOWER(J138))),I138*0.33,IF(ISNUMBER(SEARCH("ton",LOWER(J138))),I138,I138*0.33)))</f>
        <v>26.4396</v>
      </c>
      <c r="AB138" s="18" t="n">
        <f aca="false">Tabela_dane[[#This Row],[Wolumen_t]]*8.5</f>
        <v>224.7366</v>
      </c>
      <c r="AC138" s="18" t="n">
        <f aca="false">IF(G138&lt;&gt;"TAK",0,IF(OR(E138="ZAKUP",E138="PRODUKCJA"),Z138,IF(OR(E138="SPRZEDAŻ",E138="ZUŻYCIE"),-Z138,0)))</f>
        <v>0</v>
      </c>
      <c r="AD138" s="18" t="n">
        <f aca="false">IF(G138&lt;&gt;"TAK",0,IF(OR(E138="ZAKUP",E138="PRODUKCJA"),AA138,IF(OR(E138="SPRZEDAŻ",E138="ZUŻYCIE"),-AA138,0)))</f>
        <v>0</v>
      </c>
      <c r="AE138" s="19" t="n">
        <f aca="false">IF(E138="ZAKUP",IF(L138&lt;&gt;"",L138,IF(K138&lt;&gt;"",Z138*K138,0)),0)</f>
        <v>0</v>
      </c>
      <c r="AF138" s="19" t="n">
        <f aca="false">IF(E138="SPRZEDAŻ",IF(M138&lt;&gt;"",Z138*M138,0),0)</f>
        <v>0</v>
      </c>
      <c r="AG138" s="19" t="str">
        <f aca="false">IF(R138="","",IF(LOWER(R138)="brak","Brak",IF(OR(ISNUMBER(SEARCH("ric pl",LOWER(R138))),ISNUMBER(SEARCH("wojciechowski",LOWER(R138)))),"Własny","Zewnętrzny")))</f>
        <v/>
      </c>
      <c r="AH138" s="19" t="n">
        <f aca="false">Z138*Q138</f>
        <v>801.2</v>
      </c>
      <c r="AI138" s="19" t="str">
        <f aca="false">UPPER(TEXT(C138,"mmmm"))</f>
        <v>JULY</v>
      </c>
      <c r="AJ138" s="19" t="str">
        <f aca="false">IF(C138="","",TEXT(C138,"rrrr"))</f>
        <v>CE5786CE5786</v>
      </c>
      <c r="AK138" s="10"/>
      <c r="AL138" s="11" t="n">
        <v>0</v>
      </c>
      <c r="AM138" s="10" t="s">
        <v>325</v>
      </c>
      <c r="AN138" s="10" t="s">
        <v>59</v>
      </c>
      <c r="AO138" s="10"/>
      <c r="AP138" s="10"/>
      <c r="AQ138" s="10"/>
      <c r="AR138" s="10" t="s">
        <v>81</v>
      </c>
      <c r="AS138" s="10"/>
      <c r="AT138" s="15" t="n">
        <v>1</v>
      </c>
    </row>
    <row r="139" customFormat="false" ht="28.5" hidden="false" customHeight="true" outlineLevel="0" collapsed="false">
      <c r="A139" s="12" t="n">
        <v>46225</v>
      </c>
      <c r="B139" s="12" t="s">
        <v>309</v>
      </c>
      <c r="C139" s="12" t="n">
        <v>46225</v>
      </c>
      <c r="D139" s="10" t="s">
        <v>54</v>
      </c>
      <c r="E139" s="10" t="s">
        <v>63</v>
      </c>
      <c r="F139" s="13" t="s">
        <v>324</v>
      </c>
      <c r="G139" s="14" t="s">
        <v>49</v>
      </c>
      <c r="H139" s="10" t="s">
        <v>50</v>
      </c>
      <c r="I139" s="15" t="n">
        <v>80.12</v>
      </c>
      <c r="J139" s="10" t="s">
        <v>51</v>
      </c>
      <c r="K139" s="15" t="n">
        <v>0</v>
      </c>
      <c r="L139" s="11" t="n">
        <v>0</v>
      </c>
      <c r="M139" s="11" t="n">
        <v>0</v>
      </c>
      <c r="N139" s="10" t="s">
        <v>52</v>
      </c>
      <c r="O139" s="10" t="s">
        <v>67</v>
      </c>
      <c r="P139" s="10"/>
      <c r="Q139" s="16" t="n">
        <v>0</v>
      </c>
      <c r="R139" s="10" t="s">
        <v>68</v>
      </c>
      <c r="S139" s="10" t="s">
        <v>69</v>
      </c>
      <c r="T139" s="10" t="n">
        <v>122</v>
      </c>
      <c r="U139" s="11" t="n">
        <f aca="false">IF(E139="TRANSPORT",IF(T139="","",T139*5),IF(AL139="","",AL139))</f>
        <v>610</v>
      </c>
      <c r="V139" s="10" t="s">
        <v>54</v>
      </c>
      <c r="W139" s="15" t="s">
        <v>70</v>
      </c>
      <c r="X139" s="15"/>
      <c r="Y139" s="17" t="n">
        <v>46226.3521180556</v>
      </c>
      <c r="Z139" s="18" t="n">
        <f aca="false">IF(I139="",0,IF(ISNUMBER(SEARCH("mp",LOWER(J139))),I139,IF(ISNUMBER(SEARCH("ton",LOWER(J139))),I139/0.33,IF(ISNUMBER(SEARCH("m3",LOWER(J139))),I139*4,I139))))</f>
        <v>80.12</v>
      </c>
      <c r="AA139" s="18" t="n">
        <f aca="false">IF(I139="",0,IF(ISNUMBER(SEARCH("mp",LOWER(J139))),I139*0.33,IF(ISNUMBER(SEARCH("ton",LOWER(J139))),I139,I139*0.33)))</f>
        <v>26.4396</v>
      </c>
      <c r="AB139" s="18" t="n">
        <f aca="false">Tabela_dane[[#This Row],[Wolumen_t]]*8.5</f>
        <v>224.7366</v>
      </c>
      <c r="AC139" s="18" t="n">
        <f aca="false">IF(G139&lt;&gt;"TAK",0,IF(OR(E139="ZAKUP",E139="PRODUKCJA"),Z139,IF(OR(E139="SPRZEDAŻ",E139="ZUŻYCIE"),-Z139,0)))</f>
        <v>80.12</v>
      </c>
      <c r="AD139" s="18" t="n">
        <f aca="false">IF(G139&lt;&gt;"TAK",0,IF(OR(E139="ZAKUP",E139="PRODUKCJA"),AA139,IF(OR(E139="SPRZEDAŻ",E139="ZUŻYCIE"),-AA139,0)))</f>
        <v>26.4396</v>
      </c>
      <c r="AE139" s="19" t="n">
        <f aca="false">IF(E139="ZAKUP",IF(L139&lt;&gt;"",L139,IF(K139&lt;&gt;"",Z139*K139,0)),0)</f>
        <v>0</v>
      </c>
      <c r="AF139" s="19" t="n">
        <f aca="false">IF(E139="SPRZEDAŻ",IF(M139&lt;&gt;"",Z139*M139,0),0)</f>
        <v>0</v>
      </c>
      <c r="AG139" s="19" t="str">
        <f aca="false">IF(R139="","",IF(LOWER(R139)="brak","Brak",IF(OR(ISNUMBER(SEARCH("ric pl",LOWER(R139))),ISNUMBER(SEARCH("wojciechowski",LOWER(R139)))),"Własny","Zewnętrzny")))</f>
        <v>Zewnętrzny</v>
      </c>
      <c r="AH139" s="19" t="n">
        <f aca="false">Z139*Q139</f>
        <v>0</v>
      </c>
      <c r="AI139" s="19" t="str">
        <f aca="false">UPPER(TEXT(C139,"mmmm"))</f>
        <v>JULY</v>
      </c>
      <c r="AJ139" s="19" t="str">
        <f aca="false">IF(C139="","",TEXT(C139,"rrrr"))</f>
        <v>CE5786CE5786</v>
      </c>
      <c r="AK139" s="10"/>
      <c r="AL139" s="11" t="n">
        <v>610</v>
      </c>
      <c r="AM139" s="10" t="s">
        <v>326</v>
      </c>
      <c r="AN139" s="10" t="s">
        <v>49</v>
      </c>
      <c r="AO139" s="10"/>
      <c r="AP139" s="10"/>
      <c r="AQ139" s="10"/>
      <c r="AR139" s="10" t="s">
        <v>66</v>
      </c>
      <c r="AS139" s="10"/>
      <c r="AT139" s="15" t="n">
        <v>1</v>
      </c>
    </row>
    <row r="140" customFormat="false" ht="28.5" hidden="false" customHeight="true" outlineLevel="0" collapsed="false">
      <c r="A140" s="12" t="n">
        <v>46225</v>
      </c>
      <c r="B140" s="12"/>
      <c r="C140" s="12" t="n">
        <v>46225</v>
      </c>
      <c r="D140" s="10" t="s">
        <v>304</v>
      </c>
      <c r="E140" s="10" t="s">
        <v>63</v>
      </c>
      <c r="F140" s="13" t="s">
        <v>327</v>
      </c>
      <c r="G140" s="14" t="s">
        <v>59</v>
      </c>
      <c r="H140" s="10" t="s">
        <v>50</v>
      </c>
      <c r="I140" s="15" t="n">
        <v>20.03</v>
      </c>
      <c r="J140" s="10" t="s">
        <v>77</v>
      </c>
      <c r="K140" s="15" t="n">
        <v>141</v>
      </c>
      <c r="L140" s="11" t="n">
        <v>2824.23</v>
      </c>
      <c r="M140" s="11" t="n">
        <v>0</v>
      </c>
      <c r="N140" s="10" t="s">
        <v>64</v>
      </c>
      <c r="O140" s="10"/>
      <c r="P140" s="10"/>
      <c r="Q140" s="16" t="n">
        <v>0</v>
      </c>
      <c r="R140" s="10"/>
      <c r="S140" s="10"/>
      <c r="T140" s="10" t="n">
        <v>0</v>
      </c>
      <c r="U140" s="11" t="n">
        <f aca="false">IF(E140="TRANSPORT",IF(T140="","",T140*5),IF(AL140="","",AL140))</f>
        <v>0</v>
      </c>
      <c r="V140" s="10" t="s">
        <v>54</v>
      </c>
      <c r="W140" s="15" t="s">
        <v>70</v>
      </c>
      <c r="X140" s="15"/>
      <c r="Y140" s="17" t="n">
        <v>46226.353287037</v>
      </c>
      <c r="Z140" s="18" t="n">
        <f aca="false">IF(I140="",0,IF(ISNUMBER(SEARCH("mp",LOWER(J140))),I140,IF(ISNUMBER(SEARCH("ton",LOWER(J140))),I140/0.33,IF(ISNUMBER(SEARCH("m3",LOWER(J140))),I140*4,I140))))</f>
        <v>80.12</v>
      </c>
      <c r="AA140" s="18" t="n">
        <f aca="false">IF(I140="",0,IF(ISNUMBER(SEARCH("mp",LOWER(J140))),I140*0.33,IF(ISNUMBER(SEARCH("ton",LOWER(J140))),I140,I140*0.33)))</f>
        <v>6.6099</v>
      </c>
      <c r="AB140" s="18" t="n">
        <f aca="false">Tabela_dane[[#This Row],[Wolumen_t]]*8.5</f>
        <v>56.18415</v>
      </c>
      <c r="AC140" s="18" t="n">
        <f aca="false">IF(G140&lt;&gt;"TAK",0,IF(OR(E140="ZAKUP",E140="PRODUKCJA"),Z140,IF(OR(E140="SPRZEDAŻ",E140="ZUŻYCIE"),-Z140,0)))</f>
        <v>0</v>
      </c>
      <c r="AD140" s="18" t="n">
        <f aca="false">IF(G140&lt;&gt;"TAK",0,IF(OR(E140="ZAKUP",E140="PRODUKCJA"),AA140,IF(OR(E140="SPRZEDAŻ",E140="ZUŻYCIE"),-AA140,0)))</f>
        <v>0</v>
      </c>
      <c r="AE140" s="19" t="n">
        <f aca="false">IF(E140="ZAKUP",IF(L140&lt;&gt;"",L140,IF(K140&lt;&gt;"",Z140*K140,0)),0)</f>
        <v>2824.23</v>
      </c>
      <c r="AF140" s="19" t="n">
        <f aca="false">IF(E140="SPRZEDAŻ",IF(M140&lt;&gt;"",Z140*M140,0),0)</f>
        <v>0</v>
      </c>
      <c r="AG140" s="19" t="str">
        <f aca="false">IF(R140="","",IF(LOWER(R140)="brak","Brak",IF(OR(ISNUMBER(SEARCH("ric pl",LOWER(R140))),ISNUMBER(SEARCH("wojciechowski",LOWER(R140)))),"Własny","Zewnętrzny")))</f>
        <v/>
      </c>
      <c r="AH140" s="19" t="n">
        <f aca="false">Z140*Q140</f>
        <v>0</v>
      </c>
      <c r="AI140" s="19" t="str">
        <f aca="false">UPPER(TEXT(C140,"mmmm"))</f>
        <v>JULY</v>
      </c>
      <c r="AJ140" s="19" t="str">
        <f aca="false">IF(C140="","",TEXT(C140,"rrrr"))</f>
        <v>CE5786CE5786</v>
      </c>
      <c r="AK140" s="10"/>
      <c r="AL140" s="11" t="n">
        <v>0</v>
      </c>
      <c r="AM140" s="10" t="s">
        <v>328</v>
      </c>
      <c r="AN140" s="10" t="s">
        <v>59</v>
      </c>
      <c r="AO140" s="10"/>
      <c r="AP140" s="10"/>
      <c r="AQ140" s="10"/>
      <c r="AR140" s="10" t="s">
        <v>66</v>
      </c>
      <c r="AS140" s="10"/>
      <c r="AT140" s="15" t="n">
        <v>1</v>
      </c>
    </row>
    <row r="141" customFormat="false" ht="28.5" hidden="false" customHeight="true" outlineLevel="0" collapsed="false">
      <c r="A141" s="12" t="n">
        <v>46225</v>
      </c>
      <c r="B141" s="12"/>
      <c r="C141" s="12" t="n">
        <v>46225</v>
      </c>
      <c r="D141" s="10" t="s">
        <v>304</v>
      </c>
      <c r="E141" s="10" t="s">
        <v>47</v>
      </c>
      <c r="F141" s="13" t="s">
        <v>329</v>
      </c>
      <c r="G141" s="14" t="s">
        <v>59</v>
      </c>
      <c r="H141" s="10" t="s">
        <v>50</v>
      </c>
      <c r="I141" s="15" t="n">
        <v>80.12</v>
      </c>
      <c r="J141" s="10" t="s">
        <v>51</v>
      </c>
      <c r="K141" s="15" t="n">
        <v>0</v>
      </c>
      <c r="L141" s="11" t="n">
        <v>0</v>
      </c>
      <c r="M141" s="11" t="n">
        <v>0</v>
      </c>
      <c r="N141" s="10" t="s">
        <v>52</v>
      </c>
      <c r="O141" s="10" t="s">
        <v>67</v>
      </c>
      <c r="P141" s="10" t="s">
        <v>53</v>
      </c>
      <c r="Q141" s="16" t="n">
        <v>10</v>
      </c>
      <c r="R141" s="10"/>
      <c r="S141" s="10"/>
      <c r="T141" s="10" t="n">
        <v>0</v>
      </c>
      <c r="U141" s="11" t="n">
        <f aca="false">IF(E141="TRANSPORT",IF(T141="","",T141*5),IF(AL141="","",AL141))</f>
        <v>0</v>
      </c>
      <c r="V141" s="10" t="s">
        <v>54</v>
      </c>
      <c r="W141" s="15" t="s">
        <v>70</v>
      </c>
      <c r="X141" s="15"/>
      <c r="Y141" s="17" t="n">
        <v>46226.3543634259</v>
      </c>
      <c r="Z141" s="18" t="n">
        <f aca="false">IF(I141="",0,IF(ISNUMBER(SEARCH("mp",LOWER(J141))),I141,IF(ISNUMBER(SEARCH("ton",LOWER(J141))),I141/0.33,IF(ISNUMBER(SEARCH("m3",LOWER(J141))),I141*4,I141))))</f>
        <v>80.12</v>
      </c>
      <c r="AA141" s="18" t="n">
        <f aca="false">IF(I141="",0,IF(ISNUMBER(SEARCH("mp",LOWER(J141))),I141*0.33,IF(ISNUMBER(SEARCH("ton",LOWER(J141))),I141,I141*0.33)))</f>
        <v>26.4396</v>
      </c>
      <c r="AB141" s="18" t="n">
        <f aca="false">Tabela_dane[[#This Row],[Wolumen_t]]*8.5</f>
        <v>224.7366</v>
      </c>
      <c r="AC141" s="18" t="n">
        <f aca="false">IF(G141&lt;&gt;"TAK",0,IF(OR(E141="ZAKUP",E141="PRODUKCJA"),Z141,IF(OR(E141="SPRZEDAŻ",E141="ZUŻYCIE"),-Z141,0)))</f>
        <v>0</v>
      </c>
      <c r="AD141" s="18" t="n">
        <f aca="false">IF(G141&lt;&gt;"TAK",0,IF(OR(E141="ZAKUP",E141="PRODUKCJA"),AA141,IF(OR(E141="SPRZEDAŻ",E141="ZUŻYCIE"),-AA141,0)))</f>
        <v>0</v>
      </c>
      <c r="AE141" s="19" t="n">
        <f aca="false">IF(E141="ZAKUP",IF(L141&lt;&gt;"",L141,IF(K141&lt;&gt;"",Z141*K141,0)),0)</f>
        <v>0</v>
      </c>
      <c r="AF141" s="19" t="n">
        <f aca="false">IF(E141="SPRZEDAŻ",IF(M141&lt;&gt;"",Z141*M141,0),0)</f>
        <v>0</v>
      </c>
      <c r="AG141" s="19" t="str">
        <f aca="false">IF(R141="","",IF(LOWER(R141)="brak","Brak",IF(OR(ISNUMBER(SEARCH("ric pl",LOWER(R141))),ISNUMBER(SEARCH("wojciechowski",LOWER(R141)))),"Własny","Zewnętrzny")))</f>
        <v/>
      </c>
      <c r="AH141" s="19" t="n">
        <f aca="false">Z141*Q141</f>
        <v>801.2</v>
      </c>
      <c r="AI141" s="19" t="str">
        <f aca="false">UPPER(TEXT(C141,"mmmm"))</f>
        <v>JULY</v>
      </c>
      <c r="AJ141" s="19" t="str">
        <f aca="false">IF(C141="","",TEXT(C141,"rrrr"))</f>
        <v>CE5786CE5786</v>
      </c>
      <c r="AK141" s="10"/>
      <c r="AL141" s="11" t="n">
        <v>0</v>
      </c>
      <c r="AM141" s="10" t="s">
        <v>330</v>
      </c>
      <c r="AN141" s="10" t="s">
        <v>59</v>
      </c>
      <c r="AO141" s="10"/>
      <c r="AP141" s="10"/>
      <c r="AQ141" s="10"/>
      <c r="AR141" s="10" t="s">
        <v>66</v>
      </c>
      <c r="AS141" s="10"/>
      <c r="AT141" s="15" t="n">
        <v>1</v>
      </c>
    </row>
    <row r="142" customFormat="false" ht="28.5" hidden="false" customHeight="true" outlineLevel="0" collapsed="false">
      <c r="A142" s="12" t="n">
        <v>46225</v>
      </c>
      <c r="B142" s="12"/>
      <c r="C142" s="12" t="n">
        <v>46225</v>
      </c>
      <c r="D142" s="10" t="s">
        <v>304</v>
      </c>
      <c r="E142" s="10" t="s">
        <v>79</v>
      </c>
      <c r="F142" s="13" t="s">
        <v>329</v>
      </c>
      <c r="G142" s="14" t="s">
        <v>59</v>
      </c>
      <c r="H142" s="10" t="s">
        <v>50</v>
      </c>
      <c r="I142" s="15" t="n">
        <v>80.12</v>
      </c>
      <c r="J142" s="10" t="s">
        <v>51</v>
      </c>
      <c r="K142" s="15" t="n">
        <v>0</v>
      </c>
      <c r="L142" s="11" t="n">
        <v>0</v>
      </c>
      <c r="M142" s="11" t="n">
        <v>0</v>
      </c>
      <c r="N142" s="10" t="s">
        <v>52</v>
      </c>
      <c r="O142" s="10" t="s">
        <v>67</v>
      </c>
      <c r="P142" s="10" t="s">
        <v>53</v>
      </c>
      <c r="Q142" s="16" t="n">
        <v>10</v>
      </c>
      <c r="R142" s="10"/>
      <c r="S142" s="10"/>
      <c r="T142" s="10" t="n">
        <v>0</v>
      </c>
      <c r="U142" s="11" t="n">
        <f aca="false">IF(E142="TRANSPORT",IF(T142="","",T142*5),IF(AL142="","",AL142))</f>
        <v>0</v>
      </c>
      <c r="V142" s="10" t="s">
        <v>54</v>
      </c>
      <c r="W142" s="15" t="s">
        <v>260</v>
      </c>
      <c r="X142" s="15"/>
      <c r="Y142" s="17" t="n">
        <v>46226.3543634259</v>
      </c>
      <c r="Z142" s="18" t="n">
        <f aca="false">IF(I142="",0,IF(ISNUMBER(SEARCH("mp",LOWER(J142))),I142,IF(ISNUMBER(SEARCH("ton",LOWER(J142))),I142/0.33,IF(ISNUMBER(SEARCH("m3",LOWER(J142))),I142*4,I142))))</f>
        <v>80.12</v>
      </c>
      <c r="AA142" s="18" t="n">
        <f aca="false">IF(I142="",0,IF(ISNUMBER(SEARCH("mp",LOWER(J142))),I142*0.33,IF(ISNUMBER(SEARCH("ton",LOWER(J142))),I142,I142*0.33)))</f>
        <v>26.4396</v>
      </c>
      <c r="AB142" s="18" t="n">
        <f aca="false">Tabela_dane[[#This Row],[Wolumen_t]]*8.5</f>
        <v>224.7366</v>
      </c>
      <c r="AC142" s="18" t="n">
        <f aca="false">IF(G142&lt;&gt;"TAK",0,IF(OR(E142="ZAKUP",E142="PRODUKCJA"),Z142,IF(OR(E142="SPRZEDAŻ",E142="ZUŻYCIE"),-Z142,0)))</f>
        <v>0</v>
      </c>
      <c r="AD142" s="18" t="n">
        <f aca="false">IF(G142&lt;&gt;"TAK",0,IF(OR(E142="ZAKUP",E142="PRODUKCJA"),AA142,IF(OR(E142="SPRZEDAŻ",E142="ZUŻYCIE"),-AA142,0)))</f>
        <v>0</v>
      </c>
      <c r="AE142" s="19" t="n">
        <f aca="false">IF(E142="ZAKUP",IF(L142&lt;&gt;"",L142,IF(K142&lt;&gt;"",Z142*K142,0)),0)</f>
        <v>0</v>
      </c>
      <c r="AF142" s="19" t="n">
        <f aca="false">IF(E142="SPRZEDAŻ",IF(M142&lt;&gt;"",Z142*M142,0),0)</f>
        <v>0</v>
      </c>
      <c r="AG142" s="19" t="str">
        <f aca="false">IF(R142="","",IF(LOWER(R142)="brak","Brak",IF(OR(ISNUMBER(SEARCH("ric pl",LOWER(R142))),ISNUMBER(SEARCH("wojciechowski",LOWER(R142)))),"Własny","Zewnętrzny")))</f>
        <v/>
      </c>
      <c r="AH142" s="19" t="n">
        <f aca="false">Z142*Q142</f>
        <v>801.2</v>
      </c>
      <c r="AI142" s="19" t="str">
        <f aca="false">UPPER(TEXT(C142,"mmmm"))</f>
        <v>JULY</v>
      </c>
      <c r="AJ142" s="19" t="str">
        <f aca="false">IF(C142="","",TEXT(C142,"rrrr"))</f>
        <v>CE5786CE5786</v>
      </c>
      <c r="AK142" s="10"/>
      <c r="AL142" s="11" t="n">
        <v>0</v>
      </c>
      <c r="AM142" s="10" t="s">
        <v>330</v>
      </c>
      <c r="AN142" s="10" t="s">
        <v>59</v>
      </c>
      <c r="AO142" s="10"/>
      <c r="AP142" s="10"/>
      <c r="AQ142" s="10"/>
      <c r="AR142" s="10" t="s">
        <v>81</v>
      </c>
      <c r="AS142" s="10"/>
      <c r="AT142" s="15" t="n">
        <v>1</v>
      </c>
    </row>
    <row r="143" customFormat="false" ht="28.5" hidden="false" customHeight="true" outlineLevel="0" collapsed="false">
      <c r="A143" s="12" t="n">
        <v>46225</v>
      </c>
      <c r="B143" s="12" t="s">
        <v>309</v>
      </c>
      <c r="C143" s="12" t="n">
        <v>46225</v>
      </c>
      <c r="D143" s="10" t="s">
        <v>54</v>
      </c>
      <c r="E143" s="10" t="s">
        <v>63</v>
      </c>
      <c r="F143" s="13" t="s">
        <v>329</v>
      </c>
      <c r="G143" s="14" t="s">
        <v>49</v>
      </c>
      <c r="H143" s="10" t="s">
        <v>50</v>
      </c>
      <c r="I143" s="15" t="n">
        <v>80.12</v>
      </c>
      <c r="J143" s="10" t="s">
        <v>51</v>
      </c>
      <c r="K143" s="15" t="n">
        <v>0</v>
      </c>
      <c r="L143" s="11" t="n">
        <v>0</v>
      </c>
      <c r="M143" s="11" t="n">
        <v>0</v>
      </c>
      <c r="N143" s="10" t="s">
        <v>52</v>
      </c>
      <c r="O143" s="10" t="s">
        <v>67</v>
      </c>
      <c r="P143" s="10"/>
      <c r="Q143" s="16" t="n">
        <v>0</v>
      </c>
      <c r="R143" s="10" t="s">
        <v>94</v>
      </c>
      <c r="S143" s="10" t="s">
        <v>95</v>
      </c>
      <c r="T143" s="10" t="n">
        <v>610</v>
      </c>
      <c r="U143" s="11" t="n">
        <f aca="false">IF(E143="TRANSPORT",IF(T143="","",T143*5),IF(AL143="","",AL143))</f>
        <v>122</v>
      </c>
      <c r="V143" s="10" t="s">
        <v>54</v>
      </c>
      <c r="W143" s="15" t="s">
        <v>70</v>
      </c>
      <c r="X143" s="15"/>
      <c r="Y143" s="17" t="n">
        <v>46226.3552777778</v>
      </c>
      <c r="Z143" s="18" t="n">
        <f aca="false">IF(I143="",0,IF(ISNUMBER(SEARCH("mp",LOWER(J143))),I143,IF(ISNUMBER(SEARCH("ton",LOWER(J143))),I143/0.33,IF(ISNUMBER(SEARCH("m3",LOWER(J143))),I143*4,I143))))</f>
        <v>80.12</v>
      </c>
      <c r="AA143" s="18" t="n">
        <f aca="false">IF(I143="",0,IF(ISNUMBER(SEARCH("mp",LOWER(J143))),I143*0.33,IF(ISNUMBER(SEARCH("ton",LOWER(J143))),I143,I143*0.33)))</f>
        <v>26.4396</v>
      </c>
      <c r="AB143" s="18" t="n">
        <f aca="false">Tabela_dane[[#This Row],[Wolumen_t]]*8.5</f>
        <v>224.7366</v>
      </c>
      <c r="AC143" s="18" t="n">
        <f aca="false">IF(G143&lt;&gt;"TAK",0,IF(OR(E143="ZAKUP",E143="PRODUKCJA"),Z143,IF(OR(E143="SPRZEDAŻ",E143="ZUŻYCIE"),-Z143,0)))</f>
        <v>80.12</v>
      </c>
      <c r="AD143" s="18" t="n">
        <f aca="false">IF(G143&lt;&gt;"TAK",0,IF(OR(E143="ZAKUP",E143="PRODUKCJA"),AA143,IF(OR(E143="SPRZEDAŻ",E143="ZUŻYCIE"),-AA143,0)))</f>
        <v>26.4396</v>
      </c>
      <c r="AE143" s="19" t="n">
        <f aca="false">IF(E143="ZAKUP",IF(L143&lt;&gt;"",L143,IF(K143&lt;&gt;"",Z143*K143,0)),0)</f>
        <v>0</v>
      </c>
      <c r="AF143" s="19" t="n">
        <f aca="false">IF(E143="SPRZEDAŻ",IF(M143&lt;&gt;"",Z143*M143,0),0)</f>
        <v>0</v>
      </c>
      <c r="AG143" s="19" t="str">
        <f aca="false">IF(R143="","",IF(LOWER(R143)="brak","Brak",IF(OR(ISNUMBER(SEARCH("ric pl",LOWER(R143))),ISNUMBER(SEARCH("wojciechowski",LOWER(R143)))),"Własny","Zewnętrzny")))</f>
        <v>Zewnętrzny</v>
      </c>
      <c r="AH143" s="19" t="n">
        <f aca="false">Z143*Q143</f>
        <v>0</v>
      </c>
      <c r="AI143" s="19" t="str">
        <f aca="false">UPPER(TEXT(C143,"mmmm"))</f>
        <v>JULY</v>
      </c>
      <c r="AJ143" s="19" t="str">
        <f aca="false">IF(C143="","",TEXT(C143,"rrrr"))</f>
        <v>CE5786CE5786</v>
      </c>
      <c r="AK143" s="10"/>
      <c r="AL143" s="11" t="n">
        <v>122</v>
      </c>
      <c r="AM143" s="10" t="s">
        <v>331</v>
      </c>
      <c r="AN143" s="10" t="s">
        <v>49</v>
      </c>
      <c r="AO143" s="10"/>
      <c r="AP143" s="10"/>
      <c r="AQ143" s="10"/>
      <c r="AR143" s="10" t="s">
        <v>66</v>
      </c>
      <c r="AS143" s="10"/>
      <c r="AT143" s="15" t="n">
        <v>1</v>
      </c>
    </row>
    <row r="144" customFormat="false" ht="28.5" hidden="false" customHeight="true" outlineLevel="0" collapsed="false">
      <c r="A144" s="12" t="n">
        <v>46225</v>
      </c>
      <c r="B144" s="12"/>
      <c r="C144" s="12" t="n">
        <v>46225</v>
      </c>
      <c r="D144" s="10" t="s">
        <v>304</v>
      </c>
      <c r="E144" s="10" t="s">
        <v>63</v>
      </c>
      <c r="F144" s="13" t="s">
        <v>332</v>
      </c>
      <c r="G144" s="14" t="s">
        <v>59</v>
      </c>
      <c r="H144" s="10" t="s">
        <v>50</v>
      </c>
      <c r="I144" s="15" t="n">
        <v>20.03</v>
      </c>
      <c r="J144" s="10" t="s">
        <v>77</v>
      </c>
      <c r="K144" s="15" t="n">
        <v>141</v>
      </c>
      <c r="L144" s="11" t="n">
        <v>2824.23</v>
      </c>
      <c r="M144" s="11" t="n">
        <v>0</v>
      </c>
      <c r="N144" s="10" t="s">
        <v>64</v>
      </c>
      <c r="O144" s="10"/>
      <c r="P144" s="10"/>
      <c r="Q144" s="16" t="n">
        <v>0</v>
      </c>
      <c r="R144" s="10"/>
      <c r="S144" s="10"/>
      <c r="T144" s="10" t="n">
        <v>0</v>
      </c>
      <c r="U144" s="11" t="n">
        <f aca="false">IF(E144="TRANSPORT",IF(T144="","",T144*5),IF(AL144="","",AL144))</f>
        <v>0</v>
      </c>
      <c r="V144" s="10" t="s">
        <v>54</v>
      </c>
      <c r="W144" s="15" t="s">
        <v>70</v>
      </c>
      <c r="X144" s="15"/>
      <c r="Y144" s="17" t="n">
        <v>46226.360474537</v>
      </c>
      <c r="Z144" s="18" t="n">
        <f aca="false">IF(I144="",0,IF(ISNUMBER(SEARCH("mp",LOWER(J144))),I144,IF(ISNUMBER(SEARCH("ton",LOWER(J144))),I144/0.33,IF(ISNUMBER(SEARCH("m3",LOWER(J144))),I144*4,I144))))</f>
        <v>80.12</v>
      </c>
      <c r="AA144" s="18" t="n">
        <f aca="false">IF(I144="",0,IF(ISNUMBER(SEARCH("mp",LOWER(J144))),I144*0.33,IF(ISNUMBER(SEARCH("ton",LOWER(J144))),I144,I144*0.33)))</f>
        <v>6.6099</v>
      </c>
      <c r="AB144" s="18" t="n">
        <f aca="false">Tabela_dane[[#This Row],[Wolumen_t]]*8.5</f>
        <v>56.18415</v>
      </c>
      <c r="AC144" s="18" t="n">
        <f aca="false">IF(G144&lt;&gt;"TAK",0,IF(OR(E144="ZAKUP",E144="PRODUKCJA"),Z144,IF(OR(E144="SPRZEDAŻ",E144="ZUŻYCIE"),-Z144,0)))</f>
        <v>0</v>
      </c>
      <c r="AD144" s="18" t="n">
        <f aca="false">IF(G144&lt;&gt;"TAK",0,IF(OR(E144="ZAKUP",E144="PRODUKCJA"),AA144,IF(OR(E144="SPRZEDAŻ",E144="ZUŻYCIE"),-AA144,0)))</f>
        <v>0</v>
      </c>
      <c r="AE144" s="19" t="n">
        <f aca="false">IF(E144="ZAKUP",IF(L144&lt;&gt;"",L144,IF(K144&lt;&gt;"",Z144*K144,0)),0)</f>
        <v>2824.23</v>
      </c>
      <c r="AF144" s="19" t="n">
        <f aca="false">IF(E144="SPRZEDAŻ",IF(M144&lt;&gt;"",Z144*M144,0),0)</f>
        <v>0</v>
      </c>
      <c r="AG144" s="19" t="str">
        <f aca="false">IF(R144="","",IF(LOWER(R144)="brak","Brak",IF(OR(ISNUMBER(SEARCH("ric pl",LOWER(R144))),ISNUMBER(SEARCH("wojciechowski",LOWER(R144)))),"Własny","Zewnętrzny")))</f>
        <v/>
      </c>
      <c r="AH144" s="19" t="n">
        <f aca="false">Z144*Q144</f>
        <v>0</v>
      </c>
      <c r="AI144" s="19" t="str">
        <f aca="false">UPPER(TEXT(C144,"mmmm"))</f>
        <v>JULY</v>
      </c>
      <c r="AJ144" s="19" t="str">
        <f aca="false">IF(C144="","",TEXT(C144,"rrrr"))</f>
        <v>CE5786CE5786</v>
      </c>
      <c r="AK144" s="10"/>
      <c r="AL144" s="11" t="n">
        <v>0</v>
      </c>
      <c r="AM144" s="10" t="s">
        <v>333</v>
      </c>
      <c r="AN144" s="10" t="s">
        <v>59</v>
      </c>
      <c r="AO144" s="10"/>
      <c r="AP144" s="10"/>
      <c r="AQ144" s="10"/>
      <c r="AR144" s="10" t="s">
        <v>66</v>
      </c>
      <c r="AS144" s="10"/>
      <c r="AT144" s="15" t="n">
        <v>1</v>
      </c>
    </row>
    <row r="145" customFormat="false" ht="28.5" hidden="false" customHeight="true" outlineLevel="0" collapsed="false">
      <c r="A145" s="12" t="n">
        <v>46225</v>
      </c>
      <c r="B145" s="12"/>
      <c r="C145" s="12" t="n">
        <v>46225</v>
      </c>
      <c r="D145" s="10" t="s">
        <v>304</v>
      </c>
      <c r="E145" s="10" t="s">
        <v>47</v>
      </c>
      <c r="F145" s="13" t="s">
        <v>334</v>
      </c>
      <c r="G145" s="14" t="s">
        <v>59</v>
      </c>
      <c r="H145" s="10" t="s">
        <v>50</v>
      </c>
      <c r="I145" s="15" t="n">
        <v>80.12</v>
      </c>
      <c r="J145" s="10" t="s">
        <v>51</v>
      </c>
      <c r="K145" s="15" t="n">
        <v>0</v>
      </c>
      <c r="L145" s="11" t="n">
        <v>0</v>
      </c>
      <c r="M145" s="11" t="n">
        <v>0</v>
      </c>
      <c r="N145" s="10" t="s">
        <v>52</v>
      </c>
      <c r="O145" s="10" t="s">
        <v>67</v>
      </c>
      <c r="P145" s="10" t="s">
        <v>53</v>
      </c>
      <c r="Q145" s="16" t="n">
        <v>10</v>
      </c>
      <c r="R145" s="10"/>
      <c r="S145" s="10"/>
      <c r="T145" s="10" t="n">
        <v>0</v>
      </c>
      <c r="U145" s="11" t="n">
        <f aca="false">IF(E145="TRANSPORT",IF(T145="","",T145*5),IF(AL145="","",AL145))</f>
        <v>0</v>
      </c>
      <c r="V145" s="10" t="s">
        <v>54</v>
      </c>
      <c r="W145" s="15" t="s">
        <v>70</v>
      </c>
      <c r="X145" s="15"/>
      <c r="Y145" s="17" t="n">
        <v>46226.3611921296</v>
      </c>
      <c r="Z145" s="18" t="n">
        <f aca="false">IF(I145="",0,IF(ISNUMBER(SEARCH("mp",LOWER(J145))),I145,IF(ISNUMBER(SEARCH("ton",LOWER(J145))),I145/0.33,IF(ISNUMBER(SEARCH("m3",LOWER(J145))),I145*4,I145))))</f>
        <v>80.12</v>
      </c>
      <c r="AA145" s="18" t="n">
        <f aca="false">IF(I145="",0,IF(ISNUMBER(SEARCH("mp",LOWER(J145))),I145*0.33,IF(ISNUMBER(SEARCH("ton",LOWER(J145))),I145,I145*0.33)))</f>
        <v>26.4396</v>
      </c>
      <c r="AB145" s="18" t="n">
        <f aca="false">Tabela_dane[[#This Row],[Wolumen_t]]*8.5</f>
        <v>224.7366</v>
      </c>
      <c r="AC145" s="18" t="n">
        <f aca="false">IF(G145&lt;&gt;"TAK",0,IF(OR(E145="ZAKUP",E145="PRODUKCJA"),Z145,IF(OR(E145="SPRZEDAŻ",E145="ZUŻYCIE"),-Z145,0)))</f>
        <v>0</v>
      </c>
      <c r="AD145" s="18" t="n">
        <f aca="false">IF(G145&lt;&gt;"TAK",0,IF(OR(E145="ZAKUP",E145="PRODUKCJA"),AA145,IF(OR(E145="SPRZEDAŻ",E145="ZUŻYCIE"),-AA145,0)))</f>
        <v>0</v>
      </c>
      <c r="AE145" s="19" t="n">
        <f aca="false">IF(E145="ZAKUP",IF(L145&lt;&gt;"",L145,IF(K145&lt;&gt;"",Z145*K145,0)),0)</f>
        <v>0</v>
      </c>
      <c r="AF145" s="19" t="n">
        <f aca="false">IF(E145="SPRZEDAŻ",IF(M145&lt;&gt;"",Z145*M145,0),0)</f>
        <v>0</v>
      </c>
      <c r="AG145" s="19" t="str">
        <f aca="false">IF(R145="","",IF(LOWER(R145)="brak","Brak",IF(OR(ISNUMBER(SEARCH("ric pl",LOWER(R145))),ISNUMBER(SEARCH("wojciechowski",LOWER(R145)))),"Własny","Zewnętrzny")))</f>
        <v/>
      </c>
      <c r="AH145" s="19" t="n">
        <f aca="false">Z145*Q145</f>
        <v>801.2</v>
      </c>
      <c r="AI145" s="19" t="str">
        <f aca="false">UPPER(TEXT(C145,"mmmm"))</f>
        <v>JULY</v>
      </c>
      <c r="AJ145" s="19" t="str">
        <f aca="false">IF(C145="","",TEXT(C145,"rrrr"))</f>
        <v>CE5786CE5786</v>
      </c>
      <c r="AK145" s="10"/>
      <c r="AL145" s="11" t="n">
        <v>0</v>
      </c>
      <c r="AM145" s="10" t="s">
        <v>335</v>
      </c>
      <c r="AN145" s="10" t="s">
        <v>59</v>
      </c>
      <c r="AO145" s="10"/>
      <c r="AP145" s="10"/>
      <c r="AQ145" s="10"/>
      <c r="AR145" s="10" t="s">
        <v>66</v>
      </c>
      <c r="AS145" s="10"/>
      <c r="AT145" s="15" t="n">
        <v>1</v>
      </c>
    </row>
    <row r="146" customFormat="false" ht="28.5" hidden="false" customHeight="true" outlineLevel="0" collapsed="false">
      <c r="A146" s="12" t="n">
        <v>46225</v>
      </c>
      <c r="B146" s="12"/>
      <c r="C146" s="12" t="n">
        <v>46225</v>
      </c>
      <c r="D146" s="10" t="s">
        <v>304</v>
      </c>
      <c r="E146" s="10" t="s">
        <v>79</v>
      </c>
      <c r="F146" s="13" t="s">
        <v>334</v>
      </c>
      <c r="G146" s="14" t="s">
        <v>59</v>
      </c>
      <c r="H146" s="10" t="s">
        <v>50</v>
      </c>
      <c r="I146" s="15" t="n">
        <v>80.12</v>
      </c>
      <c r="J146" s="10" t="s">
        <v>51</v>
      </c>
      <c r="K146" s="15" t="n">
        <v>0</v>
      </c>
      <c r="L146" s="11" t="n">
        <v>0</v>
      </c>
      <c r="M146" s="11" t="n">
        <v>0</v>
      </c>
      <c r="N146" s="10" t="s">
        <v>52</v>
      </c>
      <c r="O146" s="10" t="s">
        <v>67</v>
      </c>
      <c r="P146" s="10" t="s">
        <v>53</v>
      </c>
      <c r="Q146" s="16" t="n">
        <v>10</v>
      </c>
      <c r="R146" s="10"/>
      <c r="S146" s="10"/>
      <c r="T146" s="10" t="n">
        <v>0</v>
      </c>
      <c r="U146" s="11" t="n">
        <f aca="false">IF(E146="TRANSPORT",IF(T146="","",T146*5),IF(AL146="","",AL146))</f>
        <v>0</v>
      </c>
      <c r="V146" s="10" t="s">
        <v>54</v>
      </c>
      <c r="W146" s="15" t="s">
        <v>260</v>
      </c>
      <c r="X146" s="15"/>
      <c r="Y146" s="17" t="n">
        <v>46226.3611921296</v>
      </c>
      <c r="Z146" s="18" t="n">
        <f aca="false">IF(I146="",0,IF(ISNUMBER(SEARCH("mp",LOWER(J146))),I146,IF(ISNUMBER(SEARCH("ton",LOWER(J146))),I146/0.33,IF(ISNUMBER(SEARCH("m3",LOWER(J146))),I146*4,I146))))</f>
        <v>80.12</v>
      </c>
      <c r="AA146" s="18" t="n">
        <f aca="false">IF(I146="",0,IF(ISNUMBER(SEARCH("mp",LOWER(J146))),I146*0.33,IF(ISNUMBER(SEARCH("ton",LOWER(J146))),I146,I146*0.33)))</f>
        <v>26.4396</v>
      </c>
      <c r="AB146" s="18" t="n">
        <f aca="false">Tabela_dane[[#This Row],[Wolumen_t]]*8.5</f>
        <v>224.7366</v>
      </c>
      <c r="AC146" s="18" t="n">
        <f aca="false">IF(G146&lt;&gt;"TAK",0,IF(OR(E146="ZAKUP",E146="PRODUKCJA"),Z146,IF(OR(E146="SPRZEDAŻ",E146="ZUŻYCIE"),-Z146,0)))</f>
        <v>0</v>
      </c>
      <c r="AD146" s="18" t="n">
        <f aca="false">IF(G146&lt;&gt;"TAK",0,IF(OR(E146="ZAKUP",E146="PRODUKCJA"),AA146,IF(OR(E146="SPRZEDAŻ",E146="ZUŻYCIE"),-AA146,0)))</f>
        <v>0</v>
      </c>
      <c r="AE146" s="19" t="n">
        <f aca="false">IF(E146="ZAKUP",IF(L146&lt;&gt;"",L146,IF(K146&lt;&gt;"",Z146*K146,0)),0)</f>
        <v>0</v>
      </c>
      <c r="AF146" s="19" t="n">
        <f aca="false">IF(E146="SPRZEDAŻ",IF(M146&lt;&gt;"",Z146*M146,0),0)</f>
        <v>0</v>
      </c>
      <c r="AG146" s="19" t="str">
        <f aca="false">IF(R146="","",IF(LOWER(R146)="brak","Brak",IF(OR(ISNUMBER(SEARCH("ric pl",LOWER(R146))),ISNUMBER(SEARCH("wojciechowski",LOWER(R146)))),"Własny","Zewnętrzny")))</f>
        <v/>
      </c>
      <c r="AH146" s="19" t="n">
        <f aca="false">Z146*Q146</f>
        <v>801.2</v>
      </c>
      <c r="AI146" s="19" t="str">
        <f aca="false">UPPER(TEXT(C146,"mmmm"))</f>
        <v>JULY</v>
      </c>
      <c r="AJ146" s="19" t="str">
        <f aca="false">IF(C146="","",TEXT(C146,"rrrr"))</f>
        <v>CE5786CE5786</v>
      </c>
      <c r="AK146" s="10"/>
      <c r="AL146" s="11" t="n">
        <v>0</v>
      </c>
      <c r="AM146" s="10" t="s">
        <v>335</v>
      </c>
      <c r="AN146" s="10" t="s">
        <v>59</v>
      </c>
      <c r="AO146" s="10"/>
      <c r="AP146" s="10"/>
      <c r="AQ146" s="10"/>
      <c r="AR146" s="10" t="s">
        <v>81</v>
      </c>
      <c r="AS146" s="10"/>
      <c r="AT146" s="15" t="n">
        <v>1</v>
      </c>
    </row>
    <row r="147" customFormat="false" ht="28.5" hidden="false" customHeight="true" outlineLevel="0" collapsed="false">
      <c r="A147" s="12" t="n">
        <v>46225</v>
      </c>
      <c r="B147" s="12" t="s">
        <v>309</v>
      </c>
      <c r="C147" s="12" t="n">
        <v>46225</v>
      </c>
      <c r="D147" s="10" t="s">
        <v>54</v>
      </c>
      <c r="E147" s="10" t="s">
        <v>63</v>
      </c>
      <c r="F147" s="13" t="s">
        <v>334</v>
      </c>
      <c r="G147" s="14" t="s">
        <v>49</v>
      </c>
      <c r="H147" s="10" t="s">
        <v>50</v>
      </c>
      <c r="I147" s="15" t="n">
        <v>80.12</v>
      </c>
      <c r="J147" s="10" t="s">
        <v>51</v>
      </c>
      <c r="K147" s="15" t="n">
        <v>0</v>
      </c>
      <c r="L147" s="11" t="n">
        <v>0</v>
      </c>
      <c r="M147" s="11" t="n">
        <v>0</v>
      </c>
      <c r="N147" s="10" t="s">
        <v>52</v>
      </c>
      <c r="O147" s="10" t="s">
        <v>67</v>
      </c>
      <c r="P147" s="10"/>
      <c r="Q147" s="16" t="n">
        <v>0</v>
      </c>
      <c r="R147" s="10" t="s">
        <v>97</v>
      </c>
      <c r="S147" s="10" t="s">
        <v>196</v>
      </c>
      <c r="T147" s="10" t="n">
        <v>122</v>
      </c>
      <c r="U147" s="11" t="n">
        <f aca="false">IF(E147="TRANSPORT",IF(T147="","",T147*5),IF(AL147="","",AL147))</f>
        <v>800</v>
      </c>
      <c r="V147" s="10" t="s">
        <v>54</v>
      </c>
      <c r="W147" s="15" t="s">
        <v>65</v>
      </c>
      <c r="X147" s="15"/>
      <c r="Y147" s="17" t="n">
        <v>46226.3626273148</v>
      </c>
      <c r="Z147" s="18" t="n">
        <f aca="false">IF(I147="",0,IF(ISNUMBER(SEARCH("mp",LOWER(J147))),I147,IF(ISNUMBER(SEARCH("ton",LOWER(J147))),I147/0.33,IF(ISNUMBER(SEARCH("m3",LOWER(J147))),I147*4,I147))))</f>
        <v>80.12</v>
      </c>
      <c r="AA147" s="18" t="n">
        <f aca="false">IF(I147="",0,IF(ISNUMBER(SEARCH("mp",LOWER(J147))),I147*0.33,IF(ISNUMBER(SEARCH("ton",LOWER(J147))),I147,I147*0.33)))</f>
        <v>26.4396</v>
      </c>
      <c r="AB147" s="18" t="n">
        <f aca="false">Tabela_dane[[#This Row],[Wolumen_t]]*8.5</f>
        <v>224.7366</v>
      </c>
      <c r="AC147" s="18" t="n">
        <f aca="false">IF(G147&lt;&gt;"TAK",0,IF(OR(E147="ZAKUP",E147="PRODUKCJA"),Z147,IF(OR(E147="SPRZEDAŻ",E147="ZUŻYCIE"),-Z147,0)))</f>
        <v>80.12</v>
      </c>
      <c r="AD147" s="18" t="n">
        <f aca="false">IF(G147&lt;&gt;"TAK",0,IF(OR(E147="ZAKUP",E147="PRODUKCJA"),AA147,IF(OR(E147="SPRZEDAŻ",E147="ZUŻYCIE"),-AA147,0)))</f>
        <v>26.4396</v>
      </c>
      <c r="AE147" s="19" t="n">
        <f aca="false">IF(E147="ZAKUP",IF(L147&lt;&gt;"",L147,IF(K147&lt;&gt;"",Z147*K147,0)),0)</f>
        <v>0</v>
      </c>
      <c r="AF147" s="19" t="n">
        <f aca="false">IF(E147="SPRZEDAŻ",IF(M147&lt;&gt;"",Z147*M147,0),0)</f>
        <v>0</v>
      </c>
      <c r="AG147" s="19" t="str">
        <f aca="false">IF(R147="","",IF(LOWER(R147)="brak","Brak",IF(OR(ISNUMBER(SEARCH("ric pl",LOWER(R147))),ISNUMBER(SEARCH("wojciechowski",LOWER(R147)))),"Własny","Zewnętrzny")))</f>
        <v>Zewnętrzny</v>
      </c>
      <c r="AH147" s="19" t="n">
        <f aca="false">Z147*Q147</f>
        <v>0</v>
      </c>
      <c r="AI147" s="19" t="str">
        <f aca="false">UPPER(TEXT(C147,"mmmm"))</f>
        <v>JULY</v>
      </c>
      <c r="AJ147" s="19" t="str">
        <f aca="false">IF(C147="","",TEXT(C147,"rrrr"))</f>
        <v>CE5786CE5786</v>
      </c>
      <c r="AK147" s="10"/>
      <c r="AL147" s="11" t="n">
        <v>800</v>
      </c>
      <c r="AM147" s="10" t="s">
        <v>336</v>
      </c>
      <c r="AN147" s="10" t="s">
        <v>49</v>
      </c>
      <c r="AO147" s="10"/>
      <c r="AP147" s="10"/>
      <c r="AQ147" s="10"/>
      <c r="AR147" s="10" t="s">
        <v>66</v>
      </c>
      <c r="AS147" s="10"/>
      <c r="AT147" s="15" t="n">
        <v>1</v>
      </c>
    </row>
    <row r="148" s="33" customFormat="true" ht="28.5" hidden="false" customHeight="true" outlineLevel="0" collapsed="false">
      <c r="A148" s="12" t="n">
        <v>46225</v>
      </c>
      <c r="B148" s="12"/>
      <c r="C148" s="12" t="n">
        <v>46225</v>
      </c>
      <c r="D148" s="10" t="s">
        <v>304</v>
      </c>
      <c r="E148" s="10" t="s">
        <v>63</v>
      </c>
      <c r="F148" s="13" t="s">
        <v>337</v>
      </c>
      <c r="G148" s="14" t="s">
        <v>59</v>
      </c>
      <c r="H148" s="10" t="s">
        <v>50</v>
      </c>
      <c r="I148" s="15" t="n">
        <v>20.03</v>
      </c>
      <c r="J148" s="10" t="s">
        <v>77</v>
      </c>
      <c r="K148" s="15" t="n">
        <v>141</v>
      </c>
      <c r="L148" s="11" t="n">
        <v>2824.23</v>
      </c>
      <c r="M148" s="11" t="n">
        <v>0</v>
      </c>
      <c r="N148" s="10" t="s">
        <v>64</v>
      </c>
      <c r="O148" s="10"/>
      <c r="P148" s="10"/>
      <c r="Q148" s="16" t="n">
        <v>0</v>
      </c>
      <c r="R148" s="10"/>
      <c r="S148" s="10"/>
      <c r="T148" s="10" t="n">
        <v>0</v>
      </c>
      <c r="U148" s="11" t="n">
        <f aca="false">IF(E148="TRANSPORT",IF(T148="","",T148*5),IF(AL148="","",AL148))</f>
        <v>0</v>
      </c>
      <c r="V148" s="10" t="s">
        <v>54</v>
      </c>
      <c r="W148" s="15" t="s">
        <v>70</v>
      </c>
      <c r="X148" s="15"/>
      <c r="Y148" s="17" t="n">
        <v>46226.3634259259</v>
      </c>
      <c r="Z148" s="18" t="n">
        <f aca="false">IF(I148="",0,IF(ISNUMBER(SEARCH("mp",LOWER(J148))),I148,IF(ISNUMBER(SEARCH("ton",LOWER(J148))),I148/0.33,IF(ISNUMBER(SEARCH("m3",LOWER(J148))),I148*4,I148))))</f>
        <v>80.12</v>
      </c>
      <c r="AA148" s="18" t="n">
        <f aca="false">IF(I148="",0,IF(ISNUMBER(SEARCH("mp",LOWER(J148))),I148*0.33,IF(ISNUMBER(SEARCH("ton",LOWER(J148))),I148,I148*0.33)))</f>
        <v>6.6099</v>
      </c>
      <c r="AB148" s="18" t="n">
        <f aca="false">Tabela_dane[[#This Row],[Wolumen_t]]*8.5</f>
        <v>56.18415</v>
      </c>
      <c r="AC148" s="18" t="n">
        <f aca="false">IF(G148&lt;&gt;"TAK",0,IF(OR(E148="ZAKUP",E148="PRODUKCJA"),Z148,IF(OR(E148="SPRZEDAŻ",E148="ZUŻYCIE"),-Z148,0)))</f>
        <v>0</v>
      </c>
      <c r="AD148" s="18" t="n">
        <f aca="false">IF(G148&lt;&gt;"TAK",0,IF(OR(E148="ZAKUP",E148="PRODUKCJA"),AA148,IF(OR(E148="SPRZEDAŻ",E148="ZUŻYCIE"),-AA148,0)))</f>
        <v>0</v>
      </c>
      <c r="AE148" s="19" t="n">
        <f aca="false">IF(E148="ZAKUP",IF(L148&lt;&gt;"",L148,IF(K148&lt;&gt;"",Z148*K148,0)),0)</f>
        <v>2824.23</v>
      </c>
      <c r="AF148" s="19" t="n">
        <f aca="false">IF(E148="SPRZEDAŻ",IF(M148&lt;&gt;"",Z148*M148,0),0)</f>
        <v>0</v>
      </c>
      <c r="AG148" s="19" t="str">
        <f aca="false">IF(R148="","",IF(LOWER(R148)="brak","Brak",IF(OR(ISNUMBER(SEARCH("ric pl",LOWER(R148))),ISNUMBER(SEARCH("wojciechowski",LOWER(R148)))),"Własny","Zewnętrzny")))</f>
        <v/>
      </c>
      <c r="AH148" s="19" t="n">
        <f aca="false">Z148*Q148</f>
        <v>0</v>
      </c>
      <c r="AI148" s="19" t="str">
        <f aca="false">UPPER(TEXT(C148,"mmmm"))</f>
        <v>JULY</v>
      </c>
      <c r="AJ148" s="19" t="str">
        <f aca="false">IF(C148="","",TEXT(C148,"rrrr"))</f>
        <v>CE5786CE5786</v>
      </c>
      <c r="AK148" s="10"/>
      <c r="AL148" s="11" t="n">
        <v>0</v>
      </c>
      <c r="AM148" s="10" t="s">
        <v>338</v>
      </c>
      <c r="AN148" s="10" t="s">
        <v>59</v>
      </c>
      <c r="AO148" s="10"/>
      <c r="AP148" s="10"/>
      <c r="AQ148" s="10"/>
      <c r="AR148" s="10" t="s">
        <v>66</v>
      </c>
      <c r="AS148" s="10"/>
      <c r="AT148" s="15" t="n">
        <v>1</v>
      </c>
    </row>
    <row r="149" s="33" customFormat="true" ht="28.5" hidden="false" customHeight="true" outlineLevel="0" collapsed="false">
      <c r="A149" s="12" t="n">
        <v>46225</v>
      </c>
      <c r="B149" s="12"/>
      <c r="C149" s="12" t="n">
        <v>46225</v>
      </c>
      <c r="D149" s="10" t="s">
        <v>304</v>
      </c>
      <c r="E149" s="10" t="s">
        <v>47</v>
      </c>
      <c r="F149" s="13" t="s">
        <v>339</v>
      </c>
      <c r="G149" s="14" t="s">
        <v>59</v>
      </c>
      <c r="H149" s="10" t="s">
        <v>50</v>
      </c>
      <c r="I149" s="15" t="n">
        <v>80.12</v>
      </c>
      <c r="J149" s="10" t="s">
        <v>51</v>
      </c>
      <c r="K149" s="15" t="n">
        <v>0</v>
      </c>
      <c r="L149" s="11" t="n">
        <v>0</v>
      </c>
      <c r="M149" s="11" t="n">
        <v>0</v>
      </c>
      <c r="N149" s="10" t="s">
        <v>52</v>
      </c>
      <c r="O149" s="10" t="s">
        <v>67</v>
      </c>
      <c r="P149" s="10" t="s">
        <v>53</v>
      </c>
      <c r="Q149" s="16" t="n">
        <v>10</v>
      </c>
      <c r="R149" s="10"/>
      <c r="S149" s="10"/>
      <c r="T149" s="10" t="n">
        <v>0</v>
      </c>
      <c r="U149" s="11" t="n">
        <f aca="false">IF(E149="TRANSPORT",IF(T149="","",T149*5),IF(AL149="","",AL149))</f>
        <v>0</v>
      </c>
      <c r="V149" s="10" t="s">
        <v>54</v>
      </c>
      <c r="W149" s="15" t="s">
        <v>70</v>
      </c>
      <c r="X149" s="15"/>
      <c r="Y149" s="17" t="n">
        <v>46226.3641782407</v>
      </c>
      <c r="Z149" s="18" t="n">
        <f aca="false">IF(I149="",0,IF(ISNUMBER(SEARCH("mp",LOWER(J149))),I149,IF(ISNUMBER(SEARCH("ton",LOWER(J149))),I149/0.33,IF(ISNUMBER(SEARCH("m3",LOWER(J149))),I149*4,I149))))</f>
        <v>80.12</v>
      </c>
      <c r="AA149" s="18" t="n">
        <f aca="false">IF(I149="",0,IF(ISNUMBER(SEARCH("mp",LOWER(J149))),I149*0.33,IF(ISNUMBER(SEARCH("ton",LOWER(J149))),I149,I149*0.33)))</f>
        <v>26.4396</v>
      </c>
      <c r="AB149" s="18" t="n">
        <f aca="false">Tabela_dane[[#This Row],[Wolumen_t]]*8.5</f>
        <v>224.7366</v>
      </c>
      <c r="AC149" s="18" t="n">
        <f aca="false">IF(G149&lt;&gt;"TAK",0,IF(OR(E149="ZAKUP",E149="PRODUKCJA"),Z149,IF(OR(E149="SPRZEDAŻ",E149="ZUŻYCIE"),-Z149,0)))</f>
        <v>0</v>
      </c>
      <c r="AD149" s="18" t="n">
        <f aca="false">IF(G149&lt;&gt;"TAK",0,IF(OR(E149="ZAKUP",E149="PRODUKCJA"),AA149,IF(OR(E149="SPRZEDAŻ",E149="ZUŻYCIE"),-AA149,0)))</f>
        <v>0</v>
      </c>
      <c r="AE149" s="19" t="n">
        <f aca="false">IF(E149="ZAKUP",IF(L149&lt;&gt;"",L149,IF(K149&lt;&gt;"",Z149*K149,0)),0)</f>
        <v>0</v>
      </c>
      <c r="AF149" s="19" t="n">
        <f aca="false">IF(E149="SPRZEDAŻ",IF(M149&lt;&gt;"",Z149*M149,0),0)</f>
        <v>0</v>
      </c>
      <c r="AG149" s="19" t="str">
        <f aca="false">IF(R149="","",IF(LOWER(R149)="brak","Brak",IF(OR(ISNUMBER(SEARCH("ric pl",LOWER(R149))),ISNUMBER(SEARCH("wojciechowski",LOWER(R149)))),"Własny","Zewnętrzny")))</f>
        <v/>
      </c>
      <c r="AH149" s="19" t="n">
        <f aca="false">Z149*Q149</f>
        <v>801.2</v>
      </c>
      <c r="AI149" s="19" t="str">
        <f aca="false">UPPER(TEXT(C149,"mmmm"))</f>
        <v>JULY</v>
      </c>
      <c r="AJ149" s="19" t="str">
        <f aca="false">IF(C149="","",TEXT(C149,"rrrr"))</f>
        <v>CE5786CE5786</v>
      </c>
      <c r="AK149" s="10"/>
      <c r="AL149" s="11" t="n">
        <v>0</v>
      </c>
      <c r="AM149" s="10" t="s">
        <v>340</v>
      </c>
      <c r="AN149" s="10" t="s">
        <v>59</v>
      </c>
      <c r="AO149" s="10"/>
      <c r="AP149" s="10"/>
      <c r="AQ149" s="10"/>
      <c r="AR149" s="10" t="s">
        <v>66</v>
      </c>
      <c r="AS149" s="10"/>
      <c r="AT149" s="15" t="n">
        <v>1</v>
      </c>
    </row>
    <row r="150" customFormat="false" ht="28.5" hidden="false" customHeight="true" outlineLevel="0" collapsed="false">
      <c r="A150" s="12" t="n">
        <v>46225</v>
      </c>
      <c r="B150" s="12"/>
      <c r="C150" s="12" t="n">
        <v>46225</v>
      </c>
      <c r="D150" s="10" t="s">
        <v>304</v>
      </c>
      <c r="E150" s="10" t="s">
        <v>79</v>
      </c>
      <c r="F150" s="13" t="s">
        <v>339</v>
      </c>
      <c r="G150" s="14" t="s">
        <v>59</v>
      </c>
      <c r="H150" s="10" t="s">
        <v>50</v>
      </c>
      <c r="I150" s="15" t="n">
        <v>80.12</v>
      </c>
      <c r="J150" s="10" t="s">
        <v>51</v>
      </c>
      <c r="K150" s="15" t="n">
        <v>0</v>
      </c>
      <c r="L150" s="11" t="n">
        <v>0</v>
      </c>
      <c r="M150" s="11" t="n">
        <v>0</v>
      </c>
      <c r="N150" s="10" t="s">
        <v>52</v>
      </c>
      <c r="O150" s="10" t="s">
        <v>67</v>
      </c>
      <c r="P150" s="10" t="s">
        <v>53</v>
      </c>
      <c r="Q150" s="16" t="n">
        <v>10</v>
      </c>
      <c r="R150" s="10"/>
      <c r="S150" s="10"/>
      <c r="T150" s="10" t="n">
        <v>0</v>
      </c>
      <c r="U150" s="11" t="n">
        <f aca="false">IF(E150="TRANSPORT",IF(T150="","",T150*5),IF(AL150="","",AL150))</f>
        <v>0</v>
      </c>
      <c r="V150" s="10" t="s">
        <v>54</v>
      </c>
      <c r="W150" s="15" t="s">
        <v>260</v>
      </c>
      <c r="X150" s="15"/>
      <c r="Y150" s="17" t="n">
        <v>46226.3641782407</v>
      </c>
      <c r="Z150" s="18" t="n">
        <f aca="false">IF(I150="",0,IF(ISNUMBER(SEARCH("mp",LOWER(J150))),I150,IF(ISNUMBER(SEARCH("ton",LOWER(J150))),I150/0.33,IF(ISNUMBER(SEARCH("m3",LOWER(J150))),I150*4,I150))))</f>
        <v>80.12</v>
      </c>
      <c r="AA150" s="18" t="n">
        <f aca="false">IF(I150="",0,IF(ISNUMBER(SEARCH("mp",LOWER(J150))),I150*0.33,IF(ISNUMBER(SEARCH("ton",LOWER(J150))),I150,I150*0.33)))</f>
        <v>26.4396</v>
      </c>
      <c r="AB150" s="18" t="n">
        <f aca="false">Tabela_dane[[#This Row],[Wolumen_t]]*8.5</f>
        <v>224.7366</v>
      </c>
      <c r="AC150" s="18" t="n">
        <f aca="false">IF(G150&lt;&gt;"TAK",0,IF(OR(E150="ZAKUP",E150="PRODUKCJA"),Z150,IF(OR(E150="SPRZEDAŻ",E150="ZUŻYCIE"),-Z150,0)))</f>
        <v>0</v>
      </c>
      <c r="AD150" s="18" t="n">
        <f aca="false">IF(G150&lt;&gt;"TAK",0,IF(OR(E150="ZAKUP",E150="PRODUKCJA"),AA150,IF(OR(E150="SPRZEDAŻ",E150="ZUŻYCIE"),-AA150,0)))</f>
        <v>0</v>
      </c>
      <c r="AE150" s="19" t="n">
        <f aca="false">IF(E150="ZAKUP",IF(L150&lt;&gt;"",L150,IF(K150&lt;&gt;"",Z150*K150,0)),0)</f>
        <v>0</v>
      </c>
      <c r="AF150" s="19" t="n">
        <f aca="false">IF(E150="SPRZEDAŻ",IF(M150&lt;&gt;"",Z150*M150,0),0)</f>
        <v>0</v>
      </c>
      <c r="AG150" s="19" t="str">
        <f aca="false">IF(R150="","",IF(LOWER(R150)="brak","Brak",IF(OR(ISNUMBER(SEARCH("ric pl",LOWER(R150))),ISNUMBER(SEARCH("wojciechowski",LOWER(R150)))),"Własny","Zewnętrzny")))</f>
        <v/>
      </c>
      <c r="AH150" s="19" t="n">
        <f aca="false">Z150*Q150</f>
        <v>801.2</v>
      </c>
      <c r="AI150" s="19" t="str">
        <f aca="false">UPPER(TEXT(C150,"mmmm"))</f>
        <v>JULY</v>
      </c>
      <c r="AJ150" s="19" t="str">
        <f aca="false">IF(C150="","",TEXT(C150,"rrrr"))</f>
        <v>CE5786CE5786</v>
      </c>
      <c r="AK150" s="10"/>
      <c r="AL150" s="11" t="n">
        <v>0</v>
      </c>
      <c r="AM150" s="10" t="s">
        <v>340</v>
      </c>
      <c r="AN150" s="10" t="s">
        <v>59</v>
      </c>
      <c r="AO150" s="10"/>
      <c r="AP150" s="10"/>
      <c r="AQ150" s="10"/>
      <c r="AR150" s="10" t="s">
        <v>81</v>
      </c>
      <c r="AS150" s="10"/>
      <c r="AT150" s="15" t="n">
        <v>1</v>
      </c>
    </row>
    <row r="151" customFormat="false" ht="28.5" hidden="false" customHeight="true" outlineLevel="0" collapsed="false">
      <c r="A151" s="12" t="n">
        <v>46225</v>
      </c>
      <c r="B151" s="12" t="s">
        <v>309</v>
      </c>
      <c r="C151" s="12" t="n">
        <v>46225</v>
      </c>
      <c r="D151" s="10" t="s">
        <v>54</v>
      </c>
      <c r="E151" s="10" t="s">
        <v>63</v>
      </c>
      <c r="F151" s="13" t="s">
        <v>339</v>
      </c>
      <c r="G151" s="14" t="s">
        <v>49</v>
      </c>
      <c r="H151" s="10" t="s">
        <v>50</v>
      </c>
      <c r="I151" s="15" t="n">
        <v>80.12</v>
      </c>
      <c r="J151" s="10" t="s">
        <v>51</v>
      </c>
      <c r="K151" s="15" t="n">
        <v>0</v>
      </c>
      <c r="L151" s="11" t="n">
        <v>0</v>
      </c>
      <c r="M151" s="11" t="n">
        <v>0</v>
      </c>
      <c r="N151" s="10" t="s">
        <v>52</v>
      </c>
      <c r="O151" s="10" t="s">
        <v>67</v>
      </c>
      <c r="P151" s="10"/>
      <c r="Q151" s="16" t="n">
        <v>0</v>
      </c>
      <c r="R151" s="10" t="s">
        <v>97</v>
      </c>
      <c r="S151" s="10" t="s">
        <v>196</v>
      </c>
      <c r="T151" s="10" t="n">
        <v>122</v>
      </c>
      <c r="U151" s="11" t="n">
        <f aca="false">IF(E151="TRANSPORT",IF(T151="","",T151*5),IF(AL151="","",AL151))</f>
        <v>800</v>
      </c>
      <c r="V151" s="10" t="s">
        <v>54</v>
      </c>
      <c r="W151" s="15" t="s">
        <v>70</v>
      </c>
      <c r="X151" s="15"/>
      <c r="Y151" s="17" t="n">
        <v>46226.365</v>
      </c>
      <c r="Z151" s="18" t="n">
        <f aca="false">IF(I151="",0,IF(ISNUMBER(SEARCH("mp",LOWER(J151))),I151,IF(ISNUMBER(SEARCH("ton",LOWER(J151))),I151/0.33,IF(ISNUMBER(SEARCH("m3",LOWER(J151))),I151*4,I151))))</f>
        <v>80.12</v>
      </c>
      <c r="AA151" s="18" t="n">
        <f aca="false">IF(I151="",0,IF(ISNUMBER(SEARCH("mp",LOWER(J151))),I151*0.33,IF(ISNUMBER(SEARCH("ton",LOWER(J151))),I151,I151*0.33)))</f>
        <v>26.4396</v>
      </c>
      <c r="AB151" s="18" t="n">
        <f aca="false">Tabela_dane[[#This Row],[Wolumen_t]]*8.5</f>
        <v>224.7366</v>
      </c>
      <c r="AC151" s="18" t="n">
        <f aca="false">IF(G151&lt;&gt;"TAK",0,IF(OR(E151="ZAKUP",E151="PRODUKCJA"),Z151,IF(OR(E151="SPRZEDAŻ",E151="ZUŻYCIE"),-Z151,0)))</f>
        <v>80.12</v>
      </c>
      <c r="AD151" s="18" t="n">
        <f aca="false">IF(G151&lt;&gt;"TAK",0,IF(OR(E151="ZAKUP",E151="PRODUKCJA"),AA151,IF(OR(E151="SPRZEDAŻ",E151="ZUŻYCIE"),-AA151,0)))</f>
        <v>26.4396</v>
      </c>
      <c r="AE151" s="19" t="n">
        <f aca="false">IF(E151="ZAKUP",IF(L151&lt;&gt;"",L151,IF(K151&lt;&gt;"",Z151*K151,0)),0)</f>
        <v>0</v>
      </c>
      <c r="AF151" s="19" t="n">
        <f aca="false">IF(E151="SPRZEDAŻ",IF(M151&lt;&gt;"",Z151*M151,0),0)</f>
        <v>0</v>
      </c>
      <c r="AG151" s="19" t="str">
        <f aca="false">IF(R151="","",IF(LOWER(R151)="brak","Brak",IF(OR(ISNUMBER(SEARCH("ric pl",LOWER(R151))),ISNUMBER(SEARCH("wojciechowski",LOWER(R151)))),"Własny","Zewnętrzny")))</f>
        <v>Zewnętrzny</v>
      </c>
      <c r="AH151" s="19" t="n">
        <f aca="false">Z151*Q151</f>
        <v>0</v>
      </c>
      <c r="AI151" s="19" t="str">
        <f aca="false">UPPER(TEXT(C151,"mmmm"))</f>
        <v>JULY</v>
      </c>
      <c r="AJ151" s="19" t="str">
        <f aca="false">IF(C151="","",TEXT(C151,"rrrr"))</f>
        <v>CE5786CE5786</v>
      </c>
      <c r="AK151" s="10"/>
      <c r="AL151" s="11" t="n">
        <v>800</v>
      </c>
      <c r="AM151" s="10" t="s">
        <v>341</v>
      </c>
      <c r="AN151" s="10" t="s">
        <v>49</v>
      </c>
      <c r="AO151" s="10"/>
      <c r="AP151" s="10"/>
      <c r="AQ151" s="10"/>
      <c r="AR151" s="10" t="s">
        <v>66</v>
      </c>
      <c r="AS151" s="10"/>
      <c r="AT151" s="15" t="n">
        <v>1</v>
      </c>
    </row>
    <row r="152" customFormat="false" ht="28.5" hidden="false" customHeight="true" outlineLevel="0" collapsed="false">
      <c r="A152" s="12" t="n">
        <v>46225</v>
      </c>
      <c r="B152" s="12"/>
      <c r="C152" s="12" t="n">
        <v>46225</v>
      </c>
      <c r="D152" s="10" t="s">
        <v>46</v>
      </c>
      <c r="E152" s="10" t="s">
        <v>63</v>
      </c>
      <c r="F152" s="20" t="s">
        <v>342</v>
      </c>
      <c r="G152" s="14" t="s">
        <v>49</v>
      </c>
      <c r="H152" s="10" t="s">
        <v>76</v>
      </c>
      <c r="I152" s="35" t="n">
        <v>15.56</v>
      </c>
      <c r="J152" s="10" t="s">
        <v>77</v>
      </c>
      <c r="K152" s="15" t="n">
        <v>230</v>
      </c>
      <c r="L152" s="11" t="n">
        <v>3578.8</v>
      </c>
      <c r="M152" s="11" t="n">
        <v>0</v>
      </c>
      <c r="N152" s="10" t="s">
        <v>64</v>
      </c>
      <c r="O152" s="10"/>
      <c r="P152" s="10"/>
      <c r="Q152" s="16" t="n">
        <v>0</v>
      </c>
      <c r="R152" s="10"/>
      <c r="S152" s="10"/>
      <c r="T152" s="10" t="n">
        <v>0</v>
      </c>
      <c r="U152" s="11" t="n">
        <f aca="false">IF(E152="TRANSPORT",IF(T152="","",T152*5),IF(AL152="","",AL152))</f>
        <v>0</v>
      </c>
      <c r="V152" s="10" t="s">
        <v>54</v>
      </c>
      <c r="W152" s="15" t="s">
        <v>302</v>
      </c>
      <c r="X152" s="15"/>
      <c r="Y152" s="17" t="n">
        <v>46226.3715046296</v>
      </c>
      <c r="Z152" s="18" t="n">
        <f aca="false">IF(I152="",0,IF(ISNUMBER(SEARCH("mp",LOWER(J152))),I152,IF(ISNUMBER(SEARCH("ton",LOWER(J152))),I152/0.33,IF(ISNUMBER(SEARCH("m3",LOWER(J152))),I152*4,I152))))</f>
        <v>62.24</v>
      </c>
      <c r="AA152" s="18" t="n">
        <f aca="false">IF(I152="",0,IF(ISNUMBER(SEARCH("mp",LOWER(J152))),I152*0.33,IF(ISNUMBER(SEARCH("ton",LOWER(J152))),I152,I152*0.33)))</f>
        <v>5.1348</v>
      </c>
      <c r="AB152" s="18" t="n">
        <f aca="false">Tabela_dane[[#This Row],[Wolumen_t]]*8.5</f>
        <v>43.6458</v>
      </c>
      <c r="AC152" s="18" t="n">
        <f aca="false">IF(G152&lt;&gt;"TAK",0,IF(OR(E152="ZAKUP",E152="PRODUKCJA"),Z152,IF(OR(E152="SPRZEDAŻ",E152="ZUŻYCIE"),-Z152,0)))</f>
        <v>62.24</v>
      </c>
      <c r="AD152" s="18" t="n">
        <f aca="false">IF(G152&lt;&gt;"TAK",0,IF(OR(E152="ZAKUP",E152="PRODUKCJA"),AA152,IF(OR(E152="SPRZEDAŻ",E152="ZUŻYCIE"),-AA152,0)))</f>
        <v>5.1348</v>
      </c>
      <c r="AE152" s="19" t="n">
        <f aca="false">IF(E152="ZAKUP",IF(L152&lt;&gt;"",L152,IF(K152&lt;&gt;"",Z152*K152,0)),0)</f>
        <v>3578.8</v>
      </c>
      <c r="AF152" s="19" t="n">
        <f aca="false">IF(E152="SPRZEDAŻ",IF(M152&lt;&gt;"",Z152*M152,0),0)</f>
        <v>0</v>
      </c>
      <c r="AG152" s="19" t="str">
        <f aca="false">IF(R152="","",IF(LOWER(R152)="brak","Brak",IF(OR(ISNUMBER(SEARCH("ric pl",LOWER(R152))),ISNUMBER(SEARCH("wojciechowski",LOWER(R152)))),"Własny","Zewnętrzny")))</f>
        <v/>
      </c>
      <c r="AH152" s="19" t="n">
        <f aca="false">Z152*Q152</f>
        <v>0</v>
      </c>
      <c r="AI152" s="19" t="str">
        <f aca="false">UPPER(TEXT(C152,"mmmm"))</f>
        <v>JULY</v>
      </c>
      <c r="AJ152" s="19" t="str">
        <f aca="false">IF(C152="","",TEXT(C152,"rrrr"))</f>
        <v>CE5786CE5786</v>
      </c>
      <c r="AK152" s="10"/>
      <c r="AL152" s="11" t="n">
        <v>0</v>
      </c>
      <c r="AM152" s="10" t="s">
        <v>343</v>
      </c>
      <c r="AN152" s="10" t="s">
        <v>59</v>
      </c>
      <c r="AO152" s="10"/>
      <c r="AP152" s="10"/>
      <c r="AQ152" s="10"/>
      <c r="AR152" s="10" t="s">
        <v>66</v>
      </c>
      <c r="AS152" s="10"/>
      <c r="AT152" s="15" t="n">
        <v>1</v>
      </c>
    </row>
    <row r="153" customFormat="false" ht="28.5" hidden="false" customHeight="true" outlineLevel="0" collapsed="false">
      <c r="A153" s="12" t="n">
        <v>46226</v>
      </c>
      <c r="B153" s="12"/>
      <c r="C153" s="12" t="n">
        <v>46226</v>
      </c>
      <c r="D153" s="10" t="s">
        <v>46</v>
      </c>
      <c r="E153" s="10" t="s">
        <v>63</v>
      </c>
      <c r="F153" s="20" t="s">
        <v>344</v>
      </c>
      <c r="G153" s="14" t="s">
        <v>49</v>
      </c>
      <c r="H153" s="10" t="s">
        <v>76</v>
      </c>
      <c r="I153" s="15" t="n">
        <v>15.3</v>
      </c>
      <c r="J153" s="10" t="s">
        <v>77</v>
      </c>
      <c r="K153" s="15" t="n">
        <v>230</v>
      </c>
      <c r="L153" s="11" t="n">
        <v>3519</v>
      </c>
      <c r="M153" s="11" t="n">
        <v>0</v>
      </c>
      <c r="N153" s="10" t="s">
        <v>64</v>
      </c>
      <c r="O153" s="10"/>
      <c r="P153" s="10"/>
      <c r="Q153" s="16" t="n">
        <v>0</v>
      </c>
      <c r="R153" s="10"/>
      <c r="S153" s="10"/>
      <c r="T153" s="10" t="n">
        <v>0</v>
      </c>
      <c r="U153" s="11" t="n">
        <f aca="false">IF(E153="TRANSPORT",IF(T153="","",T153*5),IF(AL153="","",AL153))</f>
        <v>0</v>
      </c>
      <c r="V153" s="10" t="s">
        <v>54</v>
      </c>
      <c r="W153" s="15" t="s">
        <v>242</v>
      </c>
      <c r="X153" s="15"/>
      <c r="Y153" s="17" t="n">
        <v>46229.8399305556</v>
      </c>
      <c r="Z153" s="18" t="n">
        <f aca="false">IF(I153="",0,IF(ISNUMBER(SEARCH("mp",LOWER(J153))),I153,IF(ISNUMBER(SEARCH("ton",LOWER(J153))),I153/0.33,IF(ISNUMBER(SEARCH("m3",LOWER(J153))),I153*4,I153))))</f>
        <v>61.2</v>
      </c>
      <c r="AA153" s="18" t="n">
        <f aca="false">IF(I153="",0,IF(ISNUMBER(SEARCH("mp",LOWER(J153))),I153*0.33,IF(ISNUMBER(SEARCH("ton",LOWER(J153))),I153,I153*0.33)))</f>
        <v>5.049</v>
      </c>
      <c r="AB153" s="18" t="n">
        <f aca="false">Tabela_dane[[#This Row],[Wolumen_t]]*8.5</f>
        <v>42.9165</v>
      </c>
      <c r="AC153" s="18" t="n">
        <f aca="false">IF(G153&lt;&gt;"TAK",0,IF(OR(E153="ZAKUP",E153="PRODUKCJA"),Z153,IF(OR(E153="SPRZEDAŻ",E153="ZUŻYCIE"),-Z153,0)))</f>
        <v>61.2</v>
      </c>
      <c r="AD153" s="18" t="n">
        <f aca="false">IF(G153&lt;&gt;"TAK",0,IF(OR(E153="ZAKUP",E153="PRODUKCJA"),AA153,IF(OR(E153="SPRZEDAŻ",E153="ZUŻYCIE"),-AA153,0)))</f>
        <v>5.049</v>
      </c>
      <c r="AE153" s="19" t="n">
        <f aca="false">IF(E153="ZAKUP",IF(L153&lt;&gt;"",L153,IF(K153&lt;&gt;"",Z153*K153,0)),0)</f>
        <v>3519</v>
      </c>
      <c r="AF153" s="19" t="n">
        <f aca="false">IF(E153="SPRZEDAŻ",IF(M153&lt;&gt;"",Z153*M153,0),0)</f>
        <v>0</v>
      </c>
      <c r="AG153" s="19" t="str">
        <f aca="false">IF(R153="","",IF(LOWER(R153)="brak","Brak",IF(OR(ISNUMBER(SEARCH("ric pl",LOWER(R153))),ISNUMBER(SEARCH("wojciechowski",LOWER(R153)))),"Własny","Zewnętrzny")))</f>
        <v/>
      </c>
      <c r="AH153" s="19" t="n">
        <f aca="false">Z153*Q153</f>
        <v>0</v>
      </c>
      <c r="AI153" s="19" t="str">
        <f aca="false">UPPER(TEXT(C153,"mmmm"))</f>
        <v>JULY</v>
      </c>
      <c r="AJ153" s="19" t="str">
        <f aca="false">IF(C153="","",TEXT(C153,"rrrr"))</f>
        <v>CE5786CE5786</v>
      </c>
      <c r="AK153" s="10"/>
      <c r="AL153" s="11" t="n">
        <v>0</v>
      </c>
      <c r="AM153" s="10" t="s">
        <v>345</v>
      </c>
      <c r="AN153" s="10" t="s">
        <v>59</v>
      </c>
      <c r="AO153" s="10"/>
      <c r="AP153" s="10"/>
      <c r="AQ153" s="10"/>
      <c r="AR153" s="10" t="s">
        <v>66</v>
      </c>
      <c r="AS153" s="10"/>
      <c r="AT153" s="15" t="n">
        <v>1</v>
      </c>
    </row>
    <row r="154" customFormat="false" ht="28.5" hidden="false" customHeight="true" outlineLevel="0" collapsed="false">
      <c r="A154" s="12" t="n">
        <v>46226</v>
      </c>
      <c r="B154" s="12"/>
      <c r="C154" s="12" t="n">
        <v>46226</v>
      </c>
      <c r="D154" s="10" t="s">
        <v>46</v>
      </c>
      <c r="E154" s="10" t="s">
        <v>63</v>
      </c>
      <c r="F154" s="20" t="s">
        <v>346</v>
      </c>
      <c r="G154" s="14" t="s">
        <v>49</v>
      </c>
      <c r="H154" s="10" t="s">
        <v>76</v>
      </c>
      <c r="I154" s="15" t="n">
        <v>15.08</v>
      </c>
      <c r="J154" s="10" t="s">
        <v>77</v>
      </c>
      <c r="K154" s="15" t="n">
        <v>230</v>
      </c>
      <c r="L154" s="11" t="n">
        <v>3468.4</v>
      </c>
      <c r="M154" s="11" t="n">
        <v>0</v>
      </c>
      <c r="N154" s="10" t="s">
        <v>64</v>
      </c>
      <c r="O154" s="10"/>
      <c r="P154" s="10"/>
      <c r="Q154" s="16" t="n">
        <v>0</v>
      </c>
      <c r="R154" s="10"/>
      <c r="S154" s="10"/>
      <c r="T154" s="10" t="n">
        <v>0</v>
      </c>
      <c r="U154" s="11" t="n">
        <f aca="false">IF(E154="TRANSPORT",IF(T154="","",T154*5),IF(AL154="","",AL154))</f>
        <v>0</v>
      </c>
      <c r="V154" s="10" t="s">
        <v>54</v>
      </c>
      <c r="W154" s="15" t="s">
        <v>242</v>
      </c>
      <c r="X154" s="15"/>
      <c r="Y154" s="17" t="n">
        <v>46229.8406828704</v>
      </c>
      <c r="Z154" s="18" t="n">
        <f aca="false">IF(I154="",0,IF(ISNUMBER(SEARCH("mp",LOWER(J154))),I154,IF(ISNUMBER(SEARCH("ton",LOWER(J154))),I154/0.33,IF(ISNUMBER(SEARCH("m3",LOWER(J154))),I154*4,I154))))</f>
        <v>60.32</v>
      </c>
      <c r="AA154" s="18" t="n">
        <f aca="false">IF(I154="",0,IF(ISNUMBER(SEARCH("mp",LOWER(J154))),I154*0.33,IF(ISNUMBER(SEARCH("ton",LOWER(J154))),I154,I154*0.33)))</f>
        <v>4.9764</v>
      </c>
      <c r="AB154" s="18" t="n">
        <f aca="false">Tabela_dane[[#This Row],[Wolumen_t]]*8.5</f>
        <v>42.2994</v>
      </c>
      <c r="AC154" s="18" t="n">
        <f aca="false">IF(G154&lt;&gt;"TAK",0,IF(OR(E154="ZAKUP",E154="PRODUKCJA"),Z154,IF(OR(E154="SPRZEDAŻ",E154="ZUŻYCIE"),-Z154,0)))</f>
        <v>60.32</v>
      </c>
      <c r="AD154" s="18" t="n">
        <f aca="false">IF(G154&lt;&gt;"TAK",0,IF(OR(E154="ZAKUP",E154="PRODUKCJA"),AA154,IF(OR(E154="SPRZEDAŻ",E154="ZUŻYCIE"),-AA154,0)))</f>
        <v>4.9764</v>
      </c>
      <c r="AE154" s="19" t="n">
        <f aca="false">IF(E154="ZAKUP",IF(L154&lt;&gt;"",L154,IF(K154&lt;&gt;"",Z154*K154,0)),0)</f>
        <v>3468.4</v>
      </c>
      <c r="AF154" s="19" t="n">
        <f aca="false">IF(E154="SPRZEDAŻ",IF(M154&lt;&gt;"",Z154*M154,0),0)</f>
        <v>0</v>
      </c>
      <c r="AG154" s="19" t="str">
        <f aca="false">IF(R154="","",IF(LOWER(R154)="brak","Brak",IF(OR(ISNUMBER(SEARCH("ric pl",LOWER(R154))),ISNUMBER(SEARCH("wojciechowski",LOWER(R154)))),"Własny","Zewnętrzny")))</f>
        <v/>
      </c>
      <c r="AH154" s="19" t="n">
        <f aca="false">Z154*Q154</f>
        <v>0</v>
      </c>
      <c r="AI154" s="19" t="str">
        <f aca="false">UPPER(TEXT(C154,"mmmm"))</f>
        <v>JULY</v>
      </c>
      <c r="AJ154" s="19" t="str">
        <f aca="false">IF(C154="","",TEXT(C154,"rrrr"))</f>
        <v>CE5786CE5786</v>
      </c>
      <c r="AK154" s="10"/>
      <c r="AL154" s="11" t="n">
        <v>0</v>
      </c>
      <c r="AM154" s="10" t="s">
        <v>347</v>
      </c>
      <c r="AN154" s="10" t="s">
        <v>59</v>
      </c>
      <c r="AO154" s="10"/>
      <c r="AP154" s="10"/>
      <c r="AQ154" s="10"/>
      <c r="AR154" s="10" t="s">
        <v>66</v>
      </c>
      <c r="AS154" s="10"/>
      <c r="AT154" s="15" t="n">
        <v>1</v>
      </c>
    </row>
    <row r="155" customFormat="false" ht="28.5" hidden="false" customHeight="true" outlineLevel="0" collapsed="false">
      <c r="A155" s="12" t="n">
        <v>46226</v>
      </c>
      <c r="B155" s="12"/>
      <c r="C155" s="12" t="n">
        <v>46226</v>
      </c>
      <c r="D155" s="10" t="s">
        <v>46</v>
      </c>
      <c r="E155" s="10" t="s">
        <v>63</v>
      </c>
      <c r="F155" s="20" t="s">
        <v>348</v>
      </c>
      <c r="G155" s="14" t="s">
        <v>49</v>
      </c>
      <c r="H155" s="10" t="s">
        <v>76</v>
      </c>
      <c r="I155" s="15" t="n">
        <v>28.99</v>
      </c>
      <c r="J155" s="10" t="s">
        <v>77</v>
      </c>
      <c r="K155" s="15" t="n">
        <v>230</v>
      </c>
      <c r="L155" s="11" t="n">
        <v>6667.7</v>
      </c>
      <c r="M155" s="11" t="n">
        <v>0</v>
      </c>
      <c r="N155" s="10" t="s">
        <v>64</v>
      </c>
      <c r="O155" s="10"/>
      <c r="P155" s="10"/>
      <c r="Q155" s="16" t="n">
        <v>0</v>
      </c>
      <c r="R155" s="10"/>
      <c r="S155" s="10"/>
      <c r="T155" s="10" t="n">
        <v>0</v>
      </c>
      <c r="U155" s="11" t="n">
        <f aca="false">IF(E155="TRANSPORT",IF(T155="","",T155*5),IF(AL155="","",AL155))</f>
        <v>0</v>
      </c>
      <c r="V155" s="10" t="s">
        <v>54</v>
      </c>
      <c r="W155" s="15" t="s">
        <v>242</v>
      </c>
      <c r="X155" s="15"/>
      <c r="Y155" s="17" t="n">
        <v>46229.8414583333</v>
      </c>
      <c r="Z155" s="18" t="n">
        <f aca="false">IF(I155="",0,IF(ISNUMBER(SEARCH("mp",LOWER(J155))),I155,IF(ISNUMBER(SEARCH("ton",LOWER(J155))),I155/0.33,IF(ISNUMBER(SEARCH("m3",LOWER(J155))),I155*4,I155))))</f>
        <v>115.96</v>
      </c>
      <c r="AA155" s="18" t="n">
        <f aca="false">IF(I155="",0,IF(ISNUMBER(SEARCH("mp",LOWER(J155))),I155*0.33,IF(ISNUMBER(SEARCH("ton",LOWER(J155))),I155,I155*0.33)))</f>
        <v>9.5667</v>
      </c>
      <c r="AB155" s="18" t="n">
        <f aca="false">Tabela_dane[[#This Row],[Wolumen_t]]*8.5</f>
        <v>81.31695</v>
      </c>
      <c r="AC155" s="18" t="n">
        <f aca="false">IF(G155&lt;&gt;"TAK",0,IF(OR(E155="ZAKUP",E155="PRODUKCJA"),Z155,IF(OR(E155="SPRZEDAŻ",E155="ZUŻYCIE"),-Z155,0)))</f>
        <v>115.96</v>
      </c>
      <c r="AD155" s="18" t="n">
        <f aca="false">IF(G155&lt;&gt;"TAK",0,IF(OR(E155="ZAKUP",E155="PRODUKCJA"),AA155,IF(OR(E155="SPRZEDAŻ",E155="ZUŻYCIE"),-AA155,0)))</f>
        <v>9.5667</v>
      </c>
      <c r="AE155" s="19" t="n">
        <f aca="false">IF(E155="ZAKUP",IF(L155&lt;&gt;"",L155,IF(K155&lt;&gt;"",Z155*K155,0)),0)</f>
        <v>6667.7</v>
      </c>
      <c r="AF155" s="19" t="n">
        <f aca="false">IF(E155="SPRZEDAŻ",IF(M155&lt;&gt;"",Z155*M155,0),0)</f>
        <v>0</v>
      </c>
      <c r="AG155" s="19" t="str">
        <f aca="false">IF(R155="","",IF(LOWER(R155)="brak","Brak",IF(OR(ISNUMBER(SEARCH("ric pl",LOWER(R155))),ISNUMBER(SEARCH("wojciechowski",LOWER(R155)))),"Własny","Zewnętrzny")))</f>
        <v/>
      </c>
      <c r="AH155" s="19" t="n">
        <f aca="false">Z155*Q155</f>
        <v>0</v>
      </c>
      <c r="AI155" s="19" t="str">
        <f aca="false">UPPER(TEXT(C155,"mmmm"))</f>
        <v>JULY</v>
      </c>
      <c r="AJ155" s="19" t="str">
        <f aca="false">IF(C155="","",TEXT(C155,"rrrr"))</f>
        <v>CE5786CE5786</v>
      </c>
      <c r="AK155" s="10"/>
      <c r="AL155" s="11" t="n">
        <v>0</v>
      </c>
      <c r="AM155" s="10" t="s">
        <v>349</v>
      </c>
      <c r="AN155" s="10" t="s">
        <v>59</v>
      </c>
      <c r="AO155" s="10"/>
      <c r="AP155" s="10"/>
      <c r="AQ155" s="10"/>
      <c r="AR155" s="10" t="s">
        <v>66</v>
      </c>
      <c r="AS155" s="10"/>
      <c r="AT155" s="15" t="n">
        <v>1</v>
      </c>
    </row>
    <row r="156" s="45" customFormat="true" ht="28.5" hidden="false" customHeight="true" outlineLevel="0" collapsed="false">
      <c r="A156" s="36" t="n">
        <v>46226</v>
      </c>
      <c r="B156" s="36"/>
      <c r="C156" s="36" t="n">
        <v>46226</v>
      </c>
      <c r="D156" s="10" t="s">
        <v>46</v>
      </c>
      <c r="E156" s="37" t="s">
        <v>63</v>
      </c>
      <c r="F156" s="20" t="s">
        <v>350</v>
      </c>
      <c r="G156" s="38" t="s">
        <v>49</v>
      </c>
      <c r="H156" s="37" t="s">
        <v>76</v>
      </c>
      <c r="I156" s="39" t="n">
        <v>28.01</v>
      </c>
      <c r="J156" s="37" t="s">
        <v>77</v>
      </c>
      <c r="K156" s="39" t="n">
        <v>230</v>
      </c>
      <c r="L156" s="40" t="n">
        <v>6442.3</v>
      </c>
      <c r="M156" s="40" t="n">
        <v>0</v>
      </c>
      <c r="N156" s="37" t="s">
        <v>64</v>
      </c>
      <c r="O156" s="37"/>
      <c r="P156" s="37"/>
      <c r="Q156" s="41" t="n">
        <v>0</v>
      </c>
      <c r="R156" s="37"/>
      <c r="S156" s="37"/>
      <c r="T156" s="37" t="n">
        <v>0</v>
      </c>
      <c r="U156" s="11" t="n">
        <f aca="false">IF(E156="TRANSPORT",IF(T156="","",T156*5),IF(AL156="","",AL156))</f>
        <v>0</v>
      </c>
      <c r="V156" s="37" t="s">
        <v>54</v>
      </c>
      <c r="W156" s="39" t="s">
        <v>242</v>
      </c>
      <c r="X156" s="39"/>
      <c r="Y156" s="42" t="n">
        <v>46230.7396875</v>
      </c>
      <c r="Z156" s="43" t="n">
        <f aca="false">IF(I156="",0,IF(ISNUMBER(SEARCH("mp",LOWER(J156))),I156,IF(ISNUMBER(SEARCH("ton",LOWER(J156))),I156/0.33,IF(ISNUMBER(SEARCH("m3",LOWER(J156))),I156*4,I156))))</f>
        <v>112.04</v>
      </c>
      <c r="AA156" s="43" t="n">
        <f aca="false">IF(I156="",0,IF(ISNUMBER(SEARCH("mp",LOWER(J156))),I156*0.33,IF(ISNUMBER(SEARCH("ton",LOWER(J156))),I156,I156*0.33)))</f>
        <v>9.2433</v>
      </c>
      <c r="AB156" s="43" t="n">
        <f aca="false">Tabela_dane[[#This Row],[Wolumen_t]]*8.5</f>
        <v>78.56805</v>
      </c>
      <c r="AC156" s="43" t="n">
        <f aca="false">IF(G156&lt;&gt;"TAK",0,IF(OR(E156="ZAKUP",E156="PRODUKCJA"),Z156,IF(OR(E156="SPRZEDAŻ",E156="ZUŻYCIE"),-Z156,0)))</f>
        <v>112.04</v>
      </c>
      <c r="AD156" s="43" t="n">
        <f aca="false">IF(G156&lt;&gt;"TAK",0,IF(OR(E156="ZAKUP",E156="PRODUKCJA"),AA156,IF(OR(E156="SPRZEDAŻ",E156="ZUŻYCIE"),-AA156,0)))</f>
        <v>9.2433</v>
      </c>
      <c r="AE156" s="44" t="n">
        <f aca="false">IF(E156="ZAKUP",IF(L156&lt;&gt;"",L156,IF(K156&lt;&gt;"",Z156*K156,0)),0)</f>
        <v>6442.3</v>
      </c>
      <c r="AF156" s="44" t="n">
        <f aca="false">IF(E156="SPRZEDAŻ",IF(M156&lt;&gt;"",Z156*M156,0),0)</f>
        <v>0</v>
      </c>
      <c r="AG156" s="44" t="str">
        <f aca="false">IF(R156="","",IF(LOWER(R156)="brak","Brak",IF(OR(ISNUMBER(SEARCH("ric pl",LOWER(R156))),ISNUMBER(SEARCH("wojciechowski",LOWER(R156)))),"Własny","Zewnętrzny")))</f>
        <v/>
      </c>
      <c r="AH156" s="44" t="n">
        <f aca="false">Z156*Q156</f>
        <v>0</v>
      </c>
      <c r="AI156" s="44" t="str">
        <f aca="false">UPPER(TEXT(C156,"mmmm"))</f>
        <v>JULY</v>
      </c>
      <c r="AJ156" s="44" t="str">
        <f aca="false">IF(C156="","",TEXT(C156,"rrrr"))</f>
        <v>CE5786CE5786</v>
      </c>
      <c r="AK156" s="10"/>
      <c r="AL156" s="11" t="n">
        <v>0</v>
      </c>
      <c r="AM156" s="10" t="s">
        <v>351</v>
      </c>
      <c r="AN156" s="10" t="s">
        <v>59</v>
      </c>
      <c r="AO156" s="10"/>
      <c r="AP156" s="10"/>
      <c r="AQ156" s="10"/>
      <c r="AR156" s="10" t="s">
        <v>66</v>
      </c>
      <c r="AS156" s="10"/>
      <c r="AT156" s="15" t="n">
        <v>1</v>
      </c>
    </row>
    <row r="157" customFormat="false" ht="28.5" hidden="false" customHeight="true" outlineLevel="0" collapsed="false">
      <c r="A157" s="23" t="n">
        <v>46226</v>
      </c>
      <c r="B157" s="23"/>
      <c r="C157" s="23" t="n">
        <v>46226</v>
      </c>
      <c r="D157" s="10" t="s">
        <v>46</v>
      </c>
      <c r="E157" s="24" t="s">
        <v>63</v>
      </c>
      <c r="F157" s="20" t="s">
        <v>352</v>
      </c>
      <c r="G157" s="26" t="s">
        <v>49</v>
      </c>
      <c r="H157" s="24" t="s">
        <v>76</v>
      </c>
      <c r="I157" s="27" t="n">
        <v>29.99</v>
      </c>
      <c r="J157" s="24" t="s">
        <v>77</v>
      </c>
      <c r="K157" s="27" t="n">
        <v>230</v>
      </c>
      <c r="L157" s="28" t="n">
        <v>6897.7</v>
      </c>
      <c r="M157" s="28" t="n">
        <v>0</v>
      </c>
      <c r="N157" s="24" t="s">
        <v>64</v>
      </c>
      <c r="O157" s="24"/>
      <c r="P157" s="24"/>
      <c r="Q157" s="29" t="n">
        <v>0</v>
      </c>
      <c r="R157" s="24"/>
      <c r="S157" s="24"/>
      <c r="T157" s="24" t="n">
        <v>0</v>
      </c>
      <c r="U157" s="11" t="n">
        <f aca="false">IF(E157="TRANSPORT",IF(T157="","",T157*5),IF(AL157="","",AL157))</f>
        <v>0</v>
      </c>
      <c r="V157" s="24" t="s">
        <v>54</v>
      </c>
      <c r="W157" s="27" t="s">
        <v>242</v>
      </c>
      <c r="X157" s="27"/>
      <c r="Y157" s="30" t="n">
        <v>46230.7402893519</v>
      </c>
      <c r="Z157" s="31" t="n">
        <f aca="false">IF(I157="",0,IF(ISNUMBER(SEARCH("mp",LOWER(J157))),I157,IF(ISNUMBER(SEARCH("ton",LOWER(J157))),I157/0.33,IF(ISNUMBER(SEARCH("m3",LOWER(J157))),I157*4,I157))))</f>
        <v>119.96</v>
      </c>
      <c r="AA157" s="31" t="n">
        <f aca="false">IF(I157="",0,IF(ISNUMBER(SEARCH("mp",LOWER(J157))),I157*0.33,IF(ISNUMBER(SEARCH("ton",LOWER(J157))),I157,I157*0.33)))</f>
        <v>9.8967</v>
      </c>
      <c r="AB157" s="31" t="n">
        <f aca="false">Tabela_dane[[#This Row],[Wolumen_t]]*8.5</f>
        <v>84.12195</v>
      </c>
      <c r="AC157" s="31" t="n">
        <f aca="false">IF(G157&lt;&gt;"TAK",0,IF(OR(E157="ZAKUP",E157="PRODUKCJA"),Z157,IF(OR(E157="SPRZEDAŻ",E157="ZUŻYCIE"),-Z157,0)))</f>
        <v>119.96</v>
      </c>
      <c r="AD157" s="31" t="n">
        <f aca="false">IF(G157&lt;&gt;"TAK",0,IF(OR(E157="ZAKUP",E157="PRODUKCJA"),AA157,IF(OR(E157="SPRZEDAŻ",E157="ZUŻYCIE"),-AA157,0)))</f>
        <v>9.8967</v>
      </c>
      <c r="AE157" s="32" t="n">
        <f aca="false">IF(E157="ZAKUP",IF(L157&lt;&gt;"",L157,IF(K157&lt;&gt;"",Z157*K157,0)),0)</f>
        <v>6897.7</v>
      </c>
      <c r="AF157" s="32" t="n">
        <f aca="false">IF(E157="SPRZEDAŻ",IF(M157&lt;&gt;"",Z157*M157,0),0)</f>
        <v>0</v>
      </c>
      <c r="AG157" s="32" t="str">
        <f aca="false">IF(R157="","",IF(LOWER(R157)="brak","Brak",IF(OR(ISNUMBER(SEARCH("ric pl",LOWER(R157))),ISNUMBER(SEARCH("wojciechowski",LOWER(R157)))),"Własny","Zewnętrzny")))</f>
        <v/>
      </c>
      <c r="AH157" s="32" t="n">
        <f aca="false">Z157*Q157</f>
        <v>0</v>
      </c>
      <c r="AI157" s="32" t="str">
        <f aca="false">UPPER(TEXT(C157,"mmmm"))</f>
        <v>JULY</v>
      </c>
      <c r="AJ157" s="32" t="str">
        <f aca="false">IF(C157="","",TEXT(C157,"rrrr"))</f>
        <v>CE5786CE5786</v>
      </c>
      <c r="AK157" s="10"/>
      <c r="AL157" s="11" t="n">
        <v>0</v>
      </c>
      <c r="AM157" s="10" t="s">
        <v>353</v>
      </c>
      <c r="AN157" s="10" t="s">
        <v>59</v>
      </c>
      <c r="AO157" s="10"/>
      <c r="AP157" s="10"/>
      <c r="AQ157" s="10"/>
      <c r="AR157" s="10" t="s">
        <v>66</v>
      </c>
      <c r="AS157" s="10"/>
      <c r="AT157" s="15" t="n">
        <v>1</v>
      </c>
    </row>
    <row r="158" s="45" customFormat="true" ht="28.5" hidden="false" customHeight="true" outlineLevel="0" collapsed="false">
      <c r="A158" s="36" t="n">
        <v>46226</v>
      </c>
      <c r="B158" s="36"/>
      <c r="C158" s="36" t="n">
        <v>46226</v>
      </c>
      <c r="D158" s="10" t="s">
        <v>277</v>
      </c>
      <c r="E158" s="37" t="s">
        <v>63</v>
      </c>
      <c r="F158" s="13" t="s">
        <v>354</v>
      </c>
      <c r="G158" s="38" t="s">
        <v>49</v>
      </c>
      <c r="H158" s="37" t="s">
        <v>76</v>
      </c>
      <c r="I158" s="39" t="n">
        <v>80</v>
      </c>
      <c r="J158" s="37" t="s">
        <v>51</v>
      </c>
      <c r="K158" s="39" t="n">
        <v>40</v>
      </c>
      <c r="L158" s="40" t="n">
        <v>3200</v>
      </c>
      <c r="M158" s="40" t="n">
        <v>0</v>
      </c>
      <c r="N158" s="37" t="s">
        <v>255</v>
      </c>
      <c r="O158" s="37" t="s">
        <v>67</v>
      </c>
      <c r="P158" s="37"/>
      <c r="Q158" s="41" t="n">
        <v>0</v>
      </c>
      <c r="R158" s="37"/>
      <c r="S158" s="37"/>
      <c r="T158" s="37" t="n">
        <v>0</v>
      </c>
      <c r="U158" s="11" t="n">
        <f aca="false">IF(E158="TRANSPORT",IF(T158="","",T158*5),IF(AL158="","",AL158))</f>
        <v>0</v>
      </c>
      <c r="V158" s="37" t="s">
        <v>54</v>
      </c>
      <c r="W158" s="39" t="s">
        <v>65</v>
      </c>
      <c r="X158" s="39"/>
      <c r="Y158" s="42" t="n">
        <v>46233.6260185185</v>
      </c>
      <c r="Z158" s="43" t="n">
        <f aca="false">IF(I158="",0,IF(ISNUMBER(SEARCH("mp",LOWER(J158))),I158,IF(ISNUMBER(SEARCH("ton",LOWER(J158))),I158/0.33,IF(ISNUMBER(SEARCH("m3",LOWER(J158))),I158*4,I158))))</f>
        <v>80</v>
      </c>
      <c r="AA158" s="43" t="n">
        <f aca="false">IF(I158="",0,IF(ISNUMBER(SEARCH("mp",LOWER(J158))),I158*0.33,IF(ISNUMBER(SEARCH("ton",LOWER(J158))),I158,I158*0.33)))</f>
        <v>26.4</v>
      </c>
      <c r="AB158" s="43" t="n">
        <f aca="false">Tabela_dane[[#This Row],[Wolumen_t]]*8.5</f>
        <v>224.4</v>
      </c>
      <c r="AC158" s="43" t="n">
        <f aca="false">IF(G158&lt;&gt;"TAK",0,IF(OR(E158="ZAKUP",E158="PRODUKCJA"),Z158,IF(OR(E158="SPRZEDAŻ",E158="ZUŻYCIE"),-Z158,0)))</f>
        <v>80</v>
      </c>
      <c r="AD158" s="43" t="n">
        <f aca="false">IF(G158&lt;&gt;"TAK",0,IF(OR(E158="ZAKUP",E158="PRODUKCJA"),AA158,IF(OR(E158="SPRZEDAŻ",E158="ZUŻYCIE"),-AA158,0)))</f>
        <v>26.4</v>
      </c>
      <c r="AE158" s="44" t="n">
        <f aca="false">IF(E158="ZAKUP",IF(L158&lt;&gt;"",L158,IF(K158&lt;&gt;"",Z158*K158,0)),0)</f>
        <v>3200</v>
      </c>
      <c r="AF158" s="44" t="n">
        <f aca="false">IF(E158="SPRZEDAŻ",IF(M158&lt;&gt;"",Z158*M158,0),0)</f>
        <v>0</v>
      </c>
      <c r="AG158" s="44" t="str">
        <f aca="false">IF(R158="","",IF(LOWER(R158)="brak","Brak",IF(OR(ISNUMBER(SEARCH("ric pl",LOWER(R158))),ISNUMBER(SEARCH("wojciechowski",LOWER(R158)))),"Własny","Zewnętrzny")))</f>
        <v/>
      </c>
      <c r="AH158" s="44" t="n">
        <f aca="false">Z158*Q158</f>
        <v>0</v>
      </c>
      <c r="AI158" s="44" t="str">
        <f aca="false">UPPER(TEXT(C158,"mmmm"))</f>
        <v>JULY</v>
      </c>
      <c r="AJ158" s="44" t="str">
        <f aca="false">IF(C158="","",TEXT(C158,"rrrr"))</f>
        <v>CE5786CE5786</v>
      </c>
      <c r="AK158" s="10"/>
      <c r="AL158" s="11" t="n">
        <v>0</v>
      </c>
      <c r="AM158" s="10" t="s">
        <v>355</v>
      </c>
      <c r="AN158" s="10" t="s">
        <v>59</v>
      </c>
      <c r="AO158" s="10"/>
      <c r="AP158" s="10"/>
      <c r="AQ158" s="10"/>
      <c r="AR158" s="10" t="s">
        <v>66</v>
      </c>
      <c r="AS158" s="10"/>
      <c r="AT158" s="15" t="n">
        <v>1</v>
      </c>
    </row>
    <row r="159" customFormat="false" ht="28.5" hidden="false" customHeight="true" outlineLevel="0" collapsed="false">
      <c r="A159" s="23" t="n">
        <v>46226</v>
      </c>
      <c r="B159" s="12"/>
      <c r="C159" s="23" t="n">
        <v>46226</v>
      </c>
      <c r="D159" s="10" t="s">
        <v>54</v>
      </c>
      <c r="E159" s="10" t="s">
        <v>47</v>
      </c>
      <c r="F159" s="13" t="s">
        <v>354</v>
      </c>
      <c r="G159" s="14" t="s">
        <v>49</v>
      </c>
      <c r="H159" s="10" t="s">
        <v>76</v>
      </c>
      <c r="I159" s="15" t="n">
        <v>80</v>
      </c>
      <c r="J159" s="10" t="s">
        <v>51</v>
      </c>
      <c r="K159" s="15" t="n">
        <v>0</v>
      </c>
      <c r="L159" s="11" t="n">
        <v>0</v>
      </c>
      <c r="M159" s="11" t="n">
        <v>0</v>
      </c>
      <c r="N159" s="10" t="s">
        <v>258</v>
      </c>
      <c r="O159" s="10" t="s">
        <v>67</v>
      </c>
      <c r="P159" s="10" t="s">
        <v>53</v>
      </c>
      <c r="Q159" s="16" t="n">
        <v>10</v>
      </c>
      <c r="R159" s="10"/>
      <c r="S159" s="10"/>
      <c r="T159" s="10" t="n">
        <v>0</v>
      </c>
      <c r="U159" s="11" t="n">
        <f aca="false">IF(E159="TRANSPORT",IF(T159="","",T159*5),IF(AL159="","",AL159))</f>
        <v>0</v>
      </c>
      <c r="V159" s="10" t="s">
        <v>54</v>
      </c>
      <c r="W159" s="15" t="s">
        <v>70</v>
      </c>
      <c r="X159" s="15"/>
      <c r="Y159" s="17" t="n">
        <v>46233.6270138889</v>
      </c>
      <c r="Z159" s="18" t="n">
        <f aca="false">IF(I159="",0,IF(ISNUMBER(SEARCH("mp",LOWER(J159))),I159,IF(ISNUMBER(SEARCH("ton",LOWER(J159))),I159/0.33,IF(ISNUMBER(SEARCH("m3",LOWER(J159))),I159*4,I159))))</f>
        <v>80</v>
      </c>
      <c r="AA159" s="18" t="n">
        <f aca="false">IF(I159="",0,IF(ISNUMBER(SEARCH("mp",LOWER(J159))),I159*0.33,IF(ISNUMBER(SEARCH("ton",LOWER(J159))),I159,I159*0.33)))</f>
        <v>26.4</v>
      </c>
      <c r="AB159" s="18" t="n">
        <f aca="false">Tabela_dane[[#This Row],[Wolumen_t]]*8.5</f>
        <v>224.4</v>
      </c>
      <c r="AC159" s="18" t="n">
        <f aca="false">IF(G159&lt;&gt;"TAK",0,IF(OR(E159="ZAKUP",E159="PRODUKCJA"),Z159,IF(OR(E159="SPRZEDAŻ",E159="ZUŻYCIE"),-Z159,0)))</f>
        <v>80</v>
      </c>
      <c r="AD159" s="18" t="n">
        <f aca="false">IF(G159&lt;&gt;"TAK",0,IF(OR(E159="ZAKUP",E159="PRODUKCJA"),AA159,IF(OR(E159="SPRZEDAŻ",E159="ZUŻYCIE"),-AA159,0)))</f>
        <v>26.4</v>
      </c>
      <c r="AE159" s="19" t="n">
        <f aca="false">IF(E159="ZAKUP",IF(L159&lt;&gt;"",L159,IF(K159&lt;&gt;"",Z159*K159,0)),0)</f>
        <v>0</v>
      </c>
      <c r="AF159" s="19" t="n">
        <f aca="false">IF(E159="SPRZEDAŻ",IF(M159&lt;&gt;"",Z159*M159,0),0)</f>
        <v>0</v>
      </c>
      <c r="AG159" s="19" t="str">
        <f aca="false">IF(R159="","",IF(LOWER(R159)="brak","Brak",IF(OR(ISNUMBER(SEARCH("ric pl",LOWER(R159))),ISNUMBER(SEARCH("wojciechowski",LOWER(R159)))),"Własny","Zewnętrzny")))</f>
        <v/>
      </c>
      <c r="AH159" s="19" t="n">
        <f aca="false">Z159*Q159</f>
        <v>800</v>
      </c>
      <c r="AI159" s="19" t="str">
        <f aca="false">UPPER(TEXT(C159,"mmmm"))</f>
        <v>JULY</v>
      </c>
      <c r="AJ159" s="19" t="str">
        <f aca="false">IF(C159="","",TEXT(C159,"rrrr"))</f>
        <v>CE5786CE5786</v>
      </c>
      <c r="AK159" s="10"/>
      <c r="AL159" s="11" t="n">
        <v>0</v>
      </c>
      <c r="AM159" s="10" t="s">
        <v>356</v>
      </c>
      <c r="AN159" s="10" t="s">
        <v>59</v>
      </c>
      <c r="AO159" s="10"/>
      <c r="AP159" s="10"/>
      <c r="AQ159" s="10"/>
      <c r="AR159" s="10" t="s">
        <v>66</v>
      </c>
      <c r="AS159" s="10"/>
      <c r="AT159" s="15" t="n">
        <v>1</v>
      </c>
    </row>
    <row r="160" s="45" customFormat="true" ht="28.5" hidden="false" customHeight="true" outlineLevel="0" collapsed="false">
      <c r="A160" s="36" t="n">
        <v>46226</v>
      </c>
      <c r="B160" s="36"/>
      <c r="C160" s="36" t="n">
        <v>46226</v>
      </c>
      <c r="D160" s="10" t="s">
        <v>54</v>
      </c>
      <c r="E160" s="37" t="s">
        <v>79</v>
      </c>
      <c r="F160" s="13" t="s">
        <v>354</v>
      </c>
      <c r="G160" s="38" t="s">
        <v>49</v>
      </c>
      <c r="H160" s="37" t="s">
        <v>76</v>
      </c>
      <c r="I160" s="39" t="n">
        <v>80</v>
      </c>
      <c r="J160" s="37" t="s">
        <v>51</v>
      </c>
      <c r="K160" s="39" t="n">
        <v>0</v>
      </c>
      <c r="L160" s="40" t="n">
        <v>0</v>
      </c>
      <c r="M160" s="40" t="n">
        <v>0</v>
      </c>
      <c r="N160" s="37" t="s">
        <v>258</v>
      </c>
      <c r="O160" s="37" t="s">
        <v>67</v>
      </c>
      <c r="P160" s="37" t="s">
        <v>53</v>
      </c>
      <c r="Q160" s="41" t="n">
        <v>10</v>
      </c>
      <c r="R160" s="37"/>
      <c r="S160" s="37"/>
      <c r="T160" s="37" t="n">
        <v>0</v>
      </c>
      <c r="U160" s="11" t="n">
        <f aca="false">IF(E160="TRANSPORT",IF(T160="","",T160*5),IF(AL160="","",AL160))</f>
        <v>0</v>
      </c>
      <c r="V160" s="37" t="s">
        <v>54</v>
      </c>
      <c r="W160" s="39" t="s">
        <v>260</v>
      </c>
      <c r="X160" s="39"/>
      <c r="Y160" s="42" t="n">
        <v>46233.6270138889</v>
      </c>
      <c r="Z160" s="43" t="n">
        <f aca="false">IF(I160="",0,IF(ISNUMBER(SEARCH("mp",LOWER(J160))),I160,IF(ISNUMBER(SEARCH("ton",LOWER(J160))),I160/0.33,IF(ISNUMBER(SEARCH("m3",LOWER(J160))),I160*4,I160))))</f>
        <v>80</v>
      </c>
      <c r="AA160" s="43" t="n">
        <f aca="false">IF(I160="",0,IF(ISNUMBER(SEARCH("mp",LOWER(J160))),I160*0.33,IF(ISNUMBER(SEARCH("ton",LOWER(J160))),I160,I160*0.33)))</f>
        <v>26.4</v>
      </c>
      <c r="AB160" s="43" t="n">
        <f aca="false">Tabela_dane[[#This Row],[Wolumen_t]]*8.5</f>
        <v>224.4</v>
      </c>
      <c r="AC160" s="43" t="n">
        <f aca="false">IF(G160&lt;&gt;"TAK",0,IF(OR(E160="ZAKUP",E160="PRODUKCJA"),Z160,IF(OR(E160="SPRZEDAŻ",E160="ZUŻYCIE"),-Z160,0)))</f>
        <v>-80</v>
      </c>
      <c r="AD160" s="43" t="n">
        <f aca="false">IF(G160&lt;&gt;"TAK",0,IF(OR(E160="ZAKUP",E160="PRODUKCJA"),AA160,IF(OR(E160="SPRZEDAŻ",E160="ZUŻYCIE"),-AA160,0)))</f>
        <v>-26.4</v>
      </c>
      <c r="AE160" s="44" t="n">
        <f aca="false">IF(E160="ZAKUP",IF(L160&lt;&gt;"",L160,IF(K160&lt;&gt;"",Z160*K160,0)),0)</f>
        <v>0</v>
      </c>
      <c r="AF160" s="44" t="n">
        <f aca="false">IF(E160="SPRZEDAŻ",IF(M160&lt;&gt;"",Z160*M160,0),0)</f>
        <v>0</v>
      </c>
      <c r="AG160" s="44" t="str">
        <f aca="false">IF(R160="","",IF(LOWER(R160)="brak","Brak",IF(OR(ISNUMBER(SEARCH("ric pl",LOWER(R160))),ISNUMBER(SEARCH("wojciechowski",LOWER(R160)))),"Własny","Zewnętrzny")))</f>
        <v/>
      </c>
      <c r="AH160" s="44" t="n">
        <f aca="false">Z160*Q160</f>
        <v>800</v>
      </c>
      <c r="AI160" s="44" t="str">
        <f aca="false">UPPER(TEXT(C160,"mmmm"))</f>
        <v>JULY</v>
      </c>
      <c r="AJ160" s="44" t="str">
        <f aca="false">IF(C160="","",TEXT(C160,"rrrr"))</f>
        <v>CE5786CE5786</v>
      </c>
      <c r="AK160" s="10"/>
      <c r="AL160" s="11" t="n">
        <v>0</v>
      </c>
      <c r="AM160" s="10" t="s">
        <v>356</v>
      </c>
      <c r="AN160" s="10" t="s">
        <v>59</v>
      </c>
      <c r="AO160" s="10"/>
      <c r="AP160" s="10"/>
      <c r="AQ160" s="10"/>
      <c r="AR160" s="10" t="s">
        <v>81</v>
      </c>
      <c r="AS160" s="10"/>
      <c r="AT160" s="15" t="n">
        <v>1</v>
      </c>
    </row>
    <row r="161" customFormat="false" ht="28.5" hidden="false" customHeight="true" outlineLevel="0" collapsed="false">
      <c r="A161" s="23" t="n">
        <v>46226</v>
      </c>
      <c r="B161" s="12" t="s">
        <v>281</v>
      </c>
      <c r="C161" s="23" t="n">
        <v>46226</v>
      </c>
      <c r="D161" s="10" t="s">
        <v>54</v>
      </c>
      <c r="E161" s="10" t="s">
        <v>63</v>
      </c>
      <c r="F161" s="13" t="s">
        <v>354</v>
      </c>
      <c r="G161" s="14" t="s">
        <v>49</v>
      </c>
      <c r="H161" s="10" t="s">
        <v>76</v>
      </c>
      <c r="I161" s="15" t="n">
        <v>80</v>
      </c>
      <c r="J161" s="10" t="s">
        <v>51</v>
      </c>
      <c r="K161" s="15" t="n">
        <v>0</v>
      </c>
      <c r="L161" s="11" t="n">
        <v>0</v>
      </c>
      <c r="M161" s="11" t="n">
        <v>0</v>
      </c>
      <c r="N161" s="10" t="s">
        <v>258</v>
      </c>
      <c r="O161" s="10" t="s">
        <v>67</v>
      </c>
      <c r="P161" s="10"/>
      <c r="Q161" s="16" t="n">
        <v>0</v>
      </c>
      <c r="R161" s="10" t="s">
        <v>94</v>
      </c>
      <c r="S161" s="10" t="s">
        <v>95</v>
      </c>
      <c r="T161" s="10" t="n">
        <v>140</v>
      </c>
      <c r="U161" s="11" t="n">
        <f aca="false">IF(E161="TRANSPORT",IF(T161="","",T161*5),IF(AL161="","",AL161))</f>
        <v>700</v>
      </c>
      <c r="V161" s="10" t="s">
        <v>54</v>
      </c>
      <c r="W161" s="15" t="s">
        <v>70</v>
      </c>
      <c r="X161" s="15"/>
      <c r="Y161" s="17" t="n">
        <v>46233.6276388889</v>
      </c>
      <c r="Z161" s="18" t="n">
        <f aca="false">IF(I161="",0,IF(ISNUMBER(SEARCH("mp",LOWER(J161))),I161,IF(ISNUMBER(SEARCH("ton",LOWER(J161))),I161/0.33,IF(ISNUMBER(SEARCH("m3",LOWER(J161))),I161*4,I161))))</f>
        <v>80</v>
      </c>
      <c r="AA161" s="18" t="n">
        <f aca="false">IF(I161="",0,IF(ISNUMBER(SEARCH("mp",LOWER(J161))),I161*0.33,IF(ISNUMBER(SEARCH("ton",LOWER(J161))),I161,I161*0.33)))</f>
        <v>26.4</v>
      </c>
      <c r="AB161" s="18" t="n">
        <f aca="false">Tabela_dane[[#This Row],[Wolumen_t]]*8.5</f>
        <v>224.4</v>
      </c>
      <c r="AC161" s="18" t="n">
        <f aca="false">IF(G161&lt;&gt;"TAK",0,IF(OR(E161="ZAKUP",E161="PRODUKCJA"),Z161,IF(OR(E161="SPRZEDAŻ",E161="ZUŻYCIE"),-Z161,0)))</f>
        <v>80</v>
      </c>
      <c r="AD161" s="18" t="n">
        <f aca="false">IF(G161&lt;&gt;"TAK",0,IF(OR(E161="ZAKUP",E161="PRODUKCJA"),AA161,IF(OR(E161="SPRZEDAŻ",E161="ZUŻYCIE"),-AA161,0)))</f>
        <v>26.4</v>
      </c>
      <c r="AE161" s="19" t="n">
        <f aca="false">IF(E161="ZAKUP",IF(L161&lt;&gt;"",L161,IF(K161&lt;&gt;"",Z161*K161,0)),0)</f>
        <v>0</v>
      </c>
      <c r="AF161" s="19" t="n">
        <f aca="false">IF(E161="SPRZEDAŻ",IF(M161&lt;&gt;"",Z161*M161,0),0)</f>
        <v>0</v>
      </c>
      <c r="AG161" s="19" t="str">
        <f aca="false">IF(R161="","",IF(LOWER(R161)="brak","Brak",IF(OR(ISNUMBER(SEARCH("ric pl",LOWER(R161))),ISNUMBER(SEARCH("wojciechowski",LOWER(R161)))),"Własny","Zewnętrzny")))</f>
        <v>Zewnętrzny</v>
      </c>
      <c r="AH161" s="19" t="n">
        <f aca="false">Z161*Q161</f>
        <v>0</v>
      </c>
      <c r="AI161" s="19" t="str">
        <f aca="false">UPPER(TEXT(C161,"mmmm"))</f>
        <v>JULY</v>
      </c>
      <c r="AJ161" s="19" t="str">
        <f aca="false">IF(C161="","",TEXT(C161,"rrrr"))</f>
        <v>CE5786CE5786</v>
      </c>
      <c r="AK161" s="10"/>
      <c r="AL161" s="11" t="n">
        <v>700</v>
      </c>
      <c r="AM161" s="10" t="s">
        <v>357</v>
      </c>
      <c r="AN161" s="10" t="s">
        <v>49</v>
      </c>
      <c r="AO161" s="10"/>
      <c r="AP161" s="10"/>
      <c r="AQ161" s="10"/>
      <c r="AR161" s="10" t="s">
        <v>66</v>
      </c>
      <c r="AS161" s="10"/>
      <c r="AT161" s="15" t="n">
        <v>1</v>
      </c>
    </row>
    <row r="162" customFormat="false" ht="28.5" hidden="false" customHeight="true" outlineLevel="0" collapsed="false">
      <c r="A162" s="12" t="n">
        <v>46227</v>
      </c>
      <c r="B162" s="12"/>
      <c r="C162" s="12" t="n">
        <v>46227</v>
      </c>
      <c r="D162" s="10" t="s">
        <v>46</v>
      </c>
      <c r="E162" s="10" t="s">
        <v>63</v>
      </c>
      <c r="F162" s="20" t="s">
        <v>358</v>
      </c>
      <c r="G162" s="14" t="s">
        <v>49</v>
      </c>
      <c r="H162" s="10" t="s">
        <v>76</v>
      </c>
      <c r="I162" s="34" t="n">
        <v>15.09</v>
      </c>
      <c r="J162" s="10" t="s">
        <v>77</v>
      </c>
      <c r="K162" s="15" t="n">
        <v>230</v>
      </c>
      <c r="L162" s="11" t="n">
        <v>3470.7</v>
      </c>
      <c r="M162" s="11" t="n">
        <v>0</v>
      </c>
      <c r="N162" s="10" t="s">
        <v>64</v>
      </c>
      <c r="O162" s="10"/>
      <c r="P162" s="10"/>
      <c r="Q162" s="16" t="n">
        <v>0</v>
      </c>
      <c r="R162" s="10"/>
      <c r="S162" s="10"/>
      <c r="T162" s="10" t="n">
        <v>0</v>
      </c>
      <c r="U162" s="11" t="n">
        <f aca="false">IF(E162="TRANSPORT",IF(T162="","",T162*5),IF(AL162="","",AL162))</f>
        <v>0</v>
      </c>
      <c r="V162" s="10" t="s">
        <v>54</v>
      </c>
      <c r="W162" s="15" t="s">
        <v>242</v>
      </c>
      <c r="X162" s="15"/>
      <c r="Y162" s="17" t="n">
        <v>46229.8421643519</v>
      </c>
      <c r="Z162" s="18" t="n">
        <f aca="false">IF(I162="",0,IF(ISNUMBER(SEARCH("mp",LOWER(J162))),I162,IF(ISNUMBER(SEARCH("ton",LOWER(J162))),I162/0.33,IF(ISNUMBER(SEARCH("m3",LOWER(J162))),I162*4,I162))))</f>
        <v>60.36</v>
      </c>
      <c r="AA162" s="18" t="n">
        <f aca="false">IF(I162="",0,IF(ISNUMBER(SEARCH("mp",LOWER(J162))),I162*0.33,IF(ISNUMBER(SEARCH("ton",LOWER(J162))),I162,I162*0.33)))</f>
        <v>4.9797</v>
      </c>
      <c r="AB162" s="18" t="n">
        <f aca="false">Tabela_dane[[#This Row],[Wolumen_t]]*8.5</f>
        <v>42.32745</v>
      </c>
      <c r="AC162" s="18" t="n">
        <f aca="false">IF(G162&lt;&gt;"TAK",0,IF(OR(E162="ZAKUP",E162="PRODUKCJA"),Z162,IF(OR(E162="SPRZEDAŻ",E162="ZUŻYCIE"),-Z162,0)))</f>
        <v>60.36</v>
      </c>
      <c r="AD162" s="18" t="n">
        <f aca="false">IF(G162&lt;&gt;"TAK",0,IF(OR(E162="ZAKUP",E162="PRODUKCJA"),AA162,IF(OR(E162="SPRZEDAŻ",E162="ZUŻYCIE"),-AA162,0)))</f>
        <v>4.9797</v>
      </c>
      <c r="AE162" s="19" t="n">
        <f aca="false">IF(E162="ZAKUP",IF(L162&lt;&gt;"",L162,IF(K162&lt;&gt;"",Z162*K162,0)),0)</f>
        <v>3470.7</v>
      </c>
      <c r="AF162" s="19" t="n">
        <f aca="false">IF(E162="SPRZEDAŻ",IF(M162&lt;&gt;"",Z162*M162,0),0)</f>
        <v>0</v>
      </c>
      <c r="AG162" s="19" t="str">
        <f aca="false">IF(R162="","",IF(LOWER(R162)="brak","Brak",IF(OR(ISNUMBER(SEARCH("ric pl",LOWER(R162))),ISNUMBER(SEARCH("wojciechowski",LOWER(R162)))),"Własny","Zewnętrzny")))</f>
        <v/>
      </c>
      <c r="AH162" s="19" t="n">
        <f aca="false">Z162*Q162</f>
        <v>0</v>
      </c>
      <c r="AI162" s="19" t="str">
        <f aca="false">UPPER(TEXT(C162,"mmmm"))</f>
        <v>JULY</v>
      </c>
      <c r="AJ162" s="19" t="str">
        <f aca="false">IF(C162="","",TEXT(C162,"rrrr"))</f>
        <v>CE5786CE5786</v>
      </c>
      <c r="AK162" s="10"/>
      <c r="AL162" s="11" t="n">
        <v>0</v>
      </c>
      <c r="AM162" s="10" t="s">
        <v>359</v>
      </c>
      <c r="AN162" s="10" t="s">
        <v>59</v>
      </c>
      <c r="AO162" s="10"/>
      <c r="AP162" s="10"/>
      <c r="AQ162" s="10"/>
      <c r="AR162" s="10" t="s">
        <v>66</v>
      </c>
      <c r="AS162" s="10"/>
      <c r="AT162" s="15" t="n">
        <v>1</v>
      </c>
    </row>
    <row r="163" customFormat="false" ht="28.5" hidden="false" customHeight="true" outlineLevel="0" collapsed="false">
      <c r="A163" s="12" t="n">
        <v>46227</v>
      </c>
      <c r="B163" s="12"/>
      <c r="C163" s="12" t="n">
        <v>46227</v>
      </c>
      <c r="D163" s="10" t="s">
        <v>124</v>
      </c>
      <c r="E163" s="10" t="s">
        <v>63</v>
      </c>
      <c r="F163" s="13" t="s">
        <v>360</v>
      </c>
      <c r="G163" s="14" t="s">
        <v>49</v>
      </c>
      <c r="H163" s="10" t="s">
        <v>76</v>
      </c>
      <c r="I163" s="15" t="n">
        <v>24.36</v>
      </c>
      <c r="J163" s="10" t="s">
        <v>103</v>
      </c>
      <c r="K163" s="15" t="n">
        <v>275</v>
      </c>
      <c r="L163" s="11" t="n">
        <v>6699</v>
      </c>
      <c r="M163" s="11" t="n">
        <v>0</v>
      </c>
      <c r="N163" s="10" t="s">
        <v>104</v>
      </c>
      <c r="O163" s="10" t="s">
        <v>67</v>
      </c>
      <c r="P163" s="10"/>
      <c r="Q163" s="16" t="n">
        <v>0</v>
      </c>
      <c r="R163" s="10"/>
      <c r="S163" s="10"/>
      <c r="T163" s="10" t="n">
        <v>0</v>
      </c>
      <c r="U163" s="11" t="n">
        <f aca="false">IF(E163="TRANSPORT",IF(T163="","",T163*5),IF(AL163="","",AL163))</f>
        <v>0</v>
      </c>
      <c r="V163" s="10" t="s">
        <v>54</v>
      </c>
      <c r="W163" s="15" t="s">
        <v>361</v>
      </c>
      <c r="X163" s="15"/>
      <c r="Y163" s="17" t="n">
        <v>46229.8453587963</v>
      </c>
      <c r="Z163" s="18" t="n">
        <f aca="false">IF(I163="",0,IF(ISNUMBER(SEARCH("mp",LOWER(J163))),I163,IF(ISNUMBER(SEARCH("ton",LOWER(J163))),I163/0.33,IF(ISNUMBER(SEARCH("m3",LOWER(J163))),I163*4,I163))))</f>
        <v>73.8181818181818</v>
      </c>
      <c r="AA163" s="18" t="n">
        <f aca="false">IF(I163="",0,IF(ISNUMBER(SEARCH("mp",LOWER(J163))),I163*0.33,IF(ISNUMBER(SEARCH("ton",LOWER(J163))),I163,I163*0.33)))</f>
        <v>24.36</v>
      </c>
      <c r="AB163" s="18" t="n">
        <f aca="false">Tabela_dane[[#This Row],[Wolumen_t]]*8.5</f>
        <v>207.06</v>
      </c>
      <c r="AC163" s="18" t="n">
        <f aca="false">IF(G163&lt;&gt;"TAK",0,IF(OR(E163="ZAKUP",E163="PRODUKCJA"),Z163,IF(OR(E163="SPRZEDAŻ",E163="ZUŻYCIE"),-Z163,0)))</f>
        <v>73.8181818181818</v>
      </c>
      <c r="AD163" s="18" t="n">
        <f aca="false">IF(G163&lt;&gt;"TAK",0,IF(OR(E163="ZAKUP",E163="PRODUKCJA"),AA163,IF(OR(E163="SPRZEDAŻ",E163="ZUŻYCIE"),-AA163,0)))</f>
        <v>24.36</v>
      </c>
      <c r="AE163" s="19" t="n">
        <f aca="false">IF(E163="ZAKUP",IF(L163&lt;&gt;"",L163,IF(K163&lt;&gt;"",Z163*K163,0)),0)</f>
        <v>6699</v>
      </c>
      <c r="AF163" s="19" t="n">
        <f aca="false">IF(E163="SPRZEDAŻ",IF(M163&lt;&gt;"",Z163*M163,0),0)</f>
        <v>0</v>
      </c>
      <c r="AG163" s="19" t="str">
        <f aca="false">IF(R163="","",IF(LOWER(R163)="brak","Brak",IF(OR(ISNUMBER(SEARCH("ric pl",LOWER(R163))),ISNUMBER(SEARCH("wojciechowski",LOWER(R163)))),"Własny","Zewnętrzny")))</f>
        <v/>
      </c>
      <c r="AH163" s="19" t="n">
        <f aca="false">Z163*Q163</f>
        <v>0</v>
      </c>
      <c r="AI163" s="19" t="str">
        <f aca="false">UPPER(TEXT(C163,"mmmm"))</f>
        <v>JULY</v>
      </c>
      <c r="AJ163" s="19" t="str">
        <f aca="false">IF(C163="","",TEXT(C163,"rrrr"))</f>
        <v>CE5786CE5786</v>
      </c>
      <c r="AK163" s="10"/>
      <c r="AL163" s="11" t="n">
        <v>0</v>
      </c>
      <c r="AM163" s="10" t="s">
        <v>362</v>
      </c>
      <c r="AN163" s="10" t="s">
        <v>59</v>
      </c>
      <c r="AO163" s="10"/>
      <c r="AP163" s="10"/>
      <c r="AQ163" s="10"/>
      <c r="AR163" s="10" t="s">
        <v>66</v>
      </c>
      <c r="AS163" s="10"/>
      <c r="AT163" s="15" t="n">
        <v>1</v>
      </c>
    </row>
    <row r="164" customFormat="false" ht="28.5" hidden="false" customHeight="true" outlineLevel="0" collapsed="false">
      <c r="A164" s="12" t="n">
        <v>46227</v>
      </c>
      <c r="B164" s="12"/>
      <c r="C164" s="12" t="n">
        <v>46227</v>
      </c>
      <c r="D164" s="10" t="s">
        <v>124</v>
      </c>
      <c r="E164" s="10" t="s">
        <v>63</v>
      </c>
      <c r="F164" s="13" t="s">
        <v>363</v>
      </c>
      <c r="G164" s="14" t="s">
        <v>49</v>
      </c>
      <c r="H164" s="10" t="s">
        <v>76</v>
      </c>
      <c r="I164" s="15" t="n">
        <v>23.18</v>
      </c>
      <c r="J164" s="10" t="s">
        <v>103</v>
      </c>
      <c r="K164" s="15" t="n">
        <v>275</v>
      </c>
      <c r="L164" s="11" t="n">
        <v>6374.5</v>
      </c>
      <c r="M164" s="11" t="n">
        <v>0</v>
      </c>
      <c r="N164" s="10" t="s">
        <v>104</v>
      </c>
      <c r="O164" s="10" t="s">
        <v>67</v>
      </c>
      <c r="P164" s="10"/>
      <c r="Q164" s="16" t="n">
        <v>0</v>
      </c>
      <c r="R164" s="10"/>
      <c r="S164" s="10"/>
      <c r="T164" s="10" t="n">
        <v>0</v>
      </c>
      <c r="U164" s="11" t="n">
        <f aca="false">IF(E164="TRANSPORT",IF(T164="","",T164*5),IF(AL164="","",AL164))</f>
        <v>0</v>
      </c>
      <c r="V164" s="10" t="s">
        <v>54</v>
      </c>
      <c r="W164" s="15" t="s">
        <v>364</v>
      </c>
      <c r="X164" s="15"/>
      <c r="Y164" s="17" t="n">
        <v>46229.8465046296</v>
      </c>
      <c r="Z164" s="18" t="n">
        <f aca="false">IF(I164="",0,IF(ISNUMBER(SEARCH("mp",LOWER(J164))),I164,IF(ISNUMBER(SEARCH("ton",LOWER(J164))),I164/0.33,IF(ISNUMBER(SEARCH("m3",LOWER(J164))),I164*4,I164))))</f>
        <v>70.2424242424242</v>
      </c>
      <c r="AA164" s="18" t="n">
        <f aca="false">IF(I164="",0,IF(ISNUMBER(SEARCH("mp",LOWER(J164))),I164*0.33,IF(ISNUMBER(SEARCH("ton",LOWER(J164))),I164,I164*0.33)))</f>
        <v>23.18</v>
      </c>
      <c r="AB164" s="18" t="n">
        <f aca="false">Tabela_dane[[#This Row],[Wolumen_t]]*8.5</f>
        <v>197.03</v>
      </c>
      <c r="AC164" s="18" t="n">
        <f aca="false">IF(G164&lt;&gt;"TAK",0,IF(OR(E164="ZAKUP",E164="PRODUKCJA"),Z164,IF(OR(E164="SPRZEDAŻ",E164="ZUŻYCIE"),-Z164,0)))</f>
        <v>70.2424242424242</v>
      </c>
      <c r="AD164" s="18" t="n">
        <f aca="false">IF(G164&lt;&gt;"TAK",0,IF(OR(E164="ZAKUP",E164="PRODUKCJA"),AA164,IF(OR(E164="SPRZEDAŻ",E164="ZUŻYCIE"),-AA164,0)))</f>
        <v>23.18</v>
      </c>
      <c r="AE164" s="19" t="n">
        <f aca="false">IF(E164="ZAKUP",IF(L164&lt;&gt;"",L164,IF(K164&lt;&gt;"",Z164*K164,0)),0)</f>
        <v>6374.5</v>
      </c>
      <c r="AF164" s="19" t="n">
        <f aca="false">IF(E164="SPRZEDAŻ",IF(M164&lt;&gt;"",Z164*M164,0),0)</f>
        <v>0</v>
      </c>
      <c r="AG164" s="19" t="str">
        <f aca="false">IF(R164="","",IF(LOWER(R164)="brak","Brak",IF(OR(ISNUMBER(SEARCH("ric pl",LOWER(R164))),ISNUMBER(SEARCH("wojciechowski",LOWER(R164)))),"Własny","Zewnętrzny")))</f>
        <v/>
      </c>
      <c r="AH164" s="19" t="n">
        <f aca="false">Z164*Q164</f>
        <v>0</v>
      </c>
      <c r="AI164" s="19" t="str">
        <f aca="false">UPPER(TEXT(C164,"mmmm"))</f>
        <v>JULY</v>
      </c>
      <c r="AJ164" s="19" t="str">
        <f aca="false">IF(C164="","",TEXT(C164,"rrrr"))</f>
        <v>CE5786CE5786</v>
      </c>
      <c r="AK164" s="10"/>
      <c r="AL164" s="11" t="n">
        <v>0</v>
      </c>
      <c r="AM164" s="10" t="s">
        <v>365</v>
      </c>
      <c r="AN164" s="10" t="s">
        <v>59</v>
      </c>
      <c r="AO164" s="10"/>
      <c r="AP164" s="10"/>
      <c r="AQ164" s="10"/>
      <c r="AR164" s="10" t="s">
        <v>66</v>
      </c>
      <c r="AS164" s="10"/>
      <c r="AT164" s="15" t="n">
        <v>1</v>
      </c>
    </row>
    <row r="165" customFormat="false" ht="28.5" hidden="false" customHeight="true" outlineLevel="0" collapsed="false">
      <c r="A165" s="12" t="n">
        <v>46227</v>
      </c>
      <c r="B165" s="12"/>
      <c r="C165" s="12" t="n">
        <v>46227</v>
      </c>
      <c r="D165" s="10" t="s">
        <v>124</v>
      </c>
      <c r="E165" s="10" t="s">
        <v>63</v>
      </c>
      <c r="F165" s="13" t="s">
        <v>366</v>
      </c>
      <c r="G165" s="14" t="s">
        <v>49</v>
      </c>
      <c r="H165" s="10" t="s">
        <v>76</v>
      </c>
      <c r="I165" s="15" t="n">
        <v>23.52</v>
      </c>
      <c r="J165" s="10" t="s">
        <v>103</v>
      </c>
      <c r="K165" s="15" t="n">
        <v>275</v>
      </c>
      <c r="L165" s="11" t="n">
        <v>6468</v>
      </c>
      <c r="M165" s="11" t="n">
        <v>0</v>
      </c>
      <c r="N165" s="10" t="s">
        <v>104</v>
      </c>
      <c r="O165" s="10" t="s">
        <v>67</v>
      </c>
      <c r="P165" s="10"/>
      <c r="Q165" s="16" t="n">
        <v>0</v>
      </c>
      <c r="R165" s="10"/>
      <c r="S165" s="10"/>
      <c r="T165" s="10" t="n">
        <v>0</v>
      </c>
      <c r="U165" s="11" t="n">
        <f aca="false">IF(E165="TRANSPORT",IF(T165="","",T165*5),IF(AL165="","",AL165))</f>
        <v>0</v>
      </c>
      <c r="V165" s="10" t="s">
        <v>54</v>
      </c>
      <c r="W165" s="15" t="s">
        <v>367</v>
      </c>
      <c r="X165" s="15"/>
      <c r="Y165" s="17" t="n">
        <v>46229.847662037</v>
      </c>
      <c r="Z165" s="18" t="n">
        <f aca="false">IF(I165="",0,IF(ISNUMBER(SEARCH("mp",LOWER(J165))),I165,IF(ISNUMBER(SEARCH("ton",LOWER(J165))),I165/0.33,IF(ISNUMBER(SEARCH("m3",LOWER(J165))),I165*4,I165))))</f>
        <v>71.2727272727273</v>
      </c>
      <c r="AA165" s="18" t="n">
        <f aca="false">IF(I165="",0,IF(ISNUMBER(SEARCH("mp",LOWER(J165))),I165*0.33,IF(ISNUMBER(SEARCH("ton",LOWER(J165))),I165,I165*0.33)))</f>
        <v>23.52</v>
      </c>
      <c r="AB165" s="18" t="n">
        <f aca="false">Tabela_dane[[#This Row],[Wolumen_t]]*8.5</f>
        <v>199.92</v>
      </c>
      <c r="AC165" s="18" t="n">
        <f aca="false">IF(G165&lt;&gt;"TAK",0,IF(OR(E165="ZAKUP",E165="PRODUKCJA"),Z165,IF(OR(E165="SPRZEDAŻ",E165="ZUŻYCIE"),-Z165,0)))</f>
        <v>71.2727272727273</v>
      </c>
      <c r="AD165" s="18" t="n">
        <f aca="false">IF(G165&lt;&gt;"TAK",0,IF(OR(E165="ZAKUP",E165="PRODUKCJA"),AA165,IF(OR(E165="SPRZEDAŻ",E165="ZUŻYCIE"),-AA165,0)))</f>
        <v>23.52</v>
      </c>
      <c r="AE165" s="19" t="n">
        <f aca="false">IF(E165="ZAKUP",IF(L165&lt;&gt;"",L165,IF(K165&lt;&gt;"",Z165*K165,0)),0)</f>
        <v>6468</v>
      </c>
      <c r="AF165" s="19" t="n">
        <f aca="false">IF(E165="SPRZEDAŻ",IF(M165&lt;&gt;"",Z165*M165,0),0)</f>
        <v>0</v>
      </c>
      <c r="AG165" s="19" t="str">
        <f aca="false">IF(R165="","",IF(LOWER(R165)="brak","Brak",IF(OR(ISNUMBER(SEARCH("ric pl",LOWER(R165))),ISNUMBER(SEARCH("wojciechowski",LOWER(R165)))),"Własny","Zewnętrzny")))</f>
        <v/>
      </c>
      <c r="AH165" s="19" t="n">
        <f aca="false">Z165*Q165</f>
        <v>0</v>
      </c>
      <c r="AI165" s="19" t="str">
        <f aca="false">UPPER(TEXT(C165,"mmmm"))</f>
        <v>JULY</v>
      </c>
      <c r="AJ165" s="19" t="str">
        <f aca="false">IF(C165="","",TEXT(C165,"rrrr"))</f>
        <v>CE5786CE5786</v>
      </c>
      <c r="AK165" s="10"/>
      <c r="AL165" s="11" t="n">
        <v>0</v>
      </c>
      <c r="AM165" s="10" t="s">
        <v>368</v>
      </c>
      <c r="AN165" s="10" t="s">
        <v>59</v>
      </c>
      <c r="AO165" s="10"/>
      <c r="AP165" s="10"/>
      <c r="AQ165" s="10"/>
      <c r="AR165" s="10" t="s">
        <v>66</v>
      </c>
      <c r="AS165" s="10"/>
      <c r="AT165" s="15" t="n">
        <v>1</v>
      </c>
    </row>
    <row r="166" customFormat="false" ht="28.5" hidden="false" customHeight="true" outlineLevel="0" collapsed="false">
      <c r="A166" s="12" t="n">
        <v>46227</v>
      </c>
      <c r="B166" s="12"/>
      <c r="C166" s="12" t="n">
        <v>46227</v>
      </c>
      <c r="D166" s="10" t="s">
        <v>124</v>
      </c>
      <c r="E166" s="10" t="s">
        <v>63</v>
      </c>
      <c r="F166" s="13" t="s">
        <v>369</v>
      </c>
      <c r="G166" s="14" t="s">
        <v>49</v>
      </c>
      <c r="H166" s="10" t="s">
        <v>76</v>
      </c>
      <c r="I166" s="15" t="n">
        <v>23.78</v>
      </c>
      <c r="J166" s="10" t="s">
        <v>103</v>
      </c>
      <c r="K166" s="15" t="n">
        <v>275</v>
      </c>
      <c r="L166" s="11" t="n">
        <v>6539.5</v>
      </c>
      <c r="M166" s="11" t="n">
        <v>0</v>
      </c>
      <c r="N166" s="10" t="s">
        <v>104</v>
      </c>
      <c r="O166" s="10" t="s">
        <v>67</v>
      </c>
      <c r="P166" s="10"/>
      <c r="Q166" s="16" t="n">
        <v>0</v>
      </c>
      <c r="R166" s="10"/>
      <c r="S166" s="10"/>
      <c r="T166" s="10" t="n">
        <v>0</v>
      </c>
      <c r="U166" s="11" t="n">
        <f aca="false">IF(E166="TRANSPORT",IF(T166="","",T166*5),IF(AL166="","",AL166))</f>
        <v>0</v>
      </c>
      <c r="V166" s="10" t="s">
        <v>54</v>
      </c>
      <c r="W166" s="15" t="s">
        <v>361</v>
      </c>
      <c r="X166" s="15"/>
      <c r="Y166" s="17" t="n">
        <v>46229.8484259259</v>
      </c>
      <c r="Z166" s="18" t="n">
        <f aca="false">IF(I166="",0,IF(ISNUMBER(SEARCH("mp",LOWER(J166))),I166,IF(ISNUMBER(SEARCH("ton",LOWER(J166))),I166/0.33,IF(ISNUMBER(SEARCH("m3",LOWER(J166))),I166*4,I166))))</f>
        <v>72.0606060606061</v>
      </c>
      <c r="AA166" s="18" t="n">
        <f aca="false">IF(I166="",0,IF(ISNUMBER(SEARCH("mp",LOWER(J166))),I166*0.33,IF(ISNUMBER(SEARCH("ton",LOWER(J166))),I166,I166*0.33)))</f>
        <v>23.78</v>
      </c>
      <c r="AB166" s="18" t="n">
        <f aca="false">Tabela_dane[[#This Row],[Wolumen_t]]*8.5</f>
        <v>202.13</v>
      </c>
      <c r="AC166" s="18" t="n">
        <f aca="false">IF(G166&lt;&gt;"TAK",0,IF(OR(E166="ZAKUP",E166="PRODUKCJA"),Z166,IF(OR(E166="SPRZEDAŻ",E166="ZUŻYCIE"),-Z166,0)))</f>
        <v>72.0606060606061</v>
      </c>
      <c r="AD166" s="18" t="n">
        <f aca="false">IF(G166&lt;&gt;"TAK",0,IF(OR(E166="ZAKUP",E166="PRODUKCJA"),AA166,IF(OR(E166="SPRZEDAŻ",E166="ZUŻYCIE"),-AA166,0)))</f>
        <v>23.78</v>
      </c>
      <c r="AE166" s="19" t="n">
        <f aca="false">IF(E166="ZAKUP",IF(L166&lt;&gt;"",L166,IF(K166&lt;&gt;"",Z166*K166,0)),0)</f>
        <v>6539.5</v>
      </c>
      <c r="AF166" s="19" t="n">
        <f aca="false">IF(E166="SPRZEDAŻ",IF(M166&lt;&gt;"",Z166*M166,0),0)</f>
        <v>0</v>
      </c>
      <c r="AG166" s="19" t="str">
        <f aca="false">IF(R166="","",IF(LOWER(R166)="brak","Brak",IF(OR(ISNUMBER(SEARCH("ric pl",LOWER(R166))),ISNUMBER(SEARCH("wojciechowski",LOWER(R166)))),"Własny","Zewnętrzny")))</f>
        <v/>
      </c>
      <c r="AH166" s="19" t="n">
        <f aca="false">Z166*Q166</f>
        <v>0</v>
      </c>
      <c r="AI166" s="19" t="str">
        <f aca="false">UPPER(TEXT(C166,"mmmm"))</f>
        <v>JULY</v>
      </c>
      <c r="AJ166" s="19" t="str">
        <f aca="false">IF(C166="","",TEXT(C166,"rrrr"))</f>
        <v>CE5786CE5786</v>
      </c>
      <c r="AK166" s="10"/>
      <c r="AL166" s="11" t="n">
        <v>0</v>
      </c>
      <c r="AM166" s="10" t="s">
        <v>370</v>
      </c>
      <c r="AN166" s="10" t="s">
        <v>59</v>
      </c>
      <c r="AO166" s="10"/>
      <c r="AP166" s="10"/>
      <c r="AQ166" s="10"/>
      <c r="AR166" s="10" t="s">
        <v>66</v>
      </c>
      <c r="AS166" s="10"/>
      <c r="AT166" s="15" t="n">
        <v>1</v>
      </c>
    </row>
    <row r="167" customFormat="false" ht="28.5" hidden="false" customHeight="true" outlineLevel="0" collapsed="false">
      <c r="A167" s="12" t="n">
        <v>46227</v>
      </c>
      <c r="B167" s="12"/>
      <c r="C167" s="12" t="n">
        <v>46227</v>
      </c>
      <c r="D167" s="10" t="s">
        <v>124</v>
      </c>
      <c r="E167" s="10" t="s">
        <v>63</v>
      </c>
      <c r="F167" s="13" t="s">
        <v>371</v>
      </c>
      <c r="G167" s="14" t="s">
        <v>49</v>
      </c>
      <c r="H167" s="10" t="s">
        <v>76</v>
      </c>
      <c r="I167" s="15" t="n">
        <v>23.9</v>
      </c>
      <c r="J167" s="10" t="s">
        <v>103</v>
      </c>
      <c r="K167" s="15" t="n">
        <v>275</v>
      </c>
      <c r="L167" s="11" t="n">
        <v>6594.5</v>
      </c>
      <c r="M167" s="11" t="n">
        <v>0</v>
      </c>
      <c r="N167" s="10" t="s">
        <v>104</v>
      </c>
      <c r="O167" s="10" t="s">
        <v>67</v>
      </c>
      <c r="P167" s="10"/>
      <c r="Q167" s="16" t="n">
        <v>0</v>
      </c>
      <c r="R167" s="10"/>
      <c r="S167" s="10"/>
      <c r="T167" s="10" t="n">
        <v>0</v>
      </c>
      <c r="U167" s="11" t="n">
        <f aca="false">IF(E167="TRANSPORT",IF(T167="","",T167*5),IF(AL167="","",AL167))</f>
        <v>0</v>
      </c>
      <c r="V167" s="10" t="s">
        <v>54</v>
      </c>
      <c r="W167" s="15" t="s">
        <v>361</v>
      </c>
      <c r="X167" s="15"/>
      <c r="Y167" s="17" t="n">
        <v>46229.8497916667</v>
      </c>
      <c r="Z167" s="18" t="n">
        <f aca="false">IF(I167="",0,IF(ISNUMBER(SEARCH("mp",LOWER(J167))),I167,IF(ISNUMBER(SEARCH("ton",LOWER(J167))),I167/0.33,IF(ISNUMBER(SEARCH("m3",LOWER(J167))),I167*4,I167))))</f>
        <v>72.4242424242424</v>
      </c>
      <c r="AA167" s="18" t="n">
        <f aca="false">IF(I167="",0,IF(ISNUMBER(SEARCH("mp",LOWER(J167))),I167*0.33,IF(ISNUMBER(SEARCH("ton",LOWER(J167))),I167,I167*0.33)))</f>
        <v>23.9</v>
      </c>
      <c r="AB167" s="18" t="n">
        <f aca="false">Tabela_dane[[#This Row],[Wolumen_t]]*8.5</f>
        <v>203.15</v>
      </c>
      <c r="AC167" s="18" t="n">
        <f aca="false">IF(G167&lt;&gt;"TAK",0,IF(OR(E167="ZAKUP",E167="PRODUKCJA"),Z167,IF(OR(E167="SPRZEDAŻ",E167="ZUŻYCIE"),-Z167,0)))</f>
        <v>72.4242424242424</v>
      </c>
      <c r="AD167" s="18" t="n">
        <f aca="false">IF(G167&lt;&gt;"TAK",0,IF(OR(E167="ZAKUP",E167="PRODUKCJA"),AA167,IF(OR(E167="SPRZEDAŻ",E167="ZUŻYCIE"),-AA167,0)))</f>
        <v>23.9</v>
      </c>
      <c r="AE167" s="19" t="n">
        <f aca="false">IF(E167="ZAKUP",IF(L167&lt;&gt;"",L167,IF(K167&lt;&gt;"",Z167*K167,0)),0)</f>
        <v>6594.5</v>
      </c>
      <c r="AF167" s="19" t="n">
        <f aca="false">IF(E167="SPRZEDAŻ",IF(M167&lt;&gt;"",Z167*M167,0),0)</f>
        <v>0</v>
      </c>
      <c r="AG167" s="19" t="str">
        <f aca="false">IF(R167="","",IF(LOWER(R167)="brak","Brak",IF(OR(ISNUMBER(SEARCH("ric pl",LOWER(R167))),ISNUMBER(SEARCH("wojciechowski",LOWER(R167)))),"Własny","Zewnętrzny")))</f>
        <v/>
      </c>
      <c r="AH167" s="19" t="n">
        <f aca="false">Z167*Q167</f>
        <v>0</v>
      </c>
      <c r="AI167" s="19" t="str">
        <f aca="false">UPPER(TEXT(C167,"mmmm"))</f>
        <v>JULY</v>
      </c>
      <c r="AJ167" s="19" t="str">
        <f aca="false">IF(C167="","",TEXT(C167,"rrrr"))</f>
        <v>CE5786CE5786</v>
      </c>
      <c r="AK167" s="10"/>
      <c r="AL167" s="11" t="n">
        <v>0</v>
      </c>
      <c r="AM167" s="10" t="s">
        <v>372</v>
      </c>
      <c r="AN167" s="10" t="s">
        <v>59</v>
      </c>
      <c r="AO167" s="10"/>
      <c r="AP167" s="10"/>
      <c r="AQ167" s="10"/>
      <c r="AR167" s="10" t="s">
        <v>66</v>
      </c>
      <c r="AS167" s="10"/>
      <c r="AT167" s="15" t="n">
        <v>1</v>
      </c>
    </row>
    <row r="168" customFormat="false" ht="28.5" hidden="false" customHeight="true" outlineLevel="0" collapsed="false">
      <c r="A168" s="23" t="n">
        <v>46227</v>
      </c>
      <c r="B168" s="23" t="s">
        <v>217</v>
      </c>
      <c r="C168" s="23" t="n">
        <v>46227</v>
      </c>
      <c r="D168" s="10" t="s">
        <v>218</v>
      </c>
      <c r="E168" s="24" t="s">
        <v>63</v>
      </c>
      <c r="F168" s="25" t="s">
        <v>373</v>
      </c>
      <c r="G168" s="26" t="s">
        <v>49</v>
      </c>
      <c r="H168" s="24" t="s">
        <v>76</v>
      </c>
      <c r="I168" s="27" t="n">
        <v>1185.4</v>
      </c>
      <c r="J168" s="24" t="s">
        <v>103</v>
      </c>
      <c r="K168" s="27" t="n">
        <v>0</v>
      </c>
      <c r="L168" s="28" t="n">
        <v>0</v>
      </c>
      <c r="M168" s="28" t="n">
        <v>0</v>
      </c>
      <c r="N168" s="24" t="s">
        <v>220</v>
      </c>
      <c r="O168" s="24"/>
      <c r="P168" s="24"/>
      <c r="Q168" s="29" t="n">
        <v>0</v>
      </c>
      <c r="R168" s="24" t="s">
        <v>221</v>
      </c>
      <c r="S168" s="24"/>
      <c r="T168" s="24" t="n">
        <v>0</v>
      </c>
      <c r="U168" s="11" t="n">
        <f aca="false">IF(E168="TRANSPORT",IF(T168="","",T168*5),IF(AL168="","",AL168))</f>
        <v>0</v>
      </c>
      <c r="V168" s="24" t="s">
        <v>54</v>
      </c>
      <c r="W168" s="27" t="s">
        <v>374</v>
      </c>
      <c r="X168" s="27"/>
      <c r="Y168" s="30" t="n">
        <v>46231.305625</v>
      </c>
      <c r="Z168" s="31" t="n">
        <f aca="false">IF(I168="",0,IF(ISNUMBER(SEARCH("mp",LOWER(J168))),I168,IF(ISNUMBER(SEARCH("ton",LOWER(J168))),I168/0.33,IF(ISNUMBER(SEARCH("m3",LOWER(J168))),I168*4,I168))))</f>
        <v>3592.12121212121</v>
      </c>
      <c r="AA168" s="31" t="n">
        <f aca="false">IF(I168="",0,IF(ISNUMBER(SEARCH("mp",LOWER(J168))),I168*0.33,IF(ISNUMBER(SEARCH("ton",LOWER(J168))),I168,I168*0.33)))</f>
        <v>1185.4</v>
      </c>
      <c r="AB168" s="31" t="n">
        <f aca="false">Tabela_dane[[#This Row],[Wolumen_t]]*8.5</f>
        <v>10075.9</v>
      </c>
      <c r="AC168" s="31" t="n">
        <f aca="false">IF(G168&lt;&gt;"TAK",0,IF(OR(E168="ZAKUP",E168="PRODUKCJA"),Z168,IF(OR(E168="SPRZEDAŻ",E168="ZUŻYCIE"),-Z168,0)))</f>
        <v>3592.12121212121</v>
      </c>
      <c r="AD168" s="31" t="n">
        <f aca="false">IF(G168&lt;&gt;"TAK",0,IF(OR(E168="ZAKUP",E168="PRODUKCJA"),AA168,IF(OR(E168="SPRZEDAŻ",E168="ZUŻYCIE"),-AA168,0)))</f>
        <v>1185.4</v>
      </c>
      <c r="AE168" s="32" t="n">
        <f aca="false">IF(E168="ZAKUP",IF(L168&lt;&gt;"",L168,IF(K168&lt;&gt;"",Z168*K168,0)),0)</f>
        <v>0</v>
      </c>
      <c r="AF168" s="32" t="n">
        <f aca="false">IF(E168="SPRZEDAŻ",IF(M168&lt;&gt;"",Z168*M168,0),0)</f>
        <v>0</v>
      </c>
      <c r="AG168" s="32" t="str">
        <f aca="false">IF(R168="","",IF(LOWER(R168)="brak","Brak",IF(OR(ISNUMBER(SEARCH("ric pl",LOWER(R168))),ISNUMBER(SEARCH("wojciechowski",LOWER(R168)))),"Własny","Zewnętrzny")))</f>
        <v>Zewnętrzny</v>
      </c>
      <c r="AH168" s="32" t="n">
        <f aca="false">Z168*Q168</f>
        <v>0</v>
      </c>
      <c r="AI168" s="32" t="str">
        <f aca="false">UPPER(TEXT(C168,"mmmm"))</f>
        <v>JULY</v>
      </c>
      <c r="AJ168" s="32" t="str">
        <f aca="false">IF(C168="","",TEXT(C168,"rrrr"))</f>
        <v>CE5786CE5786</v>
      </c>
      <c r="AK168" s="10"/>
      <c r="AL168" s="11" t="n">
        <v>0</v>
      </c>
      <c r="AM168" s="10" t="s">
        <v>375</v>
      </c>
      <c r="AN168" s="10" t="s">
        <v>49</v>
      </c>
      <c r="AO168" s="10"/>
      <c r="AP168" s="10"/>
      <c r="AQ168" s="10"/>
      <c r="AR168" s="10" t="s">
        <v>66</v>
      </c>
      <c r="AS168" s="10"/>
      <c r="AT168" s="15" t="n">
        <v>1</v>
      </c>
    </row>
    <row r="169" customFormat="false" ht="28.5" hidden="false" customHeight="true" outlineLevel="0" collapsed="false">
      <c r="A169" s="12" t="n">
        <v>46230</v>
      </c>
      <c r="B169" s="12"/>
      <c r="C169" s="12" t="n">
        <v>46230</v>
      </c>
      <c r="D169" s="10" t="s">
        <v>376</v>
      </c>
      <c r="E169" s="10" t="s">
        <v>63</v>
      </c>
      <c r="F169" s="13" t="s">
        <v>377</v>
      </c>
      <c r="G169" s="14" t="s">
        <v>49</v>
      </c>
      <c r="H169" s="10" t="s">
        <v>76</v>
      </c>
      <c r="I169" s="15" t="n">
        <v>57</v>
      </c>
      <c r="J169" s="10" t="s">
        <v>51</v>
      </c>
      <c r="K169" s="15" t="n">
        <v>40</v>
      </c>
      <c r="L169" s="11" t="n">
        <v>2280</v>
      </c>
      <c r="M169" s="11" t="n">
        <v>0</v>
      </c>
      <c r="N169" s="10" t="s">
        <v>255</v>
      </c>
      <c r="O169" s="10" t="s">
        <v>67</v>
      </c>
      <c r="P169" s="10"/>
      <c r="Q169" s="16" t="n">
        <v>0</v>
      </c>
      <c r="R169" s="10"/>
      <c r="S169" s="10"/>
      <c r="T169" s="10" t="n">
        <v>0</v>
      </c>
      <c r="U169" s="11" t="n">
        <f aca="false">IF(E169="TRANSPORT",IF(T169="","",T169*5),IF(AL169="","",AL169))</f>
        <v>0</v>
      </c>
      <c r="V169" s="10" t="s">
        <v>54</v>
      </c>
      <c r="W169" s="15" t="s">
        <v>70</v>
      </c>
      <c r="X169" s="15"/>
      <c r="Y169" s="17" t="n">
        <v>46233.8591319444</v>
      </c>
      <c r="Z169" s="18" t="n">
        <f aca="false">IF(I169="",0,IF(ISNUMBER(SEARCH("mp",LOWER(J169))),I169,IF(ISNUMBER(SEARCH("ton",LOWER(J169))),I169/0.33,IF(ISNUMBER(SEARCH("m3",LOWER(J169))),I169*4,I169))))</f>
        <v>57</v>
      </c>
      <c r="AA169" s="18" t="n">
        <f aca="false">IF(I169="",0,IF(ISNUMBER(SEARCH("mp",LOWER(J169))),I169*0.33,IF(ISNUMBER(SEARCH("ton",LOWER(J169))),I169,I169*0.33)))</f>
        <v>18.81</v>
      </c>
      <c r="AB169" s="18" t="n">
        <f aca="false">Tabela_dane[[#This Row],[Wolumen_t]]*8.5</f>
        <v>159.885</v>
      </c>
      <c r="AC169" s="18" t="n">
        <f aca="false">IF(G169&lt;&gt;"TAK",0,IF(OR(E169="ZAKUP",E169="PRODUKCJA"),Z169,IF(OR(E169="SPRZEDAŻ",E169="ZUŻYCIE"),-Z169,0)))</f>
        <v>57</v>
      </c>
      <c r="AD169" s="18" t="n">
        <f aca="false">IF(G169&lt;&gt;"TAK",0,IF(OR(E169="ZAKUP",E169="PRODUKCJA"),AA169,IF(OR(E169="SPRZEDAŻ",E169="ZUŻYCIE"),-AA169,0)))</f>
        <v>18.81</v>
      </c>
      <c r="AE169" s="19" t="n">
        <f aca="false">IF(E169="ZAKUP",IF(L169&lt;&gt;"",L169,IF(K169&lt;&gt;"",Z169*K169,0)),0)</f>
        <v>2280</v>
      </c>
      <c r="AF169" s="19" t="n">
        <f aca="false">IF(E169="SPRZEDAŻ",IF(M169&lt;&gt;"",Z169*M169,0),0)</f>
        <v>0</v>
      </c>
      <c r="AG169" s="19" t="str">
        <f aca="false">IF(R169="","",IF(LOWER(R169)="brak","Brak",IF(OR(ISNUMBER(SEARCH("ric pl",LOWER(R169))),ISNUMBER(SEARCH("wojciechowski",LOWER(R169)))),"Własny","Zewnętrzny")))</f>
        <v/>
      </c>
      <c r="AH169" s="19" t="n">
        <f aca="false">Z169*Q169</f>
        <v>0</v>
      </c>
      <c r="AI169" s="19" t="str">
        <f aca="false">UPPER(TEXT(C169,"mmmm"))</f>
        <v>JULY</v>
      </c>
      <c r="AJ169" s="19" t="str">
        <f aca="false">IF(C169="","",TEXT(C169,"rrrr"))</f>
        <v>CE5786CE5786</v>
      </c>
      <c r="AK169" s="10"/>
      <c r="AL169" s="11" t="n">
        <v>0</v>
      </c>
      <c r="AM169" s="10" t="s">
        <v>378</v>
      </c>
      <c r="AN169" s="10" t="s">
        <v>59</v>
      </c>
      <c r="AO169" s="10"/>
      <c r="AP169" s="10"/>
      <c r="AQ169" s="10"/>
      <c r="AR169" s="10" t="s">
        <v>66</v>
      </c>
      <c r="AS169" s="10"/>
      <c r="AT169" s="15" t="n">
        <v>1</v>
      </c>
    </row>
    <row r="170" customFormat="false" ht="28.5" hidden="false" customHeight="true" outlineLevel="0" collapsed="false">
      <c r="A170" s="12" t="n">
        <v>46230</v>
      </c>
      <c r="B170" s="12"/>
      <c r="C170" s="12" t="n">
        <v>46230</v>
      </c>
      <c r="D170" s="10" t="s">
        <v>54</v>
      </c>
      <c r="E170" s="10" t="s">
        <v>47</v>
      </c>
      <c r="F170" s="13" t="s">
        <v>377</v>
      </c>
      <c r="G170" s="14" t="s">
        <v>49</v>
      </c>
      <c r="H170" s="10" t="s">
        <v>76</v>
      </c>
      <c r="I170" s="15" t="n">
        <v>57</v>
      </c>
      <c r="J170" s="10" t="s">
        <v>51</v>
      </c>
      <c r="K170" s="15" t="n">
        <v>0</v>
      </c>
      <c r="L170" s="11" t="n">
        <v>0</v>
      </c>
      <c r="M170" s="11" t="n">
        <v>0</v>
      </c>
      <c r="N170" s="10" t="s">
        <v>258</v>
      </c>
      <c r="O170" s="10" t="s">
        <v>67</v>
      </c>
      <c r="P170" s="10" t="s">
        <v>53</v>
      </c>
      <c r="Q170" s="16" t="n">
        <v>10</v>
      </c>
      <c r="R170" s="10"/>
      <c r="S170" s="10"/>
      <c r="T170" s="10" t="n">
        <v>0</v>
      </c>
      <c r="U170" s="11" t="n">
        <f aca="false">IF(E170="TRANSPORT",IF(T170="","",T170*5),IF(AL170="","",AL170))</f>
        <v>0</v>
      </c>
      <c r="V170" s="10" t="s">
        <v>54</v>
      </c>
      <c r="W170" s="15" t="s">
        <v>70</v>
      </c>
      <c r="X170" s="15"/>
      <c r="Y170" s="17" t="n">
        <v>46233.8598263889</v>
      </c>
      <c r="Z170" s="18" t="n">
        <f aca="false">IF(I170="",0,IF(ISNUMBER(SEARCH("mp",LOWER(J170))),I170,IF(ISNUMBER(SEARCH("ton",LOWER(J170))),I170/0.33,IF(ISNUMBER(SEARCH("m3",LOWER(J170))),I170*4,I170))))</f>
        <v>57</v>
      </c>
      <c r="AA170" s="18" t="n">
        <f aca="false">IF(I170="",0,IF(ISNUMBER(SEARCH("mp",LOWER(J170))),I170*0.33,IF(ISNUMBER(SEARCH("ton",LOWER(J170))),I170,I170*0.33)))</f>
        <v>18.81</v>
      </c>
      <c r="AB170" s="18" t="n">
        <f aca="false">Tabela_dane[[#This Row],[Wolumen_t]]*8.5</f>
        <v>159.885</v>
      </c>
      <c r="AC170" s="18" t="n">
        <f aca="false">IF(G170&lt;&gt;"TAK",0,IF(OR(E170="ZAKUP",E170="PRODUKCJA"),Z170,IF(OR(E170="SPRZEDAŻ",E170="ZUŻYCIE"),-Z170,0)))</f>
        <v>57</v>
      </c>
      <c r="AD170" s="18" t="n">
        <f aca="false">IF(G170&lt;&gt;"TAK",0,IF(OR(E170="ZAKUP",E170="PRODUKCJA"),AA170,IF(OR(E170="SPRZEDAŻ",E170="ZUŻYCIE"),-AA170,0)))</f>
        <v>18.81</v>
      </c>
      <c r="AE170" s="19" t="n">
        <f aca="false">IF(E170="ZAKUP",IF(L170&lt;&gt;"",L170,IF(K170&lt;&gt;"",Z170*K170,0)),0)</f>
        <v>0</v>
      </c>
      <c r="AF170" s="19" t="n">
        <f aca="false">IF(E170="SPRZEDAŻ",IF(M170&lt;&gt;"",Z170*M170,0),0)</f>
        <v>0</v>
      </c>
      <c r="AG170" s="19" t="str">
        <f aca="false">IF(R170="","",IF(LOWER(R170)="brak","Brak",IF(OR(ISNUMBER(SEARCH("ric pl",LOWER(R170))),ISNUMBER(SEARCH("wojciechowski",LOWER(R170)))),"Własny","Zewnętrzny")))</f>
        <v/>
      </c>
      <c r="AH170" s="19" t="n">
        <f aca="false">Z170*Q170</f>
        <v>570</v>
      </c>
      <c r="AI170" s="19" t="str">
        <f aca="false">UPPER(TEXT(C170,"mmmm"))</f>
        <v>JULY</v>
      </c>
      <c r="AJ170" s="19" t="str">
        <f aca="false">IF(C170="","",TEXT(C170,"rrrr"))</f>
        <v>CE5786CE5786</v>
      </c>
      <c r="AK170" s="10"/>
      <c r="AL170" s="11" t="n">
        <v>0</v>
      </c>
      <c r="AM170" s="10" t="s">
        <v>379</v>
      </c>
      <c r="AN170" s="10" t="s">
        <v>59</v>
      </c>
      <c r="AO170" s="10"/>
      <c r="AP170" s="10"/>
      <c r="AQ170" s="10"/>
      <c r="AR170" s="10" t="s">
        <v>66</v>
      </c>
      <c r="AS170" s="10"/>
      <c r="AT170" s="15" t="n">
        <v>1</v>
      </c>
    </row>
    <row r="171" customFormat="false" ht="28.5" hidden="false" customHeight="true" outlineLevel="0" collapsed="false">
      <c r="A171" s="12" t="n">
        <v>46230</v>
      </c>
      <c r="B171" s="12"/>
      <c r="C171" s="12" t="n">
        <v>46230</v>
      </c>
      <c r="D171" s="10" t="s">
        <v>54</v>
      </c>
      <c r="E171" s="10" t="s">
        <v>79</v>
      </c>
      <c r="F171" s="13" t="s">
        <v>377</v>
      </c>
      <c r="G171" s="14" t="s">
        <v>49</v>
      </c>
      <c r="H171" s="10" t="s">
        <v>76</v>
      </c>
      <c r="I171" s="15" t="n">
        <v>57</v>
      </c>
      <c r="J171" s="10" t="s">
        <v>51</v>
      </c>
      <c r="K171" s="15" t="n">
        <v>0</v>
      </c>
      <c r="L171" s="11" t="n">
        <v>0</v>
      </c>
      <c r="M171" s="11" t="n">
        <v>0</v>
      </c>
      <c r="N171" s="10" t="s">
        <v>258</v>
      </c>
      <c r="O171" s="10" t="s">
        <v>67</v>
      </c>
      <c r="P171" s="10" t="s">
        <v>53</v>
      </c>
      <c r="Q171" s="16" t="n">
        <v>10</v>
      </c>
      <c r="R171" s="10"/>
      <c r="S171" s="10"/>
      <c r="T171" s="10" t="n">
        <v>0</v>
      </c>
      <c r="U171" s="11" t="n">
        <f aca="false">IF(E171="TRANSPORT",IF(T171="","",T171*5),IF(AL171="","",AL171))</f>
        <v>0</v>
      </c>
      <c r="V171" s="10" t="s">
        <v>54</v>
      </c>
      <c r="W171" s="15" t="s">
        <v>260</v>
      </c>
      <c r="X171" s="15"/>
      <c r="Y171" s="17" t="n">
        <v>46233.8598263889</v>
      </c>
      <c r="Z171" s="18" t="n">
        <f aca="false">IF(I171="",0,IF(ISNUMBER(SEARCH("mp",LOWER(J171))),I171,IF(ISNUMBER(SEARCH("ton",LOWER(J171))),I171/0.33,IF(ISNUMBER(SEARCH("m3",LOWER(J171))),I171*4,I171))))</f>
        <v>57</v>
      </c>
      <c r="AA171" s="18" t="n">
        <f aca="false">IF(I171="",0,IF(ISNUMBER(SEARCH("mp",LOWER(J171))),I171*0.33,IF(ISNUMBER(SEARCH("ton",LOWER(J171))),I171,I171*0.33)))</f>
        <v>18.81</v>
      </c>
      <c r="AB171" s="18" t="n">
        <f aca="false">Tabela_dane[[#This Row],[Wolumen_t]]*8.5</f>
        <v>159.885</v>
      </c>
      <c r="AC171" s="18" t="n">
        <f aca="false">IF(G171&lt;&gt;"TAK",0,IF(OR(E171="ZAKUP",E171="PRODUKCJA"),Z171,IF(OR(E171="SPRZEDAŻ",E171="ZUŻYCIE"),-Z171,0)))</f>
        <v>-57</v>
      </c>
      <c r="AD171" s="18" t="n">
        <f aca="false">IF(G171&lt;&gt;"TAK",0,IF(OR(E171="ZAKUP",E171="PRODUKCJA"),AA171,IF(OR(E171="SPRZEDAŻ",E171="ZUŻYCIE"),-AA171,0)))</f>
        <v>-18.81</v>
      </c>
      <c r="AE171" s="19" t="n">
        <f aca="false">IF(E171="ZAKUP",IF(L171&lt;&gt;"",L171,IF(K171&lt;&gt;"",Z171*K171,0)),0)</f>
        <v>0</v>
      </c>
      <c r="AF171" s="19" t="n">
        <f aca="false">IF(E171="SPRZEDAŻ",IF(M171&lt;&gt;"",Z171*M171,0),0)</f>
        <v>0</v>
      </c>
      <c r="AG171" s="19" t="str">
        <f aca="false">IF(R171="","",IF(LOWER(R171)="brak","Brak",IF(OR(ISNUMBER(SEARCH("ric pl",LOWER(R171))),ISNUMBER(SEARCH("wojciechowski",LOWER(R171)))),"Własny","Zewnętrzny")))</f>
        <v/>
      </c>
      <c r="AH171" s="19" t="n">
        <f aca="false">Z171*Q171</f>
        <v>570</v>
      </c>
      <c r="AI171" s="19" t="str">
        <f aca="false">UPPER(TEXT(C171,"mmmm"))</f>
        <v>JULY</v>
      </c>
      <c r="AJ171" s="19" t="str">
        <f aca="false">IF(C171="","",TEXT(C171,"rrrr"))</f>
        <v>CE5786CE5786</v>
      </c>
      <c r="AK171" s="10"/>
      <c r="AL171" s="11" t="n">
        <v>0</v>
      </c>
      <c r="AM171" s="10" t="s">
        <v>379</v>
      </c>
      <c r="AN171" s="10" t="s">
        <v>59</v>
      </c>
      <c r="AO171" s="10"/>
      <c r="AP171" s="10"/>
      <c r="AQ171" s="10"/>
      <c r="AR171" s="10" t="s">
        <v>81</v>
      </c>
      <c r="AS171" s="10"/>
      <c r="AT171" s="15" t="n">
        <v>1</v>
      </c>
    </row>
    <row r="172" customFormat="false" ht="28.5" hidden="false" customHeight="true" outlineLevel="0" collapsed="false">
      <c r="A172" s="12" t="n">
        <v>46230</v>
      </c>
      <c r="B172" s="12" t="s">
        <v>380</v>
      </c>
      <c r="C172" s="12" t="n">
        <v>46230</v>
      </c>
      <c r="D172" s="10" t="s">
        <v>54</v>
      </c>
      <c r="E172" s="10" t="s">
        <v>63</v>
      </c>
      <c r="F172" s="13" t="s">
        <v>377</v>
      </c>
      <c r="G172" s="14" t="s">
        <v>49</v>
      </c>
      <c r="H172" s="10" t="s">
        <v>76</v>
      </c>
      <c r="I172" s="15" t="n">
        <v>57</v>
      </c>
      <c r="J172" s="10" t="s">
        <v>51</v>
      </c>
      <c r="K172" s="15" t="n">
        <v>0</v>
      </c>
      <c r="L172" s="11" t="n">
        <v>0</v>
      </c>
      <c r="M172" s="11" t="n">
        <v>0</v>
      </c>
      <c r="N172" s="10" t="s">
        <v>258</v>
      </c>
      <c r="O172" s="10" t="s">
        <v>67</v>
      </c>
      <c r="P172" s="10"/>
      <c r="Q172" s="16" t="n">
        <v>0</v>
      </c>
      <c r="R172" s="10" t="s">
        <v>72</v>
      </c>
      <c r="S172" s="10" t="s">
        <v>73</v>
      </c>
      <c r="T172" s="10" t="n">
        <v>200</v>
      </c>
      <c r="U172" s="11" t="n">
        <f aca="false">IF(E172="TRANSPORT",IF(T172="","",T172*5),IF(AL172="","",AL172))</f>
        <v>1200</v>
      </c>
      <c r="V172" s="10" t="s">
        <v>54</v>
      </c>
      <c r="W172" s="15" t="s">
        <v>70</v>
      </c>
      <c r="X172" s="15"/>
      <c r="Y172" s="17" t="n">
        <v>46233.8619907407</v>
      </c>
      <c r="Z172" s="18" t="n">
        <f aca="false">IF(I172="",0,IF(ISNUMBER(SEARCH("mp",LOWER(J172))),I172,IF(ISNUMBER(SEARCH("ton",LOWER(J172))),I172/0.33,IF(ISNUMBER(SEARCH("m3",LOWER(J172))),I172*4,I172))))</f>
        <v>57</v>
      </c>
      <c r="AA172" s="18" t="n">
        <f aca="false">IF(I172="",0,IF(ISNUMBER(SEARCH("mp",LOWER(J172))),I172*0.33,IF(ISNUMBER(SEARCH("ton",LOWER(J172))),I172,I172*0.33)))</f>
        <v>18.81</v>
      </c>
      <c r="AB172" s="18" t="n">
        <f aca="false">Tabela_dane[[#This Row],[Wolumen_t]]*8.5</f>
        <v>159.885</v>
      </c>
      <c r="AC172" s="18" t="n">
        <f aca="false">IF(G172&lt;&gt;"TAK",0,IF(OR(E172="ZAKUP",E172="PRODUKCJA"),Z172,IF(OR(E172="SPRZEDAŻ",E172="ZUŻYCIE"),-Z172,0)))</f>
        <v>57</v>
      </c>
      <c r="AD172" s="18" t="n">
        <f aca="false">IF(G172&lt;&gt;"TAK",0,IF(OR(E172="ZAKUP",E172="PRODUKCJA"),AA172,IF(OR(E172="SPRZEDAŻ",E172="ZUŻYCIE"),-AA172,0)))</f>
        <v>18.81</v>
      </c>
      <c r="AE172" s="19" t="n">
        <f aca="false">IF(E172="ZAKUP",IF(L172&lt;&gt;"",L172,IF(K172&lt;&gt;"",Z172*K172,0)),0)</f>
        <v>0</v>
      </c>
      <c r="AF172" s="19" t="n">
        <f aca="false">IF(E172="SPRZEDAŻ",IF(M172&lt;&gt;"",Z172*M172,0),0)</f>
        <v>0</v>
      </c>
      <c r="AG172" s="19" t="str">
        <f aca="false">IF(R172="","",IF(LOWER(R172)="brak","Brak",IF(OR(ISNUMBER(SEARCH("ric pl",LOWER(R172))),ISNUMBER(SEARCH("wojciechowski",LOWER(R172)))),"Własny","Zewnętrzny")))</f>
        <v>Zewnętrzny</v>
      </c>
      <c r="AH172" s="19" t="n">
        <f aca="false">Z172*Q172</f>
        <v>0</v>
      </c>
      <c r="AI172" s="19" t="str">
        <f aca="false">UPPER(TEXT(C172,"mmmm"))</f>
        <v>JULY</v>
      </c>
      <c r="AJ172" s="19" t="str">
        <f aca="false">IF(C172="","",TEXT(C172,"rrrr"))</f>
        <v>CE5786CE5786</v>
      </c>
      <c r="AK172" s="10"/>
      <c r="AL172" s="11" t="n">
        <v>1200</v>
      </c>
      <c r="AM172" s="10" t="s">
        <v>381</v>
      </c>
      <c r="AN172" s="10" t="s">
        <v>49</v>
      </c>
      <c r="AO172" s="10"/>
      <c r="AP172" s="10"/>
      <c r="AQ172" s="10"/>
      <c r="AR172" s="10" t="s">
        <v>66</v>
      </c>
      <c r="AS172" s="10"/>
      <c r="AT172" s="15" t="n">
        <v>1</v>
      </c>
    </row>
    <row r="173" customFormat="false" ht="28.5" hidden="false" customHeight="true" outlineLevel="0" collapsed="false">
      <c r="A173" s="12" t="n">
        <v>46230</v>
      </c>
      <c r="B173" s="12"/>
      <c r="C173" s="12" t="n">
        <v>46230</v>
      </c>
      <c r="D173" s="10" t="s">
        <v>376</v>
      </c>
      <c r="E173" s="10" t="s">
        <v>63</v>
      </c>
      <c r="F173" s="13" t="s">
        <v>382</v>
      </c>
      <c r="G173" s="14" t="s">
        <v>49</v>
      </c>
      <c r="H173" s="10" t="s">
        <v>76</v>
      </c>
      <c r="I173" s="15" t="n">
        <v>86</v>
      </c>
      <c r="J173" s="10" t="s">
        <v>51</v>
      </c>
      <c r="K173" s="15" t="n">
        <v>45</v>
      </c>
      <c r="L173" s="11" t="n">
        <v>3870</v>
      </c>
      <c r="M173" s="11" t="n">
        <v>0</v>
      </c>
      <c r="N173" s="10" t="s">
        <v>255</v>
      </c>
      <c r="O173" s="10" t="s">
        <v>67</v>
      </c>
      <c r="P173" s="10"/>
      <c r="Q173" s="16" t="n">
        <v>0</v>
      </c>
      <c r="R173" s="10"/>
      <c r="S173" s="10"/>
      <c r="T173" s="10" t="n">
        <v>0</v>
      </c>
      <c r="U173" s="11" t="n">
        <f aca="false">IF(E173="TRANSPORT",IF(T173="","",T173*5),IF(AL173="","",AL173))</f>
        <v>0</v>
      </c>
      <c r="V173" s="10" t="s">
        <v>54</v>
      </c>
      <c r="W173" s="15" t="s">
        <v>65</v>
      </c>
      <c r="X173" s="15"/>
      <c r="Y173" s="17" t="n">
        <v>46234.2800462963</v>
      </c>
      <c r="Z173" s="18" t="n">
        <f aca="false">IF(I173="",0,IF(ISNUMBER(SEARCH("mp",LOWER(J173))),I173,IF(ISNUMBER(SEARCH("ton",LOWER(J173))),I173/0.33,IF(ISNUMBER(SEARCH("m3",LOWER(J173))),I173*4,I173))))</f>
        <v>86</v>
      </c>
      <c r="AA173" s="18" t="n">
        <f aca="false">IF(I173="",0,IF(ISNUMBER(SEARCH("mp",LOWER(J173))),I173*0.33,IF(ISNUMBER(SEARCH("ton",LOWER(J173))),I173,I173*0.33)))</f>
        <v>28.38</v>
      </c>
      <c r="AB173" s="18" t="n">
        <f aca="false">Tabela_dane[[#This Row],[Wolumen_t]]*8.5</f>
        <v>241.23</v>
      </c>
      <c r="AC173" s="18" t="n">
        <f aca="false">IF(G173&lt;&gt;"TAK",0,IF(OR(E173="ZAKUP",E173="PRODUKCJA"),Z173,IF(OR(E173="SPRZEDAŻ",E173="ZUŻYCIE"),-Z173,0)))</f>
        <v>86</v>
      </c>
      <c r="AD173" s="18" t="n">
        <f aca="false">IF(G173&lt;&gt;"TAK",0,IF(OR(E173="ZAKUP",E173="PRODUKCJA"),AA173,IF(OR(E173="SPRZEDAŻ",E173="ZUŻYCIE"),-AA173,0)))</f>
        <v>28.38</v>
      </c>
      <c r="AE173" s="19" t="n">
        <f aca="false">IF(E173="ZAKUP",IF(L173&lt;&gt;"",L173,IF(K173&lt;&gt;"",Z173*K173,0)),0)</f>
        <v>3870</v>
      </c>
      <c r="AF173" s="19" t="n">
        <f aca="false">IF(E173="SPRZEDAŻ",IF(M173&lt;&gt;"",Z173*M173,0),0)</f>
        <v>0</v>
      </c>
      <c r="AG173" s="19" t="str">
        <f aca="false">IF(R173="","",IF(LOWER(R173)="brak","Brak",IF(OR(ISNUMBER(SEARCH("ric pl",LOWER(R173))),ISNUMBER(SEARCH("wojciechowski",LOWER(R173)))),"Własny","Zewnętrzny")))</f>
        <v/>
      </c>
      <c r="AH173" s="19" t="n">
        <f aca="false">Z173*Q173</f>
        <v>0</v>
      </c>
      <c r="AI173" s="19" t="str">
        <f aca="false">UPPER(TEXT(C173,"mmmm"))</f>
        <v>JULY</v>
      </c>
      <c r="AJ173" s="19" t="str">
        <f aca="false">IF(C173="","",TEXT(C173,"rrrr"))</f>
        <v>CE5786CE5786</v>
      </c>
      <c r="AK173" s="10"/>
      <c r="AL173" s="11" t="n">
        <v>0</v>
      </c>
      <c r="AM173" s="10" t="s">
        <v>383</v>
      </c>
      <c r="AN173" s="10" t="s">
        <v>59</v>
      </c>
      <c r="AO173" s="10"/>
      <c r="AP173" s="10"/>
      <c r="AQ173" s="10"/>
      <c r="AR173" s="10" t="s">
        <v>66</v>
      </c>
      <c r="AS173" s="10"/>
      <c r="AT173" s="15" t="n">
        <v>1</v>
      </c>
    </row>
    <row r="174" customFormat="false" ht="28.5" hidden="false" customHeight="true" outlineLevel="0" collapsed="false">
      <c r="A174" s="12" t="n">
        <v>46230</v>
      </c>
      <c r="B174" s="12"/>
      <c r="C174" s="12" t="n">
        <v>46230</v>
      </c>
      <c r="D174" s="10" t="s">
        <v>54</v>
      </c>
      <c r="E174" s="10" t="s">
        <v>47</v>
      </c>
      <c r="F174" s="13" t="s">
        <v>382</v>
      </c>
      <c r="G174" s="14" t="s">
        <v>49</v>
      </c>
      <c r="H174" s="10" t="s">
        <v>76</v>
      </c>
      <c r="I174" s="15" t="n">
        <v>86</v>
      </c>
      <c r="J174" s="10" t="s">
        <v>51</v>
      </c>
      <c r="K174" s="15" t="n">
        <v>0</v>
      </c>
      <c r="L174" s="11" t="n">
        <v>0</v>
      </c>
      <c r="M174" s="11" t="n">
        <v>0</v>
      </c>
      <c r="N174" s="10" t="s">
        <v>258</v>
      </c>
      <c r="O174" s="10" t="s">
        <v>67</v>
      </c>
      <c r="P174" s="10" t="s">
        <v>53</v>
      </c>
      <c r="Q174" s="16" t="n">
        <v>10</v>
      </c>
      <c r="R174" s="10"/>
      <c r="S174" s="10"/>
      <c r="T174" s="10" t="n">
        <v>0</v>
      </c>
      <c r="U174" s="11" t="n">
        <f aca="false">IF(E174="TRANSPORT",IF(T174="","",T174*5),IF(AL174="","",AL174))</f>
        <v>0</v>
      </c>
      <c r="V174" s="10" t="s">
        <v>54</v>
      </c>
      <c r="W174" s="15" t="s">
        <v>65</v>
      </c>
      <c r="X174" s="15"/>
      <c r="Y174" s="17" t="n">
        <v>46234.2806944444</v>
      </c>
      <c r="Z174" s="18" t="n">
        <f aca="false">IF(I174="",0,IF(ISNUMBER(SEARCH("mp",LOWER(J174))),I174,IF(ISNUMBER(SEARCH("ton",LOWER(J174))),I174/0.33,IF(ISNUMBER(SEARCH("m3",LOWER(J174))),I174*4,I174))))</f>
        <v>86</v>
      </c>
      <c r="AA174" s="18" t="n">
        <f aca="false">IF(I174="",0,IF(ISNUMBER(SEARCH("mp",LOWER(J174))),I174*0.33,IF(ISNUMBER(SEARCH("ton",LOWER(J174))),I174,I174*0.33)))</f>
        <v>28.38</v>
      </c>
      <c r="AB174" s="18" t="n">
        <f aca="false">Tabela_dane[[#This Row],[Wolumen_t]]*8.5</f>
        <v>241.23</v>
      </c>
      <c r="AC174" s="18" t="n">
        <f aca="false">IF(G174&lt;&gt;"TAK",0,IF(OR(E174="ZAKUP",E174="PRODUKCJA"),Z174,IF(OR(E174="SPRZEDAŻ",E174="ZUŻYCIE"),-Z174,0)))</f>
        <v>86</v>
      </c>
      <c r="AD174" s="18" t="n">
        <f aca="false">IF(G174&lt;&gt;"TAK",0,IF(OR(E174="ZAKUP",E174="PRODUKCJA"),AA174,IF(OR(E174="SPRZEDAŻ",E174="ZUŻYCIE"),-AA174,0)))</f>
        <v>28.38</v>
      </c>
      <c r="AE174" s="19" t="n">
        <f aca="false">IF(E174="ZAKUP",IF(L174&lt;&gt;"",L174,IF(K174&lt;&gt;"",Z174*K174,0)),0)</f>
        <v>0</v>
      </c>
      <c r="AF174" s="19" t="n">
        <f aca="false">IF(E174="SPRZEDAŻ",IF(M174&lt;&gt;"",Z174*M174,0),0)</f>
        <v>0</v>
      </c>
      <c r="AG174" s="19" t="str">
        <f aca="false">IF(R174="","",IF(LOWER(R174)="brak","Brak",IF(OR(ISNUMBER(SEARCH("ric pl",LOWER(R174))),ISNUMBER(SEARCH("wojciechowski",LOWER(R174)))),"Własny","Zewnętrzny")))</f>
        <v/>
      </c>
      <c r="AH174" s="19" t="n">
        <f aca="false">Z174*Q174</f>
        <v>860</v>
      </c>
      <c r="AI174" s="19" t="str">
        <f aca="false">UPPER(TEXT(C174,"mmmm"))</f>
        <v>JULY</v>
      </c>
      <c r="AJ174" s="19" t="str">
        <f aca="false">IF(C174="","",TEXT(C174,"rrrr"))</f>
        <v>CE5786CE5786</v>
      </c>
      <c r="AK174" s="10"/>
      <c r="AL174" s="11" t="n">
        <v>0</v>
      </c>
      <c r="AM174" s="10" t="s">
        <v>384</v>
      </c>
      <c r="AN174" s="10" t="s">
        <v>59</v>
      </c>
      <c r="AO174" s="10"/>
      <c r="AP174" s="10"/>
      <c r="AQ174" s="10"/>
      <c r="AR174" s="10" t="s">
        <v>66</v>
      </c>
      <c r="AS174" s="10"/>
      <c r="AT174" s="15" t="n">
        <v>1</v>
      </c>
    </row>
    <row r="175" customFormat="false" ht="28.5" hidden="false" customHeight="true" outlineLevel="0" collapsed="false">
      <c r="A175" s="12" t="n">
        <v>46230</v>
      </c>
      <c r="B175" s="12"/>
      <c r="C175" s="12" t="n">
        <v>46230</v>
      </c>
      <c r="D175" s="10" t="s">
        <v>54</v>
      </c>
      <c r="E175" s="10" t="s">
        <v>79</v>
      </c>
      <c r="F175" s="13" t="s">
        <v>382</v>
      </c>
      <c r="G175" s="14" t="s">
        <v>49</v>
      </c>
      <c r="H175" s="10" t="s">
        <v>76</v>
      </c>
      <c r="I175" s="15" t="n">
        <v>86</v>
      </c>
      <c r="J175" s="10" t="s">
        <v>51</v>
      </c>
      <c r="K175" s="15" t="n">
        <v>0</v>
      </c>
      <c r="L175" s="11" t="n">
        <v>0</v>
      </c>
      <c r="M175" s="11" t="n">
        <v>0</v>
      </c>
      <c r="N175" s="10" t="s">
        <v>258</v>
      </c>
      <c r="O175" s="10" t="s">
        <v>67</v>
      </c>
      <c r="P175" s="10" t="s">
        <v>53</v>
      </c>
      <c r="Q175" s="16" t="n">
        <v>10</v>
      </c>
      <c r="R175" s="10"/>
      <c r="S175" s="10"/>
      <c r="T175" s="10" t="n">
        <v>0</v>
      </c>
      <c r="U175" s="11" t="n">
        <f aca="false">IF(E175="TRANSPORT",IF(T175="","",T175*5),IF(AL175="","",AL175))</f>
        <v>0</v>
      </c>
      <c r="V175" s="10" t="s">
        <v>54</v>
      </c>
      <c r="W175" s="15" t="s">
        <v>260</v>
      </c>
      <c r="X175" s="15"/>
      <c r="Y175" s="17" t="n">
        <v>46234.2806944444</v>
      </c>
      <c r="Z175" s="18" t="n">
        <f aca="false">IF(I175="",0,IF(ISNUMBER(SEARCH("mp",LOWER(J175))),I175,IF(ISNUMBER(SEARCH("ton",LOWER(J175))),I175/0.33,IF(ISNUMBER(SEARCH("m3",LOWER(J175))),I175*4,I175))))</f>
        <v>86</v>
      </c>
      <c r="AA175" s="18" t="n">
        <f aca="false">IF(I175="",0,IF(ISNUMBER(SEARCH("mp",LOWER(J175))),I175*0.33,IF(ISNUMBER(SEARCH("ton",LOWER(J175))),I175,I175*0.33)))</f>
        <v>28.38</v>
      </c>
      <c r="AB175" s="18" t="n">
        <f aca="false">Tabela_dane[[#This Row],[Wolumen_t]]*8.5</f>
        <v>241.23</v>
      </c>
      <c r="AC175" s="18" t="n">
        <f aca="false">IF(G175&lt;&gt;"TAK",0,IF(OR(E175="ZAKUP",E175="PRODUKCJA"),Z175,IF(OR(E175="SPRZEDAŻ",E175="ZUŻYCIE"),-Z175,0)))</f>
        <v>-86</v>
      </c>
      <c r="AD175" s="18" t="n">
        <f aca="false">IF(G175&lt;&gt;"TAK",0,IF(OR(E175="ZAKUP",E175="PRODUKCJA"),AA175,IF(OR(E175="SPRZEDAŻ",E175="ZUŻYCIE"),-AA175,0)))</f>
        <v>-28.38</v>
      </c>
      <c r="AE175" s="19" t="n">
        <f aca="false">IF(E175="ZAKUP",IF(L175&lt;&gt;"",L175,IF(K175&lt;&gt;"",Z175*K175,0)),0)</f>
        <v>0</v>
      </c>
      <c r="AF175" s="19" t="n">
        <f aca="false">IF(E175="SPRZEDAŻ",IF(M175&lt;&gt;"",Z175*M175,0),0)</f>
        <v>0</v>
      </c>
      <c r="AG175" s="19" t="str">
        <f aca="false">IF(R175="","",IF(LOWER(R175)="brak","Brak",IF(OR(ISNUMBER(SEARCH("ric pl",LOWER(R175))),ISNUMBER(SEARCH("wojciechowski",LOWER(R175)))),"Własny","Zewnętrzny")))</f>
        <v/>
      </c>
      <c r="AH175" s="19" t="n">
        <f aca="false">Z175*Q175</f>
        <v>860</v>
      </c>
      <c r="AI175" s="19" t="str">
        <f aca="false">UPPER(TEXT(C175,"mmmm"))</f>
        <v>JULY</v>
      </c>
      <c r="AJ175" s="19" t="str">
        <f aca="false">IF(C175="","",TEXT(C175,"rrrr"))</f>
        <v>CE5786CE5786</v>
      </c>
      <c r="AK175" s="10"/>
      <c r="AL175" s="11" t="n">
        <v>0</v>
      </c>
      <c r="AM175" s="10" t="s">
        <v>384</v>
      </c>
      <c r="AN175" s="10" t="s">
        <v>59</v>
      </c>
      <c r="AO175" s="10"/>
      <c r="AP175" s="10"/>
      <c r="AQ175" s="10"/>
      <c r="AR175" s="10" t="s">
        <v>81</v>
      </c>
      <c r="AS175" s="10"/>
      <c r="AT175" s="15" t="n">
        <v>1</v>
      </c>
    </row>
    <row r="176" customFormat="false" ht="28.5" hidden="false" customHeight="true" outlineLevel="0" collapsed="false">
      <c r="A176" s="12" t="n">
        <v>46230</v>
      </c>
      <c r="B176" s="12" t="s">
        <v>380</v>
      </c>
      <c r="C176" s="12" t="n">
        <v>46230</v>
      </c>
      <c r="D176" s="10" t="s">
        <v>54</v>
      </c>
      <c r="E176" s="10" t="s">
        <v>63</v>
      </c>
      <c r="F176" s="13" t="s">
        <v>382</v>
      </c>
      <c r="G176" s="14" t="s">
        <v>49</v>
      </c>
      <c r="H176" s="10" t="s">
        <v>76</v>
      </c>
      <c r="I176" s="15" t="n">
        <v>86</v>
      </c>
      <c r="J176" s="10" t="s">
        <v>51</v>
      </c>
      <c r="K176" s="15" t="n">
        <v>0</v>
      </c>
      <c r="L176" s="11" t="n">
        <v>0</v>
      </c>
      <c r="M176" s="11" t="n">
        <v>0</v>
      </c>
      <c r="N176" s="10" t="s">
        <v>258</v>
      </c>
      <c r="O176" s="10" t="s">
        <v>67</v>
      </c>
      <c r="P176" s="10"/>
      <c r="Q176" s="16" t="n">
        <v>0</v>
      </c>
      <c r="R176" s="10" t="s">
        <v>68</v>
      </c>
      <c r="S176" s="10" t="s">
        <v>69</v>
      </c>
      <c r="T176" s="10" t="n">
        <v>200</v>
      </c>
      <c r="U176" s="11" t="n">
        <f aca="false">IF(E176="TRANSPORT",IF(T176="","",T176*5),IF(AL176="","",AL176))</f>
        <v>1000</v>
      </c>
      <c r="V176" s="10" t="s">
        <v>54</v>
      </c>
      <c r="W176" s="15" t="s">
        <v>65</v>
      </c>
      <c r="X176" s="15"/>
      <c r="Y176" s="17" t="n">
        <v>46234.2816666667</v>
      </c>
      <c r="Z176" s="18" t="n">
        <f aca="false">IF(I176="",0,IF(ISNUMBER(SEARCH("mp",LOWER(J176))),I176,IF(ISNUMBER(SEARCH("ton",LOWER(J176))),I176/0.33,IF(ISNUMBER(SEARCH("m3",LOWER(J176))),I176*4,I176))))</f>
        <v>86</v>
      </c>
      <c r="AA176" s="18" t="n">
        <f aca="false">IF(I176="",0,IF(ISNUMBER(SEARCH("mp",LOWER(J176))),I176*0.33,IF(ISNUMBER(SEARCH("ton",LOWER(J176))),I176,I176*0.33)))</f>
        <v>28.38</v>
      </c>
      <c r="AB176" s="18" t="n">
        <f aca="false">Tabela_dane[[#This Row],[Wolumen_t]]*8.5</f>
        <v>241.23</v>
      </c>
      <c r="AC176" s="18" t="n">
        <f aca="false">IF(G176&lt;&gt;"TAK",0,IF(OR(E176="ZAKUP",E176="PRODUKCJA"),Z176,IF(OR(E176="SPRZEDAŻ",E176="ZUŻYCIE"),-Z176,0)))</f>
        <v>86</v>
      </c>
      <c r="AD176" s="18" t="n">
        <f aca="false">IF(G176&lt;&gt;"TAK",0,IF(OR(E176="ZAKUP",E176="PRODUKCJA"),AA176,IF(OR(E176="SPRZEDAŻ",E176="ZUŻYCIE"),-AA176,0)))</f>
        <v>28.38</v>
      </c>
      <c r="AE176" s="19" t="n">
        <f aca="false">IF(E176="ZAKUP",IF(L176&lt;&gt;"",L176,IF(K176&lt;&gt;"",Z176*K176,0)),0)</f>
        <v>0</v>
      </c>
      <c r="AF176" s="19" t="n">
        <f aca="false">IF(E176="SPRZEDAŻ",IF(M176&lt;&gt;"",Z176*M176,0),0)</f>
        <v>0</v>
      </c>
      <c r="AG176" s="19" t="str">
        <f aca="false">IF(R176="","",IF(LOWER(R176)="brak","Brak",IF(OR(ISNUMBER(SEARCH("ric pl",LOWER(R176))),ISNUMBER(SEARCH("wojciechowski",LOWER(R176)))),"Własny","Zewnętrzny")))</f>
        <v>Zewnętrzny</v>
      </c>
      <c r="AH176" s="19" t="n">
        <f aca="false">Z176*Q176</f>
        <v>0</v>
      </c>
      <c r="AI176" s="19" t="str">
        <f aca="false">UPPER(TEXT(C176,"mmmm"))</f>
        <v>JULY</v>
      </c>
      <c r="AJ176" s="19" t="str">
        <f aca="false">IF(C176="","",TEXT(C176,"rrrr"))</f>
        <v>CE5786CE5786</v>
      </c>
      <c r="AK176" s="10"/>
      <c r="AL176" s="11" t="n">
        <v>1000</v>
      </c>
      <c r="AM176" s="10" t="s">
        <v>385</v>
      </c>
      <c r="AN176" s="10" t="s">
        <v>49</v>
      </c>
      <c r="AO176" s="10"/>
      <c r="AP176" s="10"/>
      <c r="AQ176" s="10"/>
      <c r="AR176" s="10" t="s">
        <v>66</v>
      </c>
      <c r="AS176" s="10"/>
      <c r="AT176" s="15" t="n">
        <v>1</v>
      </c>
    </row>
    <row r="177" customFormat="false" ht="28.5" hidden="false" customHeight="true" outlineLevel="0" collapsed="false">
      <c r="A177" s="12" t="n">
        <v>46230</v>
      </c>
      <c r="B177" s="12"/>
      <c r="C177" s="12" t="n">
        <v>46230</v>
      </c>
      <c r="D177" s="10" t="s">
        <v>376</v>
      </c>
      <c r="E177" s="10" t="s">
        <v>63</v>
      </c>
      <c r="F177" s="13" t="s">
        <v>386</v>
      </c>
      <c r="G177" s="14" t="s">
        <v>49</v>
      </c>
      <c r="H177" s="10" t="s">
        <v>76</v>
      </c>
      <c r="I177" s="15" t="n">
        <v>88</v>
      </c>
      <c r="J177" s="10" t="s">
        <v>51</v>
      </c>
      <c r="K177" s="15" t="n">
        <v>45</v>
      </c>
      <c r="L177" s="11" t="n">
        <v>3960</v>
      </c>
      <c r="M177" s="11" t="n">
        <v>0</v>
      </c>
      <c r="N177" s="10" t="s">
        <v>258</v>
      </c>
      <c r="O177" s="10" t="s">
        <v>67</v>
      </c>
      <c r="P177" s="10"/>
      <c r="Q177" s="16" t="n">
        <v>0</v>
      </c>
      <c r="R177" s="10"/>
      <c r="S177" s="10"/>
      <c r="T177" s="10" t="n">
        <v>0</v>
      </c>
      <c r="U177" s="11" t="n">
        <f aca="false">IF(E177="TRANSPORT",IF(T177="","",T177*5),IF(AL177="","",AL177))</f>
        <v>0</v>
      </c>
      <c r="V177" s="10" t="s">
        <v>54</v>
      </c>
      <c r="W177" s="15" t="s">
        <v>70</v>
      </c>
      <c r="X177" s="15"/>
      <c r="Y177" s="17" t="n">
        <v>46234.283125</v>
      </c>
      <c r="Z177" s="18" t="n">
        <f aca="false">IF(I177="",0,IF(ISNUMBER(SEARCH("mp",LOWER(J177))),I177,IF(ISNUMBER(SEARCH("ton",LOWER(J177))),I177/0.33,IF(ISNUMBER(SEARCH("m3",LOWER(J177))),I177*4,I177))))</f>
        <v>88</v>
      </c>
      <c r="AA177" s="18" t="n">
        <f aca="false">IF(I177="",0,IF(ISNUMBER(SEARCH("mp",LOWER(J177))),I177*0.33,IF(ISNUMBER(SEARCH("ton",LOWER(J177))),I177,I177*0.33)))</f>
        <v>29.04</v>
      </c>
      <c r="AB177" s="18" t="n">
        <f aca="false">Tabela_dane[[#This Row],[Wolumen_t]]*8.5</f>
        <v>246.84</v>
      </c>
      <c r="AC177" s="18" t="n">
        <f aca="false">IF(G177&lt;&gt;"TAK",0,IF(OR(E177="ZAKUP",E177="PRODUKCJA"),Z177,IF(OR(E177="SPRZEDAŻ",E177="ZUŻYCIE"),-Z177,0)))</f>
        <v>88</v>
      </c>
      <c r="AD177" s="18" t="n">
        <f aca="false">IF(G177&lt;&gt;"TAK",0,IF(OR(E177="ZAKUP",E177="PRODUKCJA"),AA177,IF(OR(E177="SPRZEDAŻ",E177="ZUŻYCIE"),-AA177,0)))</f>
        <v>29.04</v>
      </c>
      <c r="AE177" s="19" t="n">
        <f aca="false">IF(E177="ZAKUP",IF(L177&lt;&gt;"",L177,IF(K177&lt;&gt;"",Z177*K177,0)),0)</f>
        <v>3960</v>
      </c>
      <c r="AF177" s="19" t="n">
        <f aca="false">IF(E177="SPRZEDAŻ",IF(M177&lt;&gt;"",Z177*M177,0),0)</f>
        <v>0</v>
      </c>
      <c r="AG177" s="19" t="str">
        <f aca="false">IF(R177="","",IF(LOWER(R177)="brak","Brak",IF(OR(ISNUMBER(SEARCH("ric pl",LOWER(R177))),ISNUMBER(SEARCH("wojciechowski",LOWER(R177)))),"Własny","Zewnętrzny")))</f>
        <v/>
      </c>
      <c r="AH177" s="19" t="n">
        <f aca="false">Z177*Q177</f>
        <v>0</v>
      </c>
      <c r="AI177" s="19" t="str">
        <f aca="false">UPPER(TEXT(C177,"mmmm"))</f>
        <v>JULY</v>
      </c>
      <c r="AJ177" s="19" t="str">
        <f aca="false">IF(C177="","",TEXT(C177,"rrrr"))</f>
        <v>CE5786CE5786</v>
      </c>
      <c r="AK177" s="10"/>
      <c r="AL177" s="11" t="n">
        <v>0</v>
      </c>
      <c r="AM177" s="10" t="s">
        <v>387</v>
      </c>
      <c r="AN177" s="10" t="s">
        <v>59</v>
      </c>
      <c r="AO177" s="10"/>
      <c r="AP177" s="10"/>
      <c r="AQ177" s="10"/>
      <c r="AR177" s="10" t="s">
        <v>66</v>
      </c>
      <c r="AS177" s="10"/>
      <c r="AT177" s="15" t="n">
        <v>1</v>
      </c>
    </row>
    <row r="178" customFormat="false" ht="28.5" hidden="false" customHeight="true" outlineLevel="0" collapsed="false">
      <c r="A178" s="12" t="n">
        <v>46230</v>
      </c>
      <c r="B178" s="12"/>
      <c r="C178" s="12" t="n">
        <v>46230</v>
      </c>
      <c r="D178" s="10" t="s">
        <v>54</v>
      </c>
      <c r="E178" s="10" t="s">
        <v>47</v>
      </c>
      <c r="F178" s="13" t="s">
        <v>386</v>
      </c>
      <c r="G178" s="14" t="s">
        <v>49</v>
      </c>
      <c r="H178" s="10" t="s">
        <v>76</v>
      </c>
      <c r="I178" s="15" t="n">
        <v>88</v>
      </c>
      <c r="J178" s="10" t="s">
        <v>51</v>
      </c>
      <c r="K178" s="15" t="n">
        <v>0</v>
      </c>
      <c r="L178" s="11" t="n">
        <v>0</v>
      </c>
      <c r="M178" s="11" t="n">
        <v>0</v>
      </c>
      <c r="N178" s="10" t="s">
        <v>258</v>
      </c>
      <c r="O178" s="10" t="s">
        <v>67</v>
      </c>
      <c r="P178" s="10" t="s">
        <v>53</v>
      </c>
      <c r="Q178" s="16" t="n">
        <v>10</v>
      </c>
      <c r="R178" s="10"/>
      <c r="S178" s="10"/>
      <c r="T178" s="10" t="n">
        <v>0</v>
      </c>
      <c r="U178" s="11" t="n">
        <f aca="false">IF(E178="TRANSPORT",IF(T178="","",T178*5),IF(AL178="","",AL178))</f>
        <v>0</v>
      </c>
      <c r="V178" s="10" t="s">
        <v>54</v>
      </c>
      <c r="W178" s="15" t="s">
        <v>70</v>
      </c>
      <c r="X178" s="15"/>
      <c r="Y178" s="17" t="n">
        <v>46234.2834953704</v>
      </c>
      <c r="Z178" s="18" t="n">
        <f aca="false">IF(I178="",0,IF(ISNUMBER(SEARCH("mp",LOWER(J178))),I178,IF(ISNUMBER(SEARCH("ton",LOWER(J178))),I178/0.33,IF(ISNUMBER(SEARCH("m3",LOWER(J178))),I178*4,I178))))</f>
        <v>88</v>
      </c>
      <c r="AA178" s="18" t="n">
        <f aca="false">IF(I178="",0,IF(ISNUMBER(SEARCH("mp",LOWER(J178))),I178*0.33,IF(ISNUMBER(SEARCH("ton",LOWER(J178))),I178,I178*0.33)))</f>
        <v>29.04</v>
      </c>
      <c r="AB178" s="18" t="n">
        <f aca="false">Tabela_dane[[#This Row],[Wolumen_t]]*8.5</f>
        <v>246.84</v>
      </c>
      <c r="AC178" s="18" t="n">
        <f aca="false">IF(G178&lt;&gt;"TAK",0,IF(OR(E178="ZAKUP",E178="PRODUKCJA"),Z178,IF(OR(E178="SPRZEDAŻ",E178="ZUŻYCIE"),-Z178,0)))</f>
        <v>88</v>
      </c>
      <c r="AD178" s="18" t="n">
        <f aca="false">IF(G178&lt;&gt;"TAK",0,IF(OR(E178="ZAKUP",E178="PRODUKCJA"),AA178,IF(OR(E178="SPRZEDAŻ",E178="ZUŻYCIE"),-AA178,0)))</f>
        <v>29.04</v>
      </c>
      <c r="AE178" s="19" t="n">
        <f aca="false">IF(E178="ZAKUP",IF(L178&lt;&gt;"",L178,IF(K178&lt;&gt;"",Z178*K178,0)),0)</f>
        <v>0</v>
      </c>
      <c r="AF178" s="19" t="n">
        <f aca="false">IF(E178="SPRZEDAŻ",IF(M178&lt;&gt;"",Z178*M178,0),0)</f>
        <v>0</v>
      </c>
      <c r="AG178" s="19" t="str">
        <f aca="false">IF(R178="","",IF(LOWER(R178)="brak","Brak",IF(OR(ISNUMBER(SEARCH("ric pl",LOWER(R178))),ISNUMBER(SEARCH("wojciechowski",LOWER(R178)))),"Własny","Zewnętrzny")))</f>
        <v/>
      </c>
      <c r="AH178" s="19" t="n">
        <f aca="false">Z178*Q178</f>
        <v>880</v>
      </c>
      <c r="AI178" s="19" t="str">
        <f aca="false">UPPER(TEXT(C178,"mmmm"))</f>
        <v>JULY</v>
      </c>
      <c r="AJ178" s="19" t="str">
        <f aca="false">IF(C178="","",TEXT(C178,"rrrr"))</f>
        <v>CE5786CE5786</v>
      </c>
      <c r="AK178" s="10"/>
      <c r="AL178" s="11" t="n">
        <v>0</v>
      </c>
      <c r="AM178" s="10" t="s">
        <v>388</v>
      </c>
      <c r="AN178" s="10" t="s">
        <v>59</v>
      </c>
      <c r="AO178" s="10"/>
      <c r="AP178" s="10"/>
      <c r="AQ178" s="10"/>
      <c r="AR178" s="10" t="s">
        <v>66</v>
      </c>
      <c r="AS178" s="10"/>
      <c r="AT178" s="15" t="n">
        <v>1</v>
      </c>
    </row>
    <row r="179" customFormat="false" ht="28.5" hidden="false" customHeight="true" outlineLevel="0" collapsed="false">
      <c r="A179" s="12" t="n">
        <v>46230</v>
      </c>
      <c r="B179" s="12"/>
      <c r="C179" s="12" t="n">
        <v>46230</v>
      </c>
      <c r="D179" s="10" t="s">
        <v>54</v>
      </c>
      <c r="E179" s="10" t="s">
        <v>79</v>
      </c>
      <c r="F179" s="13" t="s">
        <v>386</v>
      </c>
      <c r="G179" s="14" t="s">
        <v>49</v>
      </c>
      <c r="H179" s="10" t="s">
        <v>76</v>
      </c>
      <c r="I179" s="15" t="n">
        <v>88</v>
      </c>
      <c r="J179" s="10" t="s">
        <v>51</v>
      </c>
      <c r="K179" s="15" t="n">
        <v>0</v>
      </c>
      <c r="L179" s="11" t="n">
        <v>0</v>
      </c>
      <c r="M179" s="11" t="n">
        <v>0</v>
      </c>
      <c r="N179" s="10" t="s">
        <v>258</v>
      </c>
      <c r="O179" s="10" t="s">
        <v>67</v>
      </c>
      <c r="P179" s="10" t="s">
        <v>53</v>
      </c>
      <c r="Q179" s="16" t="n">
        <v>10</v>
      </c>
      <c r="R179" s="10"/>
      <c r="S179" s="10"/>
      <c r="T179" s="10" t="n">
        <v>0</v>
      </c>
      <c r="U179" s="11" t="n">
        <f aca="false">IF(E179="TRANSPORT",IF(T179="","",T179*5),IF(AL179="","",AL179))</f>
        <v>0</v>
      </c>
      <c r="V179" s="10" t="s">
        <v>54</v>
      </c>
      <c r="W179" s="15" t="s">
        <v>260</v>
      </c>
      <c r="X179" s="15"/>
      <c r="Y179" s="17" t="n">
        <v>46234.2834953704</v>
      </c>
      <c r="Z179" s="18" t="n">
        <f aca="false">IF(I179="",0,IF(ISNUMBER(SEARCH("mp",LOWER(J179))),I179,IF(ISNUMBER(SEARCH("ton",LOWER(J179))),I179/0.33,IF(ISNUMBER(SEARCH("m3",LOWER(J179))),I179*4,I179))))</f>
        <v>88</v>
      </c>
      <c r="AA179" s="18" t="n">
        <f aca="false">IF(I179="",0,IF(ISNUMBER(SEARCH("mp",LOWER(J179))),I179*0.33,IF(ISNUMBER(SEARCH("ton",LOWER(J179))),I179,I179*0.33)))</f>
        <v>29.04</v>
      </c>
      <c r="AB179" s="18" t="n">
        <f aca="false">Tabela_dane[[#This Row],[Wolumen_t]]*8.5</f>
        <v>246.84</v>
      </c>
      <c r="AC179" s="18" t="n">
        <f aca="false">IF(G179&lt;&gt;"TAK",0,IF(OR(E179="ZAKUP",E179="PRODUKCJA"),Z179,IF(OR(E179="SPRZEDAŻ",E179="ZUŻYCIE"),-Z179,0)))</f>
        <v>-88</v>
      </c>
      <c r="AD179" s="18" t="n">
        <f aca="false">IF(G179&lt;&gt;"TAK",0,IF(OR(E179="ZAKUP",E179="PRODUKCJA"),AA179,IF(OR(E179="SPRZEDAŻ",E179="ZUŻYCIE"),-AA179,0)))</f>
        <v>-29.04</v>
      </c>
      <c r="AE179" s="19" t="n">
        <f aca="false">IF(E179="ZAKUP",IF(L179&lt;&gt;"",L179,IF(K179&lt;&gt;"",Z179*K179,0)),0)</f>
        <v>0</v>
      </c>
      <c r="AF179" s="19" t="n">
        <f aca="false">IF(E179="SPRZEDAŻ",IF(M179&lt;&gt;"",Z179*M179,0),0)</f>
        <v>0</v>
      </c>
      <c r="AG179" s="19" t="str">
        <f aca="false">IF(R179="","",IF(LOWER(R179)="brak","Brak",IF(OR(ISNUMBER(SEARCH("ric pl",LOWER(R179))),ISNUMBER(SEARCH("wojciechowski",LOWER(R179)))),"Własny","Zewnętrzny")))</f>
        <v/>
      </c>
      <c r="AH179" s="19" t="n">
        <f aca="false">Z179*Q179</f>
        <v>880</v>
      </c>
      <c r="AI179" s="19" t="str">
        <f aca="false">UPPER(TEXT(C179,"mmmm"))</f>
        <v>JULY</v>
      </c>
      <c r="AJ179" s="19" t="str">
        <f aca="false">IF(C179="","",TEXT(C179,"rrrr"))</f>
        <v>CE5786CE5786</v>
      </c>
      <c r="AK179" s="10"/>
      <c r="AL179" s="11" t="n">
        <v>0</v>
      </c>
      <c r="AM179" s="10" t="s">
        <v>388</v>
      </c>
      <c r="AN179" s="10" t="s">
        <v>59</v>
      </c>
      <c r="AO179" s="10"/>
      <c r="AP179" s="10"/>
      <c r="AQ179" s="10"/>
      <c r="AR179" s="10" t="s">
        <v>81</v>
      </c>
      <c r="AS179" s="10"/>
      <c r="AT179" s="15" t="n">
        <v>1</v>
      </c>
    </row>
    <row r="180" customFormat="false" ht="28.5" hidden="false" customHeight="true" outlineLevel="0" collapsed="false">
      <c r="A180" s="12" t="n">
        <v>46230</v>
      </c>
      <c r="B180" s="12" t="s">
        <v>380</v>
      </c>
      <c r="C180" s="12" t="n">
        <v>46230</v>
      </c>
      <c r="D180" s="10" t="s">
        <v>54</v>
      </c>
      <c r="E180" s="10" t="s">
        <v>63</v>
      </c>
      <c r="F180" s="13" t="s">
        <v>386</v>
      </c>
      <c r="G180" s="14" t="s">
        <v>49</v>
      </c>
      <c r="H180" s="10" t="s">
        <v>76</v>
      </c>
      <c r="I180" s="15" t="n">
        <v>88</v>
      </c>
      <c r="J180" s="10" t="s">
        <v>51</v>
      </c>
      <c r="K180" s="15" t="n">
        <v>0</v>
      </c>
      <c r="L180" s="11" t="n">
        <v>0</v>
      </c>
      <c r="M180" s="11" t="n">
        <v>0</v>
      </c>
      <c r="N180" s="10" t="s">
        <v>258</v>
      </c>
      <c r="O180" s="10" t="s">
        <v>67</v>
      </c>
      <c r="P180" s="10"/>
      <c r="Q180" s="16" t="n">
        <v>0</v>
      </c>
      <c r="R180" s="10" t="s">
        <v>94</v>
      </c>
      <c r="S180" s="10" t="s">
        <v>95</v>
      </c>
      <c r="T180" s="10" t="n">
        <v>200</v>
      </c>
      <c r="U180" s="11" t="n">
        <f aca="false">IF(E180="TRANSPORT",IF(T180="","",T180*5),IF(AL180="","",AL180))</f>
        <v>1000</v>
      </c>
      <c r="V180" s="10" t="s">
        <v>54</v>
      </c>
      <c r="W180" s="15" t="s">
        <v>70</v>
      </c>
      <c r="X180" s="15"/>
      <c r="Y180" s="17" t="n">
        <v>46234.2843402778</v>
      </c>
      <c r="Z180" s="18" t="n">
        <f aca="false">IF(I180="",0,IF(ISNUMBER(SEARCH("mp",LOWER(J180))),I180,IF(ISNUMBER(SEARCH("ton",LOWER(J180))),I180/0.33,IF(ISNUMBER(SEARCH("m3",LOWER(J180))),I180*4,I180))))</f>
        <v>88</v>
      </c>
      <c r="AA180" s="18" t="n">
        <f aca="false">IF(I180="",0,IF(ISNUMBER(SEARCH("mp",LOWER(J180))),I180*0.33,IF(ISNUMBER(SEARCH("ton",LOWER(J180))),I180,I180*0.33)))</f>
        <v>29.04</v>
      </c>
      <c r="AB180" s="18" t="n">
        <f aca="false">Tabela_dane[[#This Row],[Wolumen_t]]*8.5</f>
        <v>246.84</v>
      </c>
      <c r="AC180" s="18" t="n">
        <f aca="false">IF(G180&lt;&gt;"TAK",0,IF(OR(E180="ZAKUP",E180="PRODUKCJA"),Z180,IF(OR(E180="SPRZEDAŻ",E180="ZUŻYCIE"),-Z180,0)))</f>
        <v>88</v>
      </c>
      <c r="AD180" s="18" t="n">
        <f aca="false">IF(G180&lt;&gt;"TAK",0,IF(OR(E180="ZAKUP",E180="PRODUKCJA"),AA180,IF(OR(E180="SPRZEDAŻ",E180="ZUŻYCIE"),-AA180,0)))</f>
        <v>29.04</v>
      </c>
      <c r="AE180" s="19" t="n">
        <f aca="false">IF(E180="ZAKUP",IF(L180&lt;&gt;"",L180,IF(K180&lt;&gt;"",Z180*K180,0)),0)</f>
        <v>0</v>
      </c>
      <c r="AF180" s="19" t="n">
        <f aca="false">IF(E180="SPRZEDAŻ",IF(M180&lt;&gt;"",Z180*M180,0),0)</f>
        <v>0</v>
      </c>
      <c r="AG180" s="19" t="str">
        <f aca="false">IF(R180="","",IF(LOWER(R180)="brak","Brak",IF(OR(ISNUMBER(SEARCH("ric pl",LOWER(R180))),ISNUMBER(SEARCH("wojciechowski",LOWER(R180)))),"Własny","Zewnętrzny")))</f>
        <v>Zewnętrzny</v>
      </c>
      <c r="AH180" s="19" t="n">
        <f aca="false">Z180*Q180</f>
        <v>0</v>
      </c>
      <c r="AI180" s="19" t="str">
        <f aca="false">UPPER(TEXT(C180,"mmmm"))</f>
        <v>JULY</v>
      </c>
      <c r="AJ180" s="19" t="str">
        <f aca="false">IF(C180="","",TEXT(C180,"rrrr"))</f>
        <v>CE5786CE5786</v>
      </c>
      <c r="AK180" s="10"/>
      <c r="AL180" s="11" t="n">
        <v>1000</v>
      </c>
      <c r="AM180" s="10" t="s">
        <v>389</v>
      </c>
      <c r="AN180" s="10" t="s">
        <v>49</v>
      </c>
      <c r="AO180" s="10"/>
      <c r="AP180" s="10"/>
      <c r="AQ180" s="10"/>
      <c r="AR180" s="10" t="s">
        <v>66</v>
      </c>
      <c r="AS180" s="10"/>
      <c r="AT180" s="15" t="n">
        <v>1</v>
      </c>
    </row>
    <row r="181" customFormat="false" ht="28.5" hidden="false" customHeight="true" outlineLevel="0" collapsed="false">
      <c r="A181" s="12" t="n">
        <v>46230</v>
      </c>
      <c r="B181" s="12"/>
      <c r="C181" s="12" t="n">
        <v>46230</v>
      </c>
      <c r="D181" s="10" t="s">
        <v>376</v>
      </c>
      <c r="E181" s="10" t="s">
        <v>63</v>
      </c>
      <c r="F181" s="13" t="s">
        <v>390</v>
      </c>
      <c r="G181" s="14" t="s">
        <v>49</v>
      </c>
      <c r="H181" s="10" t="s">
        <v>76</v>
      </c>
      <c r="I181" s="15" t="n">
        <v>87</v>
      </c>
      <c r="J181" s="10" t="s">
        <v>51</v>
      </c>
      <c r="K181" s="15" t="n">
        <v>45</v>
      </c>
      <c r="L181" s="11" t="n">
        <v>3915</v>
      </c>
      <c r="M181" s="11" t="n">
        <v>0</v>
      </c>
      <c r="N181" s="10" t="s">
        <v>255</v>
      </c>
      <c r="O181" s="10" t="s">
        <v>67</v>
      </c>
      <c r="P181" s="10"/>
      <c r="Q181" s="16" t="n">
        <v>0</v>
      </c>
      <c r="R181" s="10"/>
      <c r="S181" s="10"/>
      <c r="T181" s="10" t="n">
        <v>0</v>
      </c>
      <c r="U181" s="11" t="n">
        <f aca="false">IF(E181="TRANSPORT",IF(T181="","",T181*5),IF(AL181="","",AL181))</f>
        <v>0</v>
      </c>
      <c r="V181" s="10" t="s">
        <v>54</v>
      </c>
      <c r="W181" s="15" t="s">
        <v>70</v>
      </c>
      <c r="X181" s="15"/>
      <c r="Y181" s="17" t="n">
        <v>46234.3050810185</v>
      </c>
      <c r="Z181" s="18" t="n">
        <f aca="false">IF(I181="",0,IF(ISNUMBER(SEARCH("mp",LOWER(J181))),I181,IF(ISNUMBER(SEARCH("ton",LOWER(J181))),I181/0.33,IF(ISNUMBER(SEARCH("m3",LOWER(J181))),I181*4,I181))))</f>
        <v>87</v>
      </c>
      <c r="AA181" s="18" t="n">
        <f aca="false">IF(I181="",0,IF(ISNUMBER(SEARCH("mp",LOWER(J181))),I181*0.33,IF(ISNUMBER(SEARCH("ton",LOWER(J181))),I181,I181*0.33)))</f>
        <v>28.71</v>
      </c>
      <c r="AB181" s="18" t="n">
        <f aca="false">Tabela_dane[[#This Row],[Wolumen_t]]*8.5</f>
        <v>244.035</v>
      </c>
      <c r="AC181" s="18" t="n">
        <f aca="false">IF(G181&lt;&gt;"TAK",0,IF(OR(E181="ZAKUP",E181="PRODUKCJA"),Z181,IF(OR(E181="SPRZEDAŻ",E181="ZUŻYCIE"),-Z181,0)))</f>
        <v>87</v>
      </c>
      <c r="AD181" s="18" t="n">
        <f aca="false">IF(G181&lt;&gt;"TAK",0,IF(OR(E181="ZAKUP",E181="PRODUKCJA"),AA181,IF(OR(E181="SPRZEDAŻ",E181="ZUŻYCIE"),-AA181,0)))</f>
        <v>28.71</v>
      </c>
      <c r="AE181" s="19" t="n">
        <f aca="false">IF(E181="ZAKUP",IF(L181&lt;&gt;"",L181,IF(K181&lt;&gt;"",Z181*K181,0)),0)</f>
        <v>3915</v>
      </c>
      <c r="AF181" s="19" t="n">
        <f aca="false">IF(E181="SPRZEDAŻ",IF(M181&lt;&gt;"",Z181*M181,0),0)</f>
        <v>0</v>
      </c>
      <c r="AG181" s="19" t="str">
        <f aca="false">IF(R181="","",IF(LOWER(R181)="brak","Brak",IF(OR(ISNUMBER(SEARCH("ric pl",LOWER(R181))),ISNUMBER(SEARCH("wojciechowski",LOWER(R181)))),"Własny","Zewnętrzny")))</f>
        <v/>
      </c>
      <c r="AH181" s="19" t="n">
        <f aca="false">Z181*Q181</f>
        <v>0</v>
      </c>
      <c r="AI181" s="19" t="str">
        <f aca="false">UPPER(TEXT(C181,"mmmm"))</f>
        <v>JULY</v>
      </c>
      <c r="AJ181" s="19" t="str">
        <f aca="false">IF(C181="","",TEXT(C181,"rrrr"))</f>
        <v>CE5786CE5786</v>
      </c>
      <c r="AK181" s="10"/>
      <c r="AL181" s="11" t="n">
        <v>0</v>
      </c>
      <c r="AM181" s="10" t="s">
        <v>391</v>
      </c>
      <c r="AN181" s="10" t="s">
        <v>59</v>
      </c>
      <c r="AO181" s="10"/>
      <c r="AP181" s="10"/>
      <c r="AQ181" s="10"/>
      <c r="AR181" s="10" t="s">
        <v>66</v>
      </c>
      <c r="AS181" s="10"/>
      <c r="AT181" s="15" t="n">
        <v>1</v>
      </c>
    </row>
    <row r="182" customFormat="false" ht="28.5" hidden="false" customHeight="true" outlineLevel="0" collapsed="false">
      <c r="A182" s="12" t="n">
        <v>46230</v>
      </c>
      <c r="B182" s="12"/>
      <c r="C182" s="12" t="n">
        <v>46230</v>
      </c>
      <c r="D182" s="10" t="s">
        <v>54</v>
      </c>
      <c r="E182" s="10" t="s">
        <v>47</v>
      </c>
      <c r="F182" s="13" t="s">
        <v>390</v>
      </c>
      <c r="G182" s="14" t="s">
        <v>49</v>
      </c>
      <c r="H182" s="10" t="s">
        <v>76</v>
      </c>
      <c r="I182" s="15" t="n">
        <v>87</v>
      </c>
      <c r="J182" s="10" t="s">
        <v>51</v>
      </c>
      <c r="K182" s="15" t="n">
        <v>0</v>
      </c>
      <c r="L182" s="11" t="n">
        <v>0</v>
      </c>
      <c r="M182" s="11" t="n">
        <v>0</v>
      </c>
      <c r="N182" s="10" t="s">
        <v>258</v>
      </c>
      <c r="O182" s="10" t="s">
        <v>67</v>
      </c>
      <c r="P182" s="10" t="s">
        <v>53</v>
      </c>
      <c r="Q182" s="16" t="n">
        <v>10</v>
      </c>
      <c r="R182" s="10"/>
      <c r="S182" s="10"/>
      <c r="T182" s="10" t="n">
        <v>0</v>
      </c>
      <c r="U182" s="11" t="n">
        <f aca="false">IF(E182="TRANSPORT",IF(T182="","",T182*5),IF(AL182="","",AL182))</f>
        <v>0</v>
      </c>
      <c r="V182" s="10" t="s">
        <v>54</v>
      </c>
      <c r="W182" s="15" t="s">
        <v>70</v>
      </c>
      <c r="X182" s="15"/>
      <c r="Y182" s="17" t="n">
        <v>46234.3054513889</v>
      </c>
      <c r="Z182" s="18" t="n">
        <f aca="false">IF(I182="",0,IF(ISNUMBER(SEARCH("mp",LOWER(J182))),I182,IF(ISNUMBER(SEARCH("ton",LOWER(J182))),I182/0.33,IF(ISNUMBER(SEARCH("m3",LOWER(J182))),I182*4,I182))))</f>
        <v>87</v>
      </c>
      <c r="AA182" s="18" t="n">
        <f aca="false">IF(I182="",0,IF(ISNUMBER(SEARCH("mp",LOWER(J182))),I182*0.33,IF(ISNUMBER(SEARCH("ton",LOWER(J182))),I182,I182*0.33)))</f>
        <v>28.71</v>
      </c>
      <c r="AB182" s="18" t="n">
        <f aca="false">Tabela_dane[[#This Row],[Wolumen_t]]*8.5</f>
        <v>244.035</v>
      </c>
      <c r="AC182" s="18" t="n">
        <f aca="false">IF(G182&lt;&gt;"TAK",0,IF(OR(E182="ZAKUP",E182="PRODUKCJA"),Z182,IF(OR(E182="SPRZEDAŻ",E182="ZUŻYCIE"),-Z182,0)))</f>
        <v>87</v>
      </c>
      <c r="AD182" s="18" t="n">
        <f aca="false">IF(G182&lt;&gt;"TAK",0,IF(OR(E182="ZAKUP",E182="PRODUKCJA"),AA182,IF(OR(E182="SPRZEDAŻ",E182="ZUŻYCIE"),-AA182,0)))</f>
        <v>28.71</v>
      </c>
      <c r="AE182" s="19" t="n">
        <f aca="false">IF(E182="ZAKUP",IF(L182&lt;&gt;"",L182,IF(K182&lt;&gt;"",Z182*K182,0)),0)</f>
        <v>0</v>
      </c>
      <c r="AF182" s="19" t="n">
        <f aca="false">IF(E182="SPRZEDAŻ",IF(M182&lt;&gt;"",Z182*M182,0),0)</f>
        <v>0</v>
      </c>
      <c r="AG182" s="19" t="str">
        <f aca="false">IF(R182="","",IF(LOWER(R182)="brak","Brak",IF(OR(ISNUMBER(SEARCH("ric pl",LOWER(R182))),ISNUMBER(SEARCH("wojciechowski",LOWER(R182)))),"Własny","Zewnętrzny")))</f>
        <v/>
      </c>
      <c r="AH182" s="19" t="n">
        <f aca="false">Z182*Q182</f>
        <v>870</v>
      </c>
      <c r="AI182" s="19" t="str">
        <f aca="false">UPPER(TEXT(C182,"mmmm"))</f>
        <v>JULY</v>
      </c>
      <c r="AJ182" s="19" t="str">
        <f aca="false">IF(C182="","",TEXT(C182,"rrrr"))</f>
        <v>CE5786CE5786</v>
      </c>
      <c r="AK182" s="10"/>
      <c r="AL182" s="11" t="n">
        <v>0</v>
      </c>
      <c r="AM182" s="10" t="s">
        <v>392</v>
      </c>
      <c r="AN182" s="10" t="s">
        <v>59</v>
      </c>
      <c r="AO182" s="10"/>
      <c r="AP182" s="10"/>
      <c r="AQ182" s="10"/>
      <c r="AR182" s="10" t="s">
        <v>66</v>
      </c>
      <c r="AS182" s="10"/>
      <c r="AT182" s="15" t="n">
        <v>1</v>
      </c>
    </row>
    <row r="183" customFormat="false" ht="28.5" hidden="false" customHeight="true" outlineLevel="0" collapsed="false">
      <c r="A183" s="12" t="n">
        <v>46230</v>
      </c>
      <c r="B183" s="12"/>
      <c r="C183" s="12" t="n">
        <v>46230</v>
      </c>
      <c r="D183" s="10" t="s">
        <v>54</v>
      </c>
      <c r="E183" s="10" t="s">
        <v>79</v>
      </c>
      <c r="F183" s="13" t="s">
        <v>390</v>
      </c>
      <c r="G183" s="14" t="s">
        <v>49</v>
      </c>
      <c r="H183" s="10" t="s">
        <v>76</v>
      </c>
      <c r="I183" s="15" t="n">
        <v>87</v>
      </c>
      <c r="J183" s="10" t="s">
        <v>51</v>
      </c>
      <c r="K183" s="15" t="n">
        <v>0</v>
      </c>
      <c r="L183" s="11" t="n">
        <v>0</v>
      </c>
      <c r="M183" s="11" t="n">
        <v>0</v>
      </c>
      <c r="N183" s="10" t="s">
        <v>258</v>
      </c>
      <c r="O183" s="10" t="s">
        <v>67</v>
      </c>
      <c r="P183" s="10" t="s">
        <v>53</v>
      </c>
      <c r="Q183" s="16" t="n">
        <v>10</v>
      </c>
      <c r="R183" s="10"/>
      <c r="S183" s="10"/>
      <c r="T183" s="10" t="n">
        <v>0</v>
      </c>
      <c r="U183" s="11" t="n">
        <f aca="false">IF(E183="TRANSPORT",IF(T183="","",T183*5),IF(AL183="","",AL183))</f>
        <v>0</v>
      </c>
      <c r="V183" s="10" t="s">
        <v>54</v>
      </c>
      <c r="W183" s="15" t="s">
        <v>260</v>
      </c>
      <c r="X183" s="15"/>
      <c r="Y183" s="17" t="n">
        <v>46234.3054513889</v>
      </c>
      <c r="Z183" s="18" t="n">
        <f aca="false">IF(I183="",0,IF(ISNUMBER(SEARCH("mp",LOWER(J183))),I183,IF(ISNUMBER(SEARCH("ton",LOWER(J183))),I183/0.33,IF(ISNUMBER(SEARCH("m3",LOWER(J183))),I183*4,I183))))</f>
        <v>87</v>
      </c>
      <c r="AA183" s="18" t="n">
        <f aca="false">IF(I183="",0,IF(ISNUMBER(SEARCH("mp",LOWER(J183))),I183*0.33,IF(ISNUMBER(SEARCH("ton",LOWER(J183))),I183,I183*0.33)))</f>
        <v>28.71</v>
      </c>
      <c r="AB183" s="18" t="n">
        <f aca="false">Tabela_dane[[#This Row],[Wolumen_t]]*8.5</f>
        <v>244.035</v>
      </c>
      <c r="AC183" s="18" t="n">
        <f aca="false">IF(G183&lt;&gt;"TAK",0,IF(OR(E183="ZAKUP",E183="PRODUKCJA"),Z183,IF(OR(E183="SPRZEDAŻ",E183="ZUŻYCIE"),-Z183,0)))</f>
        <v>-87</v>
      </c>
      <c r="AD183" s="18" t="n">
        <f aca="false">IF(G183&lt;&gt;"TAK",0,IF(OR(E183="ZAKUP",E183="PRODUKCJA"),AA183,IF(OR(E183="SPRZEDAŻ",E183="ZUŻYCIE"),-AA183,0)))</f>
        <v>-28.71</v>
      </c>
      <c r="AE183" s="19" t="n">
        <f aca="false">IF(E183="ZAKUP",IF(L183&lt;&gt;"",L183,IF(K183&lt;&gt;"",Z183*K183,0)),0)</f>
        <v>0</v>
      </c>
      <c r="AF183" s="19" t="n">
        <f aca="false">IF(E183="SPRZEDAŻ",IF(M183&lt;&gt;"",Z183*M183,0),0)</f>
        <v>0</v>
      </c>
      <c r="AG183" s="19" t="str">
        <f aca="false">IF(R183="","",IF(LOWER(R183)="brak","Brak",IF(OR(ISNUMBER(SEARCH("ric pl",LOWER(R183))),ISNUMBER(SEARCH("wojciechowski",LOWER(R183)))),"Własny","Zewnętrzny")))</f>
        <v/>
      </c>
      <c r="AH183" s="19" t="n">
        <f aca="false">Z183*Q183</f>
        <v>870</v>
      </c>
      <c r="AI183" s="19" t="str">
        <f aca="false">UPPER(TEXT(C183,"mmmm"))</f>
        <v>JULY</v>
      </c>
      <c r="AJ183" s="19" t="str">
        <f aca="false">IF(C183="","",TEXT(C183,"rrrr"))</f>
        <v>CE5786CE5786</v>
      </c>
      <c r="AK183" s="10"/>
      <c r="AL183" s="11" t="n">
        <v>0</v>
      </c>
      <c r="AM183" s="10" t="s">
        <v>393</v>
      </c>
      <c r="AN183" s="10" t="s">
        <v>59</v>
      </c>
      <c r="AO183" s="10"/>
      <c r="AP183" s="10"/>
      <c r="AQ183" s="10"/>
      <c r="AR183" s="10" t="s">
        <v>66</v>
      </c>
      <c r="AS183" s="10"/>
      <c r="AT183" s="15" t="n">
        <v>1</v>
      </c>
    </row>
    <row r="184" customFormat="false" ht="28.5" hidden="false" customHeight="true" outlineLevel="0" collapsed="false">
      <c r="A184" s="12" t="n">
        <v>46230</v>
      </c>
      <c r="B184" s="12" t="s">
        <v>380</v>
      </c>
      <c r="C184" s="12" t="n">
        <v>46230</v>
      </c>
      <c r="D184" s="10" t="s">
        <v>54</v>
      </c>
      <c r="E184" s="10" t="s">
        <v>63</v>
      </c>
      <c r="F184" s="13" t="s">
        <v>390</v>
      </c>
      <c r="G184" s="14" t="s">
        <v>49</v>
      </c>
      <c r="H184" s="10" t="s">
        <v>76</v>
      </c>
      <c r="I184" s="15" t="n">
        <v>87</v>
      </c>
      <c r="J184" s="10" t="s">
        <v>51</v>
      </c>
      <c r="K184" s="15" t="n">
        <v>0</v>
      </c>
      <c r="L184" s="11" t="n">
        <v>0</v>
      </c>
      <c r="M184" s="11" t="n">
        <v>0</v>
      </c>
      <c r="N184" s="10" t="s">
        <v>258</v>
      </c>
      <c r="O184" s="10" t="s">
        <v>67</v>
      </c>
      <c r="P184" s="10"/>
      <c r="Q184" s="16" t="n">
        <v>0</v>
      </c>
      <c r="R184" s="10" t="s">
        <v>97</v>
      </c>
      <c r="S184" s="10" t="s">
        <v>98</v>
      </c>
      <c r="T184" s="10" t="n">
        <v>200</v>
      </c>
      <c r="U184" s="11" t="n">
        <f aca="false">IF(E184="TRANSPORT",IF(T184="","",T184*5),IF(AL184="","",AL184))</f>
        <v>1200</v>
      </c>
      <c r="V184" s="10" t="s">
        <v>54</v>
      </c>
      <c r="W184" s="15" t="s">
        <v>70</v>
      </c>
      <c r="X184" s="15"/>
      <c r="Y184" s="17" t="n">
        <v>46234.3061342593</v>
      </c>
      <c r="Z184" s="18" t="n">
        <f aca="false">IF(I184="",0,IF(ISNUMBER(SEARCH("mp",LOWER(J184))),I184,IF(ISNUMBER(SEARCH("ton",LOWER(J184))),I184/0.33,IF(ISNUMBER(SEARCH("m3",LOWER(J184))),I184*4,I184))))</f>
        <v>87</v>
      </c>
      <c r="AA184" s="18" t="n">
        <f aca="false">IF(I184="",0,IF(ISNUMBER(SEARCH("mp",LOWER(J184))),I184*0.33,IF(ISNUMBER(SEARCH("ton",LOWER(J184))),I184,I184*0.33)))</f>
        <v>28.71</v>
      </c>
      <c r="AB184" s="18" t="n">
        <f aca="false">Tabela_dane[[#This Row],[Wolumen_t]]*8.5</f>
        <v>244.035</v>
      </c>
      <c r="AC184" s="18" t="n">
        <f aca="false">IF(G184&lt;&gt;"TAK",0,IF(OR(E184="ZAKUP",E184="PRODUKCJA"),Z184,IF(OR(E184="SPRZEDAŻ",E184="ZUŻYCIE"),-Z184,0)))</f>
        <v>87</v>
      </c>
      <c r="AD184" s="18" t="n">
        <f aca="false">IF(G184&lt;&gt;"TAK",0,IF(OR(E184="ZAKUP",E184="PRODUKCJA"),AA184,IF(OR(E184="SPRZEDAŻ",E184="ZUŻYCIE"),-AA184,0)))</f>
        <v>28.71</v>
      </c>
      <c r="AE184" s="19" t="n">
        <f aca="false">IF(E184="ZAKUP",IF(L184&lt;&gt;"",L184,IF(K184&lt;&gt;"",Z184*K184,0)),0)</f>
        <v>0</v>
      </c>
      <c r="AF184" s="19" t="n">
        <f aca="false">IF(E184="SPRZEDAŻ",IF(M184&lt;&gt;"",Z184*M184,0),0)</f>
        <v>0</v>
      </c>
      <c r="AG184" s="19" t="str">
        <f aca="false">IF(R184="","",IF(LOWER(R184)="brak","Brak",IF(OR(ISNUMBER(SEARCH("ric pl",LOWER(R184))),ISNUMBER(SEARCH("wojciechowski",LOWER(R184)))),"Własny","Zewnętrzny")))</f>
        <v>Zewnętrzny</v>
      </c>
      <c r="AH184" s="19" t="n">
        <f aca="false">Z184*Q184</f>
        <v>0</v>
      </c>
      <c r="AI184" s="19" t="str">
        <f aca="false">UPPER(TEXT(C184,"mmmm"))</f>
        <v>JULY</v>
      </c>
      <c r="AJ184" s="19" t="str">
        <f aca="false">IF(C184="","",TEXT(C184,"rrrr"))</f>
        <v>CE5786CE5786</v>
      </c>
      <c r="AK184" s="10"/>
      <c r="AL184" s="11" t="n">
        <v>1200</v>
      </c>
      <c r="AM184" s="10" t="s">
        <v>394</v>
      </c>
      <c r="AN184" s="10" t="s">
        <v>49</v>
      </c>
      <c r="AO184" s="10"/>
      <c r="AP184" s="10"/>
      <c r="AQ184" s="10"/>
      <c r="AR184" s="10" t="s">
        <v>66</v>
      </c>
      <c r="AS184" s="10"/>
      <c r="AT184" s="15" t="n">
        <v>1</v>
      </c>
    </row>
    <row r="185" customFormat="false" ht="28.5" hidden="false" customHeight="true" outlineLevel="0" collapsed="false">
      <c r="A185" s="12" t="n">
        <v>46231</v>
      </c>
      <c r="B185" s="12"/>
      <c r="C185" s="12" t="n">
        <v>46231</v>
      </c>
      <c r="D185" s="10" t="s">
        <v>46</v>
      </c>
      <c r="E185" s="10" t="s">
        <v>63</v>
      </c>
      <c r="F185" s="20" t="s">
        <v>395</v>
      </c>
      <c r="G185" s="14" t="s">
        <v>49</v>
      </c>
      <c r="H185" s="10" t="s">
        <v>76</v>
      </c>
      <c r="I185" s="15" t="n">
        <v>30</v>
      </c>
      <c r="J185" s="10" t="s">
        <v>77</v>
      </c>
      <c r="K185" s="15" t="n">
        <v>230</v>
      </c>
      <c r="L185" s="11" t="n">
        <v>6900</v>
      </c>
      <c r="M185" s="11" t="n">
        <v>0</v>
      </c>
      <c r="N185" s="10" t="s">
        <v>64</v>
      </c>
      <c r="O185" s="10"/>
      <c r="P185" s="10"/>
      <c r="Q185" s="16" t="n">
        <v>0</v>
      </c>
      <c r="R185" s="10"/>
      <c r="S185" s="10"/>
      <c r="T185" s="10" t="n">
        <v>0</v>
      </c>
      <c r="U185" s="11" t="n">
        <f aca="false">IF(E185="TRANSPORT",IF(T185="","",T185*5),IF(AL185="","",AL185))</f>
        <v>0</v>
      </c>
      <c r="V185" s="10" t="s">
        <v>54</v>
      </c>
      <c r="W185" s="15" t="s">
        <v>242</v>
      </c>
      <c r="X185" s="15"/>
      <c r="Y185" s="17" t="n">
        <v>46232.5276851852</v>
      </c>
      <c r="Z185" s="18" t="n">
        <f aca="false">IF(I185="",0,IF(ISNUMBER(SEARCH("mp",LOWER(J185))),I185,IF(ISNUMBER(SEARCH("ton",LOWER(J185))),I185/0.33,IF(ISNUMBER(SEARCH("m3",LOWER(J185))),I185*4,I185))))</f>
        <v>120</v>
      </c>
      <c r="AA185" s="18" t="n">
        <f aca="false">IF(I185="",0,IF(ISNUMBER(SEARCH("mp",LOWER(J185))),I185*0.33,IF(ISNUMBER(SEARCH("ton",LOWER(J185))),I185,I185*0.33)))</f>
        <v>9.9</v>
      </c>
      <c r="AB185" s="18" t="n">
        <f aca="false">Tabela_dane[[#This Row],[Wolumen_t]]*8.5</f>
        <v>84.15</v>
      </c>
      <c r="AC185" s="18" t="n">
        <f aca="false">IF(G185&lt;&gt;"TAK",0,IF(OR(E185="ZAKUP",E185="PRODUKCJA"),Z185,IF(OR(E185="SPRZEDAŻ",E185="ZUŻYCIE"),-Z185,0)))</f>
        <v>120</v>
      </c>
      <c r="AD185" s="18" t="n">
        <f aca="false">IF(G185&lt;&gt;"TAK",0,IF(OR(E185="ZAKUP",E185="PRODUKCJA"),AA185,IF(OR(E185="SPRZEDAŻ",E185="ZUŻYCIE"),-AA185,0)))</f>
        <v>9.9</v>
      </c>
      <c r="AE185" s="19" t="n">
        <f aca="false">IF(E185="ZAKUP",IF(L185&lt;&gt;"",L185,IF(K185&lt;&gt;"",Z185*K185,0)),0)</f>
        <v>6900</v>
      </c>
      <c r="AF185" s="19" t="n">
        <f aca="false">IF(E185="SPRZEDAŻ",IF(M185&lt;&gt;"",Z185*M185,0),0)</f>
        <v>0</v>
      </c>
      <c r="AG185" s="19" t="str">
        <f aca="false">IF(R185="","",IF(LOWER(R185)="brak","Brak",IF(OR(ISNUMBER(SEARCH("ric pl",LOWER(R185))),ISNUMBER(SEARCH("wojciechowski",LOWER(R185)))),"Własny","Zewnętrzny")))</f>
        <v/>
      </c>
      <c r="AH185" s="19" t="n">
        <f aca="false">Z185*Q185</f>
        <v>0</v>
      </c>
      <c r="AI185" s="19" t="str">
        <f aca="false">UPPER(TEXT(C185,"mmmm"))</f>
        <v>JULY</v>
      </c>
      <c r="AJ185" s="19" t="str">
        <f aca="false">IF(C185="","",TEXT(C185,"rrrr"))</f>
        <v>CE5786CE5786</v>
      </c>
      <c r="AK185" s="10"/>
      <c r="AL185" s="11" t="n">
        <v>0</v>
      </c>
      <c r="AM185" s="10" t="s">
        <v>396</v>
      </c>
      <c r="AN185" s="10" t="s">
        <v>59</v>
      </c>
      <c r="AO185" s="10"/>
      <c r="AP185" s="10"/>
      <c r="AQ185" s="10"/>
      <c r="AR185" s="10" t="s">
        <v>66</v>
      </c>
      <c r="AS185" s="10"/>
      <c r="AT185" s="15" t="n">
        <v>1</v>
      </c>
    </row>
    <row r="186" customFormat="false" ht="28.5" hidden="false" customHeight="true" outlineLevel="0" collapsed="false">
      <c r="A186" s="12" t="n">
        <v>46231</v>
      </c>
      <c r="B186" s="12"/>
      <c r="C186" s="12" t="n">
        <v>46231</v>
      </c>
      <c r="D186" s="10" t="s">
        <v>46</v>
      </c>
      <c r="E186" s="10" t="s">
        <v>63</v>
      </c>
      <c r="F186" s="20" t="s">
        <v>397</v>
      </c>
      <c r="G186" s="14" t="s">
        <v>49</v>
      </c>
      <c r="H186" s="10" t="s">
        <v>76</v>
      </c>
      <c r="I186" s="15" t="n">
        <v>29.95</v>
      </c>
      <c r="J186" s="10" t="s">
        <v>77</v>
      </c>
      <c r="K186" s="15" t="n">
        <v>230</v>
      </c>
      <c r="L186" s="11" t="n">
        <v>6888.5</v>
      </c>
      <c r="M186" s="11" t="n">
        <v>0</v>
      </c>
      <c r="N186" s="10" t="s">
        <v>64</v>
      </c>
      <c r="O186" s="10"/>
      <c r="P186" s="10"/>
      <c r="Q186" s="16" t="n">
        <v>0</v>
      </c>
      <c r="R186" s="10"/>
      <c r="S186" s="10"/>
      <c r="T186" s="10" t="n">
        <v>0</v>
      </c>
      <c r="U186" s="11" t="n">
        <f aca="false">IF(E186="TRANSPORT",IF(T186="","",T186*5),IF(AL186="","",AL186))</f>
        <v>0</v>
      </c>
      <c r="V186" s="10" t="s">
        <v>54</v>
      </c>
      <c r="W186" s="15" t="s">
        <v>302</v>
      </c>
      <c r="X186" s="15"/>
      <c r="Y186" s="17" t="n">
        <v>46232.528287037</v>
      </c>
      <c r="Z186" s="18" t="n">
        <f aca="false">IF(I186="",0,IF(ISNUMBER(SEARCH("mp",LOWER(J186))),I186,IF(ISNUMBER(SEARCH("ton",LOWER(J186))),I186/0.33,IF(ISNUMBER(SEARCH("m3",LOWER(J186))),I186*4,I186))))</f>
        <v>119.8</v>
      </c>
      <c r="AA186" s="18" t="n">
        <f aca="false">IF(I186="",0,IF(ISNUMBER(SEARCH("mp",LOWER(J186))),I186*0.33,IF(ISNUMBER(SEARCH("ton",LOWER(J186))),I186,I186*0.33)))</f>
        <v>9.8835</v>
      </c>
      <c r="AB186" s="18" t="n">
        <f aca="false">Tabela_dane[[#This Row],[Wolumen_t]]*8.5</f>
        <v>84.00975</v>
      </c>
      <c r="AC186" s="18" t="n">
        <f aca="false">IF(G186&lt;&gt;"TAK",0,IF(OR(E186="ZAKUP",E186="PRODUKCJA"),Z186,IF(OR(E186="SPRZEDAŻ",E186="ZUŻYCIE"),-Z186,0)))</f>
        <v>119.8</v>
      </c>
      <c r="AD186" s="18" t="n">
        <f aca="false">IF(G186&lt;&gt;"TAK",0,IF(OR(E186="ZAKUP",E186="PRODUKCJA"),AA186,IF(OR(E186="SPRZEDAŻ",E186="ZUŻYCIE"),-AA186,0)))</f>
        <v>9.8835</v>
      </c>
      <c r="AE186" s="19" t="n">
        <f aca="false">IF(E186="ZAKUP",IF(L186&lt;&gt;"",L186,IF(K186&lt;&gt;"",Z186*K186,0)),0)</f>
        <v>6888.5</v>
      </c>
      <c r="AF186" s="19" t="n">
        <f aca="false">IF(E186="SPRZEDAŻ",IF(M186&lt;&gt;"",Z186*M186,0),0)</f>
        <v>0</v>
      </c>
      <c r="AG186" s="19" t="str">
        <f aca="false">IF(R186="","",IF(LOWER(R186)="brak","Brak",IF(OR(ISNUMBER(SEARCH("ric pl",LOWER(R186))),ISNUMBER(SEARCH("wojciechowski",LOWER(R186)))),"Własny","Zewnętrzny")))</f>
        <v/>
      </c>
      <c r="AH186" s="19" t="n">
        <f aca="false">Z186*Q186</f>
        <v>0</v>
      </c>
      <c r="AI186" s="19" t="str">
        <f aca="false">UPPER(TEXT(C186,"mmmm"))</f>
        <v>JULY</v>
      </c>
      <c r="AJ186" s="19" t="str">
        <f aca="false">IF(C186="","",TEXT(C186,"rrrr"))</f>
        <v>CE5786CE5786</v>
      </c>
      <c r="AK186" s="10"/>
      <c r="AL186" s="11" t="n">
        <v>0</v>
      </c>
      <c r="AM186" s="10" t="s">
        <v>398</v>
      </c>
      <c r="AN186" s="10" t="s">
        <v>59</v>
      </c>
      <c r="AO186" s="10"/>
      <c r="AP186" s="10"/>
      <c r="AQ186" s="10"/>
      <c r="AR186" s="10" t="s">
        <v>66</v>
      </c>
      <c r="AS186" s="10"/>
      <c r="AT186" s="15" t="n">
        <v>1</v>
      </c>
    </row>
    <row r="187" customFormat="false" ht="28.5" hidden="false" customHeight="true" outlineLevel="0" collapsed="false">
      <c r="A187" s="12" t="n">
        <v>46231</v>
      </c>
      <c r="B187" s="12" t="s">
        <v>106</v>
      </c>
      <c r="C187" s="12" t="n">
        <v>46231</v>
      </c>
      <c r="D187" s="10" t="s">
        <v>106</v>
      </c>
      <c r="E187" s="10" t="s">
        <v>107</v>
      </c>
      <c r="F187" s="22" t="s">
        <v>399</v>
      </c>
      <c r="G187" s="14" t="s">
        <v>49</v>
      </c>
      <c r="H187" s="10"/>
      <c r="I187" s="15" t="n">
        <v>84</v>
      </c>
      <c r="J187" s="10" t="s">
        <v>51</v>
      </c>
      <c r="K187" s="15" t="n">
        <v>0</v>
      </c>
      <c r="L187" s="11" t="n">
        <v>0</v>
      </c>
      <c r="M187" s="11" t="n">
        <v>0</v>
      </c>
      <c r="N187" s="10" t="s">
        <v>52</v>
      </c>
      <c r="O187" s="10" t="s">
        <v>67</v>
      </c>
      <c r="P187" s="10"/>
      <c r="Q187" s="16" t="n">
        <v>0</v>
      </c>
      <c r="R187" s="10" t="s">
        <v>97</v>
      </c>
      <c r="S187" s="10" t="s">
        <v>98</v>
      </c>
      <c r="T187" s="10" t="n">
        <v>40</v>
      </c>
      <c r="U187" s="11" t="n">
        <f aca="false">IF(E187="TRANSPORT",IF(T187="","",T187*5),IF(AL187="","",AL187))</f>
        <v>600</v>
      </c>
      <c r="V187" s="10" t="s">
        <v>54</v>
      </c>
      <c r="W187" s="15" t="s">
        <v>65</v>
      </c>
      <c r="X187" s="15" t="s">
        <v>106</v>
      </c>
      <c r="Y187" s="17" t="n">
        <v>46232.5327546296</v>
      </c>
      <c r="Z187" s="18" t="n">
        <f aca="false">IF(I187="",0,IF(ISNUMBER(SEARCH("mp",LOWER(J187))),I187,IF(ISNUMBER(SEARCH("ton",LOWER(J187))),I187/0.33,IF(ISNUMBER(SEARCH("m3",LOWER(J187))),I187*4,I187))))</f>
        <v>84</v>
      </c>
      <c r="AA187" s="18" t="n">
        <f aca="false">IF(I187="",0,IF(ISNUMBER(SEARCH("mp",LOWER(J187))),I187*0.33,IF(ISNUMBER(SEARCH("ton",LOWER(J187))),I187,I187*0.33)))</f>
        <v>27.72</v>
      </c>
      <c r="AB187" s="18" t="n">
        <f aca="false">Tabela_dane[[#This Row],[Wolumen_t]]*8.5</f>
        <v>235.62</v>
      </c>
      <c r="AC187" s="18" t="n">
        <f aca="false">IF(G187&lt;&gt;"TAK",0,IF(OR(E187="ZAKUP",E187="PRODUKCJA"),Z187,IF(OR(E187="SPRZEDAŻ",E187="ZUŻYCIE"),-Z187,0)))</f>
        <v>0</v>
      </c>
      <c r="AD187" s="18" t="n">
        <f aca="false">IF(G187&lt;&gt;"TAK",0,IF(OR(E187="ZAKUP",E187="PRODUKCJA"),AA187,IF(OR(E187="SPRZEDAŻ",E187="ZUŻYCIE"),-AA187,0)))</f>
        <v>0</v>
      </c>
      <c r="AE187" s="19" t="n">
        <f aca="false">IF(E187="ZAKUP",IF(L187&lt;&gt;"",L187,IF(K187&lt;&gt;"",Z187*K187,0)),0)</f>
        <v>0</v>
      </c>
      <c r="AF187" s="19" t="n">
        <f aca="false">IF(E187="SPRZEDAŻ",IF(M187&lt;&gt;"",Z187*M187,0),0)</f>
        <v>0</v>
      </c>
      <c r="AG187" s="19" t="str">
        <f aca="false">IF(R187="","",IF(LOWER(R187)="brak","Brak",IF(OR(ISNUMBER(SEARCH("ric pl",LOWER(R187))),ISNUMBER(SEARCH("wojciechowski",LOWER(R187)))),"Własny","Zewnętrzny")))</f>
        <v>Zewnętrzny</v>
      </c>
      <c r="AH187" s="19" t="n">
        <f aca="false">Z187*Q187</f>
        <v>0</v>
      </c>
      <c r="AI187" s="19" t="str">
        <f aca="false">UPPER(TEXT(C187,"mmmm"))</f>
        <v>JULY</v>
      </c>
      <c r="AJ187" s="19" t="str">
        <f aca="false">IF(C187="","",TEXT(C187,"rrrr"))</f>
        <v>CE5786CE5786</v>
      </c>
      <c r="AK187" s="10"/>
      <c r="AL187" s="11" t="n">
        <v>600</v>
      </c>
      <c r="AM187" s="10" t="s">
        <v>400</v>
      </c>
      <c r="AN187" s="10" t="s">
        <v>49</v>
      </c>
      <c r="AO187" s="10"/>
      <c r="AP187" s="10"/>
      <c r="AQ187" s="10"/>
      <c r="AR187" s="10" t="s">
        <v>66</v>
      </c>
      <c r="AS187" s="10"/>
      <c r="AT187" s="15" t="n">
        <v>1</v>
      </c>
    </row>
    <row r="188" customFormat="false" ht="28.5" hidden="false" customHeight="true" outlineLevel="0" collapsed="false">
      <c r="A188" s="12" t="n">
        <v>46231</v>
      </c>
      <c r="B188" s="12"/>
      <c r="C188" s="12" t="n">
        <v>46231</v>
      </c>
      <c r="D188" s="10" t="s">
        <v>376</v>
      </c>
      <c r="E188" s="10" t="s">
        <v>63</v>
      </c>
      <c r="F188" s="13" t="s">
        <v>401</v>
      </c>
      <c r="G188" s="14" t="s">
        <v>49</v>
      </c>
      <c r="H188" s="10" t="s">
        <v>76</v>
      </c>
      <c r="I188" s="15" t="n">
        <v>82</v>
      </c>
      <c r="J188" s="10" t="s">
        <v>51</v>
      </c>
      <c r="K188" s="15" t="n">
        <v>45</v>
      </c>
      <c r="L188" s="11" t="n">
        <v>3690</v>
      </c>
      <c r="M188" s="11" t="n">
        <v>0</v>
      </c>
      <c r="N188" s="10" t="s">
        <v>255</v>
      </c>
      <c r="O188" s="10" t="s">
        <v>67</v>
      </c>
      <c r="P188" s="10"/>
      <c r="Q188" s="16" t="n">
        <v>0</v>
      </c>
      <c r="R188" s="10"/>
      <c r="S188" s="10"/>
      <c r="T188" s="10" t="n">
        <v>0</v>
      </c>
      <c r="U188" s="11" t="n">
        <f aca="false">IF(E188="TRANSPORT",IF(T188="","",T188*5),IF(AL188="","",AL188))</f>
        <v>0</v>
      </c>
      <c r="V188" s="10" t="s">
        <v>54</v>
      </c>
      <c r="W188" s="15" t="s">
        <v>70</v>
      </c>
      <c r="X188" s="15"/>
      <c r="Y188" s="17" t="n">
        <v>46234.2866898148</v>
      </c>
      <c r="Z188" s="18" t="n">
        <f aca="false">IF(I188="",0,IF(ISNUMBER(SEARCH("mp",LOWER(J188))),I188,IF(ISNUMBER(SEARCH("ton",LOWER(J188))),I188/0.33,IF(ISNUMBER(SEARCH("m3",LOWER(J188))),I188*4,I188))))</f>
        <v>82</v>
      </c>
      <c r="AA188" s="18" t="n">
        <f aca="false">IF(I188="",0,IF(ISNUMBER(SEARCH("mp",LOWER(J188))),I188*0.33,IF(ISNUMBER(SEARCH("ton",LOWER(J188))),I188,I188*0.33)))</f>
        <v>27.06</v>
      </c>
      <c r="AB188" s="18" t="n">
        <f aca="false">Tabela_dane[[#This Row],[Wolumen_t]]*8.5</f>
        <v>230.01</v>
      </c>
      <c r="AC188" s="18" t="n">
        <f aca="false">IF(G188&lt;&gt;"TAK",0,IF(OR(E188="ZAKUP",E188="PRODUKCJA"),Z188,IF(OR(E188="SPRZEDAŻ",E188="ZUŻYCIE"),-Z188,0)))</f>
        <v>82</v>
      </c>
      <c r="AD188" s="18" t="n">
        <f aca="false">IF(G188&lt;&gt;"TAK",0,IF(OR(E188="ZAKUP",E188="PRODUKCJA"),AA188,IF(OR(E188="SPRZEDAŻ",E188="ZUŻYCIE"),-AA188,0)))</f>
        <v>27.06</v>
      </c>
      <c r="AE188" s="19" t="n">
        <f aca="false">IF(E188="ZAKUP",IF(L188&lt;&gt;"",L188,IF(K188&lt;&gt;"",Z188*K188,0)),0)</f>
        <v>3690</v>
      </c>
      <c r="AF188" s="19" t="n">
        <f aca="false">IF(E188="SPRZEDAŻ",IF(M188&lt;&gt;"",Z188*M188,0),0)</f>
        <v>0</v>
      </c>
      <c r="AG188" s="19" t="str">
        <f aca="false">IF(R188="","",IF(LOWER(R188)="brak","Brak",IF(OR(ISNUMBER(SEARCH("ric pl",LOWER(R188))),ISNUMBER(SEARCH("wojciechowski",LOWER(R188)))),"Własny","Zewnętrzny")))</f>
        <v/>
      </c>
      <c r="AH188" s="19" t="n">
        <f aca="false">Z188*Q188</f>
        <v>0</v>
      </c>
      <c r="AI188" s="19" t="str">
        <f aca="false">UPPER(TEXT(C188,"mmmm"))</f>
        <v>JULY</v>
      </c>
      <c r="AJ188" s="19" t="str">
        <f aca="false">IF(C188="","",TEXT(C188,"rrrr"))</f>
        <v>CE5786CE5786</v>
      </c>
      <c r="AK188" s="10"/>
      <c r="AL188" s="11" t="n">
        <v>0</v>
      </c>
      <c r="AM188" s="10" t="s">
        <v>402</v>
      </c>
      <c r="AN188" s="10" t="s">
        <v>59</v>
      </c>
      <c r="AO188" s="10"/>
      <c r="AP188" s="10"/>
      <c r="AQ188" s="10"/>
      <c r="AR188" s="10" t="s">
        <v>66</v>
      </c>
      <c r="AS188" s="10"/>
      <c r="AT188" s="15" t="n">
        <v>1</v>
      </c>
    </row>
    <row r="189" customFormat="false" ht="28.5" hidden="false" customHeight="true" outlineLevel="0" collapsed="false">
      <c r="A189" s="12" t="n">
        <v>46231</v>
      </c>
      <c r="B189" s="12"/>
      <c r="C189" s="12" t="n">
        <v>46231</v>
      </c>
      <c r="D189" s="10" t="s">
        <v>54</v>
      </c>
      <c r="E189" s="10" t="s">
        <v>47</v>
      </c>
      <c r="F189" s="13" t="s">
        <v>401</v>
      </c>
      <c r="G189" s="14" t="s">
        <v>49</v>
      </c>
      <c r="H189" s="10" t="s">
        <v>76</v>
      </c>
      <c r="I189" s="15" t="n">
        <v>82</v>
      </c>
      <c r="J189" s="10" t="s">
        <v>51</v>
      </c>
      <c r="K189" s="15" t="n">
        <v>0</v>
      </c>
      <c r="L189" s="11" t="n">
        <v>0</v>
      </c>
      <c r="M189" s="11" t="n">
        <v>0</v>
      </c>
      <c r="N189" s="10" t="s">
        <v>258</v>
      </c>
      <c r="O189" s="10" t="s">
        <v>67</v>
      </c>
      <c r="P189" s="10" t="s">
        <v>53</v>
      </c>
      <c r="Q189" s="16" t="n">
        <v>10</v>
      </c>
      <c r="R189" s="10"/>
      <c r="S189" s="10"/>
      <c r="T189" s="10" t="n">
        <v>0</v>
      </c>
      <c r="U189" s="11" t="n">
        <f aca="false">IF(E189="TRANSPORT",IF(T189="","",T189*5),IF(AL189="","",AL189))</f>
        <v>0</v>
      </c>
      <c r="V189" s="10" t="s">
        <v>54</v>
      </c>
      <c r="W189" s="15" t="s">
        <v>70</v>
      </c>
      <c r="X189" s="15"/>
      <c r="Y189" s="17" t="n">
        <v>46234.2871064815</v>
      </c>
      <c r="Z189" s="18" t="n">
        <f aca="false">IF(I189="",0,IF(ISNUMBER(SEARCH("mp",LOWER(J189))),I189,IF(ISNUMBER(SEARCH("ton",LOWER(J189))),I189/0.33,IF(ISNUMBER(SEARCH("m3",LOWER(J189))),I189*4,I189))))</f>
        <v>82</v>
      </c>
      <c r="AA189" s="18" t="n">
        <f aca="false">IF(I189="",0,IF(ISNUMBER(SEARCH("mp",LOWER(J189))),I189*0.33,IF(ISNUMBER(SEARCH("ton",LOWER(J189))),I189,I189*0.33)))</f>
        <v>27.06</v>
      </c>
      <c r="AB189" s="18" t="n">
        <f aca="false">Tabela_dane[[#This Row],[Wolumen_t]]*8.5</f>
        <v>230.01</v>
      </c>
      <c r="AC189" s="18" t="n">
        <f aca="false">IF(G189&lt;&gt;"TAK",0,IF(OR(E189="ZAKUP",E189="PRODUKCJA"),Z189,IF(OR(E189="SPRZEDAŻ",E189="ZUŻYCIE"),-Z189,0)))</f>
        <v>82</v>
      </c>
      <c r="AD189" s="18" t="n">
        <f aca="false">IF(G189&lt;&gt;"TAK",0,IF(OR(E189="ZAKUP",E189="PRODUKCJA"),AA189,IF(OR(E189="SPRZEDAŻ",E189="ZUŻYCIE"),-AA189,0)))</f>
        <v>27.06</v>
      </c>
      <c r="AE189" s="19" t="n">
        <f aca="false">IF(E189="ZAKUP",IF(L189&lt;&gt;"",L189,IF(K189&lt;&gt;"",Z189*K189,0)),0)</f>
        <v>0</v>
      </c>
      <c r="AF189" s="19" t="n">
        <f aca="false">IF(E189="SPRZEDAŻ",IF(M189&lt;&gt;"",Z189*M189,0),0)</f>
        <v>0</v>
      </c>
      <c r="AG189" s="19" t="str">
        <f aca="false">IF(R189="","",IF(LOWER(R189)="brak","Brak",IF(OR(ISNUMBER(SEARCH("ric pl",LOWER(R189))),ISNUMBER(SEARCH("wojciechowski",LOWER(R189)))),"Własny","Zewnętrzny")))</f>
        <v/>
      </c>
      <c r="AH189" s="19" t="n">
        <f aca="false">Z189*Q189</f>
        <v>820</v>
      </c>
      <c r="AI189" s="19" t="str">
        <f aca="false">UPPER(TEXT(C189,"mmmm"))</f>
        <v>JULY</v>
      </c>
      <c r="AJ189" s="19" t="str">
        <f aca="false">IF(C189="","",TEXT(C189,"rrrr"))</f>
        <v>CE5786CE5786</v>
      </c>
      <c r="AK189" s="10"/>
      <c r="AL189" s="11" t="n">
        <v>0</v>
      </c>
      <c r="AM189" s="10" t="s">
        <v>403</v>
      </c>
      <c r="AN189" s="10" t="s">
        <v>59</v>
      </c>
      <c r="AO189" s="10"/>
      <c r="AP189" s="10"/>
      <c r="AQ189" s="10"/>
      <c r="AR189" s="10" t="s">
        <v>66</v>
      </c>
      <c r="AS189" s="10"/>
      <c r="AT189" s="15" t="n">
        <v>1</v>
      </c>
    </row>
    <row r="190" customFormat="false" ht="28.5" hidden="false" customHeight="true" outlineLevel="0" collapsed="false">
      <c r="A190" s="12" t="n">
        <v>46231</v>
      </c>
      <c r="B190" s="12"/>
      <c r="C190" s="12" t="n">
        <v>46231</v>
      </c>
      <c r="D190" s="10" t="s">
        <v>54</v>
      </c>
      <c r="E190" s="10" t="s">
        <v>79</v>
      </c>
      <c r="F190" s="13" t="s">
        <v>401</v>
      </c>
      <c r="G190" s="14" t="s">
        <v>49</v>
      </c>
      <c r="H190" s="10" t="s">
        <v>76</v>
      </c>
      <c r="I190" s="15" t="n">
        <v>82</v>
      </c>
      <c r="J190" s="10" t="s">
        <v>51</v>
      </c>
      <c r="K190" s="15" t="n">
        <v>0</v>
      </c>
      <c r="L190" s="11" t="n">
        <v>0</v>
      </c>
      <c r="M190" s="11" t="n">
        <v>0</v>
      </c>
      <c r="N190" s="10" t="s">
        <v>258</v>
      </c>
      <c r="O190" s="10" t="s">
        <v>67</v>
      </c>
      <c r="P190" s="10" t="s">
        <v>53</v>
      </c>
      <c r="Q190" s="16" t="n">
        <v>10</v>
      </c>
      <c r="R190" s="10"/>
      <c r="S190" s="10"/>
      <c r="T190" s="10" t="n">
        <v>0</v>
      </c>
      <c r="U190" s="11" t="n">
        <f aca="false">IF(E190="TRANSPORT",IF(T190="","",T190*5),IF(AL190="","",AL190))</f>
        <v>0</v>
      </c>
      <c r="V190" s="10" t="s">
        <v>54</v>
      </c>
      <c r="W190" s="15" t="s">
        <v>260</v>
      </c>
      <c r="X190" s="15"/>
      <c r="Y190" s="17" t="n">
        <v>46234.2871180556</v>
      </c>
      <c r="Z190" s="18" t="n">
        <f aca="false">IF(I190="",0,IF(ISNUMBER(SEARCH("mp",LOWER(J190))),I190,IF(ISNUMBER(SEARCH("ton",LOWER(J190))),I190/0.33,IF(ISNUMBER(SEARCH("m3",LOWER(J190))),I190*4,I190))))</f>
        <v>82</v>
      </c>
      <c r="AA190" s="18" t="n">
        <f aca="false">IF(I190="",0,IF(ISNUMBER(SEARCH("mp",LOWER(J190))),I190*0.33,IF(ISNUMBER(SEARCH("ton",LOWER(J190))),I190,I190*0.33)))</f>
        <v>27.06</v>
      </c>
      <c r="AB190" s="18" t="n">
        <f aca="false">Tabela_dane[[#This Row],[Wolumen_t]]*8.5</f>
        <v>230.01</v>
      </c>
      <c r="AC190" s="18" t="n">
        <f aca="false">IF(G190&lt;&gt;"TAK",0,IF(OR(E190="ZAKUP",E190="PRODUKCJA"),Z190,IF(OR(E190="SPRZEDAŻ",E190="ZUŻYCIE"),-Z190,0)))</f>
        <v>-82</v>
      </c>
      <c r="AD190" s="18" t="n">
        <f aca="false">IF(G190&lt;&gt;"TAK",0,IF(OR(E190="ZAKUP",E190="PRODUKCJA"),AA190,IF(OR(E190="SPRZEDAŻ",E190="ZUŻYCIE"),-AA190,0)))</f>
        <v>-27.06</v>
      </c>
      <c r="AE190" s="19" t="n">
        <f aca="false">IF(E190="ZAKUP",IF(L190&lt;&gt;"",L190,IF(K190&lt;&gt;"",Z190*K190,0)),0)</f>
        <v>0</v>
      </c>
      <c r="AF190" s="19" t="n">
        <f aca="false">IF(E190="SPRZEDAŻ",IF(M190&lt;&gt;"",Z190*M190,0),0)</f>
        <v>0</v>
      </c>
      <c r="AG190" s="19" t="str">
        <f aca="false">IF(R190="","",IF(LOWER(R190)="brak","Brak",IF(OR(ISNUMBER(SEARCH("ric pl",LOWER(R190))),ISNUMBER(SEARCH("wojciechowski",LOWER(R190)))),"Własny","Zewnętrzny")))</f>
        <v/>
      </c>
      <c r="AH190" s="19" t="n">
        <f aca="false">Z190*Q190</f>
        <v>820</v>
      </c>
      <c r="AI190" s="19" t="str">
        <f aca="false">UPPER(TEXT(C190,"mmmm"))</f>
        <v>JULY</v>
      </c>
      <c r="AJ190" s="19" t="str">
        <f aca="false">IF(C190="","",TEXT(C190,"rrrr"))</f>
        <v>CE5786CE5786</v>
      </c>
      <c r="AK190" s="10"/>
      <c r="AL190" s="11" t="n">
        <v>0</v>
      </c>
      <c r="AM190" s="10" t="s">
        <v>403</v>
      </c>
      <c r="AN190" s="10" t="s">
        <v>59</v>
      </c>
      <c r="AO190" s="10"/>
      <c r="AP190" s="10"/>
      <c r="AQ190" s="10"/>
      <c r="AR190" s="10" t="s">
        <v>81</v>
      </c>
      <c r="AS190" s="10"/>
      <c r="AT190" s="15" t="n">
        <v>1</v>
      </c>
    </row>
    <row r="191" customFormat="false" ht="28.5" hidden="false" customHeight="true" outlineLevel="0" collapsed="false">
      <c r="A191" s="12" t="n">
        <v>46231</v>
      </c>
      <c r="B191" s="12" t="s">
        <v>404</v>
      </c>
      <c r="C191" s="12" t="n">
        <v>46231</v>
      </c>
      <c r="D191" s="10" t="s">
        <v>54</v>
      </c>
      <c r="E191" s="10" t="s">
        <v>63</v>
      </c>
      <c r="F191" s="13" t="s">
        <v>401</v>
      </c>
      <c r="G191" s="14" t="s">
        <v>49</v>
      </c>
      <c r="H191" s="10" t="s">
        <v>76</v>
      </c>
      <c r="I191" s="15" t="n">
        <v>82</v>
      </c>
      <c r="J191" s="10" t="s">
        <v>51</v>
      </c>
      <c r="K191" s="15" t="n">
        <v>0</v>
      </c>
      <c r="L191" s="11" t="n">
        <v>0</v>
      </c>
      <c r="M191" s="11" t="n">
        <v>0</v>
      </c>
      <c r="N191" s="10" t="s">
        <v>258</v>
      </c>
      <c r="O191" s="10" t="s">
        <v>67</v>
      </c>
      <c r="P191" s="10"/>
      <c r="Q191" s="16" t="n">
        <v>0</v>
      </c>
      <c r="R191" s="10" t="s">
        <v>68</v>
      </c>
      <c r="S191" s="10" t="s">
        <v>69</v>
      </c>
      <c r="T191" s="10" t="n">
        <v>200</v>
      </c>
      <c r="U191" s="11" t="n">
        <f aca="false">IF(E191="TRANSPORT",IF(T191="","",T191*5),IF(AL191="","",AL191))</f>
        <v>1000</v>
      </c>
      <c r="V191" s="10" t="s">
        <v>54</v>
      </c>
      <c r="W191" s="15" t="s">
        <v>70</v>
      </c>
      <c r="X191" s="15"/>
      <c r="Y191" s="17" t="n">
        <v>46234.2885532407</v>
      </c>
      <c r="Z191" s="18" t="n">
        <f aca="false">IF(I191="",0,IF(ISNUMBER(SEARCH("mp",LOWER(J191))),I191,IF(ISNUMBER(SEARCH("ton",LOWER(J191))),I191/0.33,IF(ISNUMBER(SEARCH("m3",LOWER(J191))),I191*4,I191))))</f>
        <v>82</v>
      </c>
      <c r="AA191" s="18" t="n">
        <f aca="false">IF(I191="",0,IF(ISNUMBER(SEARCH("mp",LOWER(J191))),I191*0.33,IF(ISNUMBER(SEARCH("ton",LOWER(J191))),I191,I191*0.33)))</f>
        <v>27.06</v>
      </c>
      <c r="AB191" s="18" t="n">
        <f aca="false">Tabela_dane[[#This Row],[Wolumen_t]]*8.5</f>
        <v>230.01</v>
      </c>
      <c r="AC191" s="18" t="n">
        <f aca="false">IF(G191&lt;&gt;"TAK",0,IF(OR(E191="ZAKUP",E191="PRODUKCJA"),Z191,IF(OR(E191="SPRZEDAŻ",E191="ZUŻYCIE"),-Z191,0)))</f>
        <v>82</v>
      </c>
      <c r="AD191" s="18" t="n">
        <f aca="false">IF(G191&lt;&gt;"TAK",0,IF(OR(E191="ZAKUP",E191="PRODUKCJA"),AA191,IF(OR(E191="SPRZEDAŻ",E191="ZUŻYCIE"),-AA191,0)))</f>
        <v>27.06</v>
      </c>
      <c r="AE191" s="19" t="n">
        <f aca="false">IF(E191="ZAKUP",IF(L191&lt;&gt;"",L191,IF(K191&lt;&gt;"",Z191*K191,0)),0)</f>
        <v>0</v>
      </c>
      <c r="AF191" s="19" t="n">
        <f aca="false">IF(E191="SPRZEDAŻ",IF(M191&lt;&gt;"",Z191*M191,0),0)</f>
        <v>0</v>
      </c>
      <c r="AG191" s="19" t="str">
        <f aca="false">IF(R191="","",IF(LOWER(R191)="brak","Brak",IF(OR(ISNUMBER(SEARCH("ric pl",LOWER(R191))),ISNUMBER(SEARCH("wojciechowski",LOWER(R191)))),"Własny","Zewnętrzny")))</f>
        <v>Zewnętrzny</v>
      </c>
      <c r="AH191" s="19" t="n">
        <f aca="false">Z191*Q191</f>
        <v>0</v>
      </c>
      <c r="AI191" s="19" t="str">
        <f aca="false">UPPER(TEXT(C191,"mmmm"))</f>
        <v>JULY</v>
      </c>
      <c r="AJ191" s="19" t="str">
        <f aca="false">IF(C191="","",TEXT(C191,"rrrr"))</f>
        <v>CE5786CE5786</v>
      </c>
      <c r="AK191" s="10"/>
      <c r="AL191" s="11" t="n">
        <v>1000</v>
      </c>
      <c r="AM191" s="10" t="s">
        <v>405</v>
      </c>
      <c r="AN191" s="10" t="s">
        <v>49</v>
      </c>
      <c r="AO191" s="10"/>
      <c r="AP191" s="10"/>
      <c r="AQ191" s="10"/>
      <c r="AR191" s="10" t="s">
        <v>66</v>
      </c>
      <c r="AS191" s="10"/>
      <c r="AT191" s="15" t="n">
        <v>1</v>
      </c>
    </row>
    <row r="192" customFormat="false" ht="28.5" hidden="false" customHeight="true" outlineLevel="0" collapsed="false">
      <c r="A192" s="12" t="n">
        <v>46231</v>
      </c>
      <c r="B192" s="12"/>
      <c r="C192" s="12" t="n">
        <v>46231</v>
      </c>
      <c r="D192" s="10" t="s">
        <v>376</v>
      </c>
      <c r="E192" s="10" t="s">
        <v>63</v>
      </c>
      <c r="F192" s="13" t="s">
        <v>406</v>
      </c>
      <c r="G192" s="14" t="s">
        <v>49</v>
      </c>
      <c r="H192" s="10" t="s">
        <v>76</v>
      </c>
      <c r="I192" s="15" t="n">
        <v>84</v>
      </c>
      <c r="J192" s="10" t="s">
        <v>51</v>
      </c>
      <c r="K192" s="15" t="n">
        <v>45</v>
      </c>
      <c r="L192" s="11" t="n">
        <v>3780</v>
      </c>
      <c r="M192" s="11" t="n">
        <v>0</v>
      </c>
      <c r="N192" s="10" t="s">
        <v>255</v>
      </c>
      <c r="O192" s="10" t="s">
        <v>67</v>
      </c>
      <c r="P192" s="10"/>
      <c r="Q192" s="16" t="n">
        <v>0</v>
      </c>
      <c r="R192" s="10"/>
      <c r="S192" s="10"/>
      <c r="T192" s="10" t="n">
        <v>0</v>
      </c>
      <c r="U192" s="11" t="n">
        <f aca="false">IF(E192="TRANSPORT",IF(T192="","",T192*5),IF(AL192="","",AL192))</f>
        <v>0</v>
      </c>
      <c r="V192" s="10" t="s">
        <v>54</v>
      </c>
      <c r="W192" s="15" t="s">
        <v>70</v>
      </c>
      <c r="X192" s="15"/>
      <c r="Y192" s="17" t="n">
        <v>46234.2896412037</v>
      </c>
      <c r="Z192" s="18" t="n">
        <f aca="false">IF(I192="",0,IF(ISNUMBER(SEARCH("mp",LOWER(J192))),I192,IF(ISNUMBER(SEARCH("ton",LOWER(J192))),I192/0.33,IF(ISNUMBER(SEARCH("m3",LOWER(J192))),I192*4,I192))))</f>
        <v>84</v>
      </c>
      <c r="AA192" s="18" t="n">
        <f aca="false">IF(I192="",0,IF(ISNUMBER(SEARCH("mp",LOWER(J192))),I192*0.33,IF(ISNUMBER(SEARCH("ton",LOWER(J192))),I192,I192*0.33)))</f>
        <v>27.72</v>
      </c>
      <c r="AB192" s="18" t="n">
        <f aca="false">Tabela_dane[[#This Row],[Wolumen_t]]*8.5</f>
        <v>235.62</v>
      </c>
      <c r="AC192" s="18" t="n">
        <f aca="false">IF(G192&lt;&gt;"TAK",0,IF(OR(E192="ZAKUP",E192="PRODUKCJA"),Z192,IF(OR(E192="SPRZEDAŻ",E192="ZUŻYCIE"),-Z192,0)))</f>
        <v>84</v>
      </c>
      <c r="AD192" s="18" t="n">
        <f aca="false">IF(G192&lt;&gt;"TAK",0,IF(OR(E192="ZAKUP",E192="PRODUKCJA"),AA192,IF(OR(E192="SPRZEDAŻ",E192="ZUŻYCIE"),-AA192,0)))</f>
        <v>27.72</v>
      </c>
      <c r="AE192" s="19" t="n">
        <f aca="false">IF(E192="ZAKUP",IF(L192&lt;&gt;"",L192,IF(K192&lt;&gt;"",Z192*K192,0)),0)</f>
        <v>3780</v>
      </c>
      <c r="AF192" s="19" t="n">
        <f aca="false">IF(E192="SPRZEDAŻ",IF(M192&lt;&gt;"",Z192*M192,0),0)</f>
        <v>0</v>
      </c>
      <c r="AG192" s="19" t="str">
        <f aca="false">IF(R192="","",IF(LOWER(R192)="brak","Brak",IF(OR(ISNUMBER(SEARCH("ric pl",LOWER(R192))),ISNUMBER(SEARCH("wojciechowski",LOWER(R192)))),"Własny","Zewnętrzny")))</f>
        <v/>
      </c>
      <c r="AH192" s="19" t="n">
        <f aca="false">Z192*Q192</f>
        <v>0</v>
      </c>
      <c r="AI192" s="19" t="str">
        <f aca="false">UPPER(TEXT(C192,"mmmm"))</f>
        <v>JULY</v>
      </c>
      <c r="AJ192" s="19" t="str">
        <f aca="false">IF(C192="","",TEXT(C192,"rrrr"))</f>
        <v>CE5786CE5786</v>
      </c>
      <c r="AK192" s="10"/>
      <c r="AL192" s="11" t="n">
        <v>0</v>
      </c>
      <c r="AM192" s="10" t="s">
        <v>407</v>
      </c>
      <c r="AN192" s="10" t="s">
        <v>59</v>
      </c>
      <c r="AO192" s="10"/>
      <c r="AP192" s="10"/>
      <c r="AQ192" s="10"/>
      <c r="AR192" s="10" t="s">
        <v>66</v>
      </c>
      <c r="AS192" s="10"/>
      <c r="AT192" s="15" t="n">
        <v>1</v>
      </c>
    </row>
    <row r="193" customFormat="false" ht="28.5" hidden="false" customHeight="true" outlineLevel="0" collapsed="false">
      <c r="A193" s="12" t="n">
        <v>46231</v>
      </c>
      <c r="B193" s="12"/>
      <c r="C193" s="12" t="n">
        <v>46231</v>
      </c>
      <c r="D193" s="10" t="s">
        <v>54</v>
      </c>
      <c r="E193" s="10" t="s">
        <v>47</v>
      </c>
      <c r="F193" s="13" t="s">
        <v>406</v>
      </c>
      <c r="G193" s="14" t="s">
        <v>49</v>
      </c>
      <c r="H193" s="10" t="s">
        <v>76</v>
      </c>
      <c r="I193" s="15" t="n">
        <v>84</v>
      </c>
      <c r="J193" s="10" t="s">
        <v>51</v>
      </c>
      <c r="K193" s="15" t="n">
        <v>0</v>
      </c>
      <c r="L193" s="11" t="n">
        <v>0</v>
      </c>
      <c r="M193" s="11" t="n">
        <v>0</v>
      </c>
      <c r="N193" s="10" t="s">
        <v>258</v>
      </c>
      <c r="O193" s="10" t="s">
        <v>67</v>
      </c>
      <c r="P193" s="10" t="s">
        <v>53</v>
      </c>
      <c r="Q193" s="16" t="n">
        <v>10</v>
      </c>
      <c r="R193" s="10"/>
      <c r="S193" s="10"/>
      <c r="T193" s="10" t="n">
        <v>0</v>
      </c>
      <c r="U193" s="11" t="n">
        <f aca="false">IF(E193="TRANSPORT",IF(T193="","",T193*5),IF(AL193="","",AL193))</f>
        <v>0</v>
      </c>
      <c r="V193" s="10" t="s">
        <v>54</v>
      </c>
      <c r="W193" s="15" t="s">
        <v>70</v>
      </c>
      <c r="X193" s="15"/>
      <c r="Y193" s="17" t="n">
        <v>46234.2901736111</v>
      </c>
      <c r="Z193" s="18" t="n">
        <f aca="false">IF(I193="",0,IF(ISNUMBER(SEARCH("mp",LOWER(J193))),I193,IF(ISNUMBER(SEARCH("ton",LOWER(J193))),I193/0.33,IF(ISNUMBER(SEARCH("m3",LOWER(J193))),I193*4,I193))))</f>
        <v>84</v>
      </c>
      <c r="AA193" s="18" t="n">
        <f aca="false">IF(I193="",0,IF(ISNUMBER(SEARCH("mp",LOWER(J193))),I193*0.33,IF(ISNUMBER(SEARCH("ton",LOWER(J193))),I193,I193*0.33)))</f>
        <v>27.72</v>
      </c>
      <c r="AB193" s="18" t="n">
        <f aca="false">Tabela_dane[[#This Row],[Wolumen_t]]*8.5</f>
        <v>235.62</v>
      </c>
      <c r="AC193" s="18" t="n">
        <f aca="false">IF(G193&lt;&gt;"TAK",0,IF(OR(E193="ZAKUP",E193="PRODUKCJA"),Z193,IF(OR(E193="SPRZEDAŻ",E193="ZUŻYCIE"),-Z193,0)))</f>
        <v>84</v>
      </c>
      <c r="AD193" s="18" t="n">
        <f aca="false">IF(G193&lt;&gt;"TAK",0,IF(OR(E193="ZAKUP",E193="PRODUKCJA"),AA193,IF(OR(E193="SPRZEDAŻ",E193="ZUŻYCIE"),-AA193,0)))</f>
        <v>27.72</v>
      </c>
      <c r="AE193" s="19" t="n">
        <f aca="false">IF(E193="ZAKUP",IF(L193&lt;&gt;"",L193,IF(K193&lt;&gt;"",Z193*K193,0)),0)</f>
        <v>0</v>
      </c>
      <c r="AF193" s="19" t="n">
        <f aca="false">IF(E193="SPRZEDAŻ",IF(M193&lt;&gt;"",Z193*M193,0),0)</f>
        <v>0</v>
      </c>
      <c r="AG193" s="19" t="str">
        <f aca="false">IF(R193="","",IF(LOWER(R193)="brak","Brak",IF(OR(ISNUMBER(SEARCH("ric pl",LOWER(R193))),ISNUMBER(SEARCH("wojciechowski",LOWER(R193)))),"Własny","Zewnętrzny")))</f>
        <v/>
      </c>
      <c r="AH193" s="19" t="n">
        <f aca="false">Z193*Q193</f>
        <v>840</v>
      </c>
      <c r="AI193" s="19" t="str">
        <f aca="false">UPPER(TEXT(C193,"mmmm"))</f>
        <v>JULY</v>
      </c>
      <c r="AJ193" s="19" t="str">
        <f aca="false">IF(C193="","",TEXT(C193,"rrrr"))</f>
        <v>CE5786CE5786</v>
      </c>
      <c r="AK193" s="10"/>
      <c r="AL193" s="11" t="n">
        <v>0</v>
      </c>
      <c r="AM193" s="10" t="s">
        <v>408</v>
      </c>
      <c r="AN193" s="10" t="s">
        <v>59</v>
      </c>
      <c r="AO193" s="10"/>
      <c r="AP193" s="10"/>
      <c r="AQ193" s="10"/>
      <c r="AR193" s="10" t="s">
        <v>66</v>
      </c>
      <c r="AS193" s="10"/>
      <c r="AT193" s="15" t="n">
        <v>1</v>
      </c>
    </row>
    <row r="194" customFormat="false" ht="28.5" hidden="false" customHeight="true" outlineLevel="0" collapsed="false">
      <c r="A194" s="12" t="n">
        <v>46231</v>
      </c>
      <c r="B194" s="12"/>
      <c r="C194" s="12" t="n">
        <v>46231</v>
      </c>
      <c r="D194" s="10" t="s">
        <v>54</v>
      </c>
      <c r="E194" s="10" t="s">
        <v>79</v>
      </c>
      <c r="F194" s="13" t="s">
        <v>406</v>
      </c>
      <c r="G194" s="14" t="s">
        <v>49</v>
      </c>
      <c r="H194" s="10" t="s">
        <v>76</v>
      </c>
      <c r="I194" s="15" t="n">
        <v>84</v>
      </c>
      <c r="J194" s="10" t="s">
        <v>51</v>
      </c>
      <c r="K194" s="15" t="n">
        <v>0</v>
      </c>
      <c r="L194" s="11" t="n">
        <v>0</v>
      </c>
      <c r="M194" s="11" t="n">
        <v>0</v>
      </c>
      <c r="N194" s="10" t="s">
        <v>258</v>
      </c>
      <c r="O194" s="10" t="s">
        <v>67</v>
      </c>
      <c r="P194" s="10" t="s">
        <v>53</v>
      </c>
      <c r="Q194" s="16" t="n">
        <v>10</v>
      </c>
      <c r="R194" s="10"/>
      <c r="S194" s="10"/>
      <c r="T194" s="10" t="n">
        <v>0</v>
      </c>
      <c r="U194" s="11" t="n">
        <f aca="false">IF(E194="TRANSPORT",IF(T194="","",T194*5),IF(AL194="","",AL194))</f>
        <v>0</v>
      </c>
      <c r="V194" s="10" t="s">
        <v>54</v>
      </c>
      <c r="W194" s="15" t="s">
        <v>260</v>
      </c>
      <c r="X194" s="15"/>
      <c r="Y194" s="17" t="n">
        <v>46234.2901736111</v>
      </c>
      <c r="Z194" s="18" t="n">
        <f aca="false">IF(I194="",0,IF(ISNUMBER(SEARCH("mp",LOWER(J194))),I194,IF(ISNUMBER(SEARCH("ton",LOWER(J194))),I194/0.33,IF(ISNUMBER(SEARCH("m3",LOWER(J194))),I194*4,I194))))</f>
        <v>84</v>
      </c>
      <c r="AA194" s="18" t="n">
        <f aca="false">IF(I194="",0,IF(ISNUMBER(SEARCH("mp",LOWER(J194))),I194*0.33,IF(ISNUMBER(SEARCH("ton",LOWER(J194))),I194,I194*0.33)))</f>
        <v>27.72</v>
      </c>
      <c r="AB194" s="18" t="n">
        <f aca="false">Tabela_dane[[#This Row],[Wolumen_t]]*8.5</f>
        <v>235.62</v>
      </c>
      <c r="AC194" s="18" t="n">
        <f aca="false">IF(G194&lt;&gt;"TAK",0,IF(OR(E194="ZAKUP",E194="PRODUKCJA"),Z194,IF(OR(E194="SPRZEDAŻ",E194="ZUŻYCIE"),-Z194,0)))</f>
        <v>-84</v>
      </c>
      <c r="AD194" s="18" t="n">
        <f aca="false">IF(G194&lt;&gt;"TAK",0,IF(OR(E194="ZAKUP",E194="PRODUKCJA"),AA194,IF(OR(E194="SPRZEDAŻ",E194="ZUŻYCIE"),-AA194,0)))</f>
        <v>-27.72</v>
      </c>
      <c r="AE194" s="19" t="n">
        <f aca="false">IF(E194="ZAKUP",IF(L194&lt;&gt;"",L194,IF(K194&lt;&gt;"",Z194*K194,0)),0)</f>
        <v>0</v>
      </c>
      <c r="AF194" s="19" t="n">
        <f aca="false">IF(E194="SPRZEDAŻ",IF(M194&lt;&gt;"",Z194*M194,0),0)</f>
        <v>0</v>
      </c>
      <c r="AG194" s="19" t="str">
        <f aca="false">IF(R194="","",IF(LOWER(R194)="brak","Brak",IF(OR(ISNUMBER(SEARCH("ric pl",LOWER(R194))),ISNUMBER(SEARCH("wojciechowski",LOWER(R194)))),"Własny","Zewnętrzny")))</f>
        <v/>
      </c>
      <c r="AH194" s="19" t="n">
        <f aca="false">Z194*Q194</f>
        <v>840</v>
      </c>
      <c r="AI194" s="19" t="str">
        <f aca="false">UPPER(TEXT(C194,"mmmm"))</f>
        <v>JULY</v>
      </c>
      <c r="AJ194" s="19" t="str">
        <f aca="false">IF(C194="","",TEXT(C194,"rrrr"))</f>
        <v>CE5786CE5786</v>
      </c>
      <c r="AK194" s="10"/>
      <c r="AL194" s="11" t="n">
        <v>0</v>
      </c>
      <c r="AM194" s="10" t="s">
        <v>409</v>
      </c>
      <c r="AN194" s="10" t="s">
        <v>59</v>
      </c>
      <c r="AO194" s="10"/>
      <c r="AP194" s="10"/>
      <c r="AQ194" s="10"/>
      <c r="AR194" s="10" t="s">
        <v>66</v>
      </c>
      <c r="AS194" s="10"/>
      <c r="AT194" s="15" t="n">
        <v>1</v>
      </c>
    </row>
    <row r="195" customFormat="false" ht="28.5" hidden="false" customHeight="true" outlineLevel="0" collapsed="false">
      <c r="A195" s="12" t="n">
        <v>46231</v>
      </c>
      <c r="B195" s="12" t="s">
        <v>404</v>
      </c>
      <c r="C195" s="12" t="n">
        <v>46231</v>
      </c>
      <c r="D195" s="10" t="s">
        <v>54</v>
      </c>
      <c r="E195" s="10" t="s">
        <v>63</v>
      </c>
      <c r="F195" s="13" t="s">
        <v>406</v>
      </c>
      <c r="G195" s="14" t="s">
        <v>49</v>
      </c>
      <c r="H195" s="10" t="s">
        <v>76</v>
      </c>
      <c r="I195" s="15" t="n">
        <v>84</v>
      </c>
      <c r="J195" s="10" t="s">
        <v>51</v>
      </c>
      <c r="K195" s="15" t="n">
        <v>0</v>
      </c>
      <c r="L195" s="11" t="n">
        <v>0</v>
      </c>
      <c r="M195" s="11" t="n">
        <v>0</v>
      </c>
      <c r="N195" s="10" t="s">
        <v>258</v>
      </c>
      <c r="O195" s="10" t="s">
        <v>67</v>
      </c>
      <c r="P195" s="10"/>
      <c r="Q195" s="16" t="n">
        <v>0</v>
      </c>
      <c r="R195" s="10" t="s">
        <v>94</v>
      </c>
      <c r="S195" s="10" t="s">
        <v>95</v>
      </c>
      <c r="T195" s="10" t="n">
        <v>200</v>
      </c>
      <c r="U195" s="11" t="n">
        <f aca="false">IF(E195="TRANSPORT",IF(T195="","",T195*5),IF(AL195="","",AL195))</f>
        <v>1000</v>
      </c>
      <c r="V195" s="10" t="s">
        <v>54</v>
      </c>
      <c r="W195" s="15" t="s">
        <v>70</v>
      </c>
      <c r="X195" s="15"/>
      <c r="Y195" s="17" t="n">
        <v>46234.2907175926</v>
      </c>
      <c r="Z195" s="18" t="n">
        <f aca="false">IF(I195="",0,IF(ISNUMBER(SEARCH("mp",LOWER(J195))),I195,IF(ISNUMBER(SEARCH("ton",LOWER(J195))),I195/0.33,IF(ISNUMBER(SEARCH("m3",LOWER(J195))),I195*4,I195))))</f>
        <v>84</v>
      </c>
      <c r="AA195" s="18" t="n">
        <f aca="false">IF(I195="",0,IF(ISNUMBER(SEARCH("mp",LOWER(J195))),I195*0.33,IF(ISNUMBER(SEARCH("ton",LOWER(J195))),I195,I195*0.33)))</f>
        <v>27.72</v>
      </c>
      <c r="AB195" s="18" t="n">
        <f aca="false">Tabela_dane[[#This Row],[Wolumen_t]]*8.5</f>
        <v>235.62</v>
      </c>
      <c r="AC195" s="18" t="n">
        <f aca="false">IF(G195&lt;&gt;"TAK",0,IF(OR(E195="ZAKUP",E195="PRODUKCJA"),Z195,IF(OR(E195="SPRZEDAŻ",E195="ZUŻYCIE"),-Z195,0)))</f>
        <v>84</v>
      </c>
      <c r="AD195" s="18" t="n">
        <f aca="false">IF(G195&lt;&gt;"TAK",0,IF(OR(E195="ZAKUP",E195="PRODUKCJA"),AA195,IF(OR(E195="SPRZEDAŻ",E195="ZUŻYCIE"),-AA195,0)))</f>
        <v>27.72</v>
      </c>
      <c r="AE195" s="19" t="n">
        <f aca="false">IF(E195="ZAKUP",IF(L195&lt;&gt;"",L195,IF(K195&lt;&gt;"",Z195*K195,0)),0)</f>
        <v>0</v>
      </c>
      <c r="AF195" s="19" t="n">
        <f aca="false">IF(E195="SPRZEDAŻ",IF(M195&lt;&gt;"",Z195*M195,0),0)</f>
        <v>0</v>
      </c>
      <c r="AG195" s="19" t="str">
        <f aca="false">IF(R195="","",IF(LOWER(R195)="brak","Brak",IF(OR(ISNUMBER(SEARCH("ric pl",LOWER(R195))),ISNUMBER(SEARCH("wojciechowski",LOWER(R195)))),"Własny","Zewnętrzny")))</f>
        <v>Zewnętrzny</v>
      </c>
      <c r="AH195" s="19" t="n">
        <f aca="false">Z195*Q195</f>
        <v>0</v>
      </c>
      <c r="AI195" s="19" t="str">
        <f aca="false">UPPER(TEXT(C195,"mmmm"))</f>
        <v>JULY</v>
      </c>
      <c r="AJ195" s="19" t="str">
        <f aca="false">IF(C195="","",TEXT(C195,"rrrr"))</f>
        <v>CE5786CE5786</v>
      </c>
      <c r="AK195" s="10"/>
      <c r="AL195" s="11" t="n">
        <v>1000</v>
      </c>
      <c r="AM195" s="10" t="s">
        <v>410</v>
      </c>
      <c r="AN195" s="10" t="s">
        <v>49</v>
      </c>
      <c r="AO195" s="10"/>
      <c r="AP195" s="10"/>
      <c r="AQ195" s="10"/>
      <c r="AR195" s="10" t="s">
        <v>66</v>
      </c>
      <c r="AS195" s="10"/>
      <c r="AT195" s="15" t="n">
        <v>1</v>
      </c>
    </row>
    <row r="196" customFormat="false" ht="28.5" hidden="false" customHeight="true" outlineLevel="0" collapsed="false">
      <c r="A196" s="12" t="n">
        <v>46231</v>
      </c>
      <c r="B196" s="12"/>
      <c r="C196" s="12" t="n">
        <v>46231</v>
      </c>
      <c r="D196" s="10" t="s">
        <v>376</v>
      </c>
      <c r="E196" s="10" t="s">
        <v>63</v>
      </c>
      <c r="F196" s="13" t="s">
        <v>411</v>
      </c>
      <c r="G196" s="14" t="s">
        <v>49</v>
      </c>
      <c r="H196" s="10" t="s">
        <v>76</v>
      </c>
      <c r="I196" s="15" t="n">
        <v>57</v>
      </c>
      <c r="J196" s="10" t="s">
        <v>51</v>
      </c>
      <c r="K196" s="15" t="n">
        <v>20</v>
      </c>
      <c r="L196" s="11" t="n">
        <v>1140</v>
      </c>
      <c r="M196" s="11" t="n">
        <v>0</v>
      </c>
      <c r="N196" s="10" t="s">
        <v>255</v>
      </c>
      <c r="O196" s="10" t="s">
        <v>67</v>
      </c>
      <c r="P196" s="10"/>
      <c r="Q196" s="16" t="n">
        <v>0</v>
      </c>
      <c r="R196" s="10"/>
      <c r="S196" s="10"/>
      <c r="T196" s="10" t="n">
        <v>0</v>
      </c>
      <c r="U196" s="11" t="n">
        <f aca="false">IF(E196="TRANSPORT",IF(T196="","",T196*5),IF(AL196="","",AL196))</f>
        <v>0</v>
      </c>
      <c r="V196" s="10" t="s">
        <v>54</v>
      </c>
      <c r="W196" s="15" t="s">
        <v>65</v>
      </c>
      <c r="X196" s="15"/>
      <c r="Y196" s="17" t="n">
        <v>46234.2928356482</v>
      </c>
      <c r="Z196" s="18" t="n">
        <f aca="false">IF(I196="",0,IF(ISNUMBER(SEARCH("mp",LOWER(J196))),I196,IF(ISNUMBER(SEARCH("ton",LOWER(J196))),I196/0.33,IF(ISNUMBER(SEARCH("m3",LOWER(J196))),I196*4,I196))))</f>
        <v>57</v>
      </c>
      <c r="AA196" s="18" t="n">
        <f aca="false">IF(I196="",0,IF(ISNUMBER(SEARCH("mp",LOWER(J196))),I196*0.33,IF(ISNUMBER(SEARCH("ton",LOWER(J196))),I196,I196*0.33)))</f>
        <v>18.81</v>
      </c>
      <c r="AB196" s="18" t="n">
        <f aca="false">Tabela_dane[[#This Row],[Wolumen_t]]*8.5</f>
        <v>159.885</v>
      </c>
      <c r="AC196" s="18" t="n">
        <f aca="false">IF(G196&lt;&gt;"TAK",0,IF(OR(E196="ZAKUP",E196="PRODUKCJA"),Z196,IF(OR(E196="SPRZEDAŻ",E196="ZUŻYCIE"),-Z196,0)))</f>
        <v>57</v>
      </c>
      <c r="AD196" s="18" t="n">
        <f aca="false">IF(G196&lt;&gt;"TAK",0,IF(OR(E196="ZAKUP",E196="PRODUKCJA"),AA196,IF(OR(E196="SPRZEDAŻ",E196="ZUŻYCIE"),-AA196,0)))</f>
        <v>18.81</v>
      </c>
      <c r="AE196" s="19" t="n">
        <f aca="false">IF(E196="ZAKUP",IF(L196&lt;&gt;"",L196,IF(K196&lt;&gt;"",Z196*K196,0)),0)</f>
        <v>1140</v>
      </c>
      <c r="AF196" s="19" t="n">
        <f aca="false">IF(E196="SPRZEDAŻ",IF(M196&lt;&gt;"",Z196*M196,0),0)</f>
        <v>0</v>
      </c>
      <c r="AG196" s="19" t="str">
        <f aca="false">IF(R196="","",IF(LOWER(R196)="brak","Brak",IF(OR(ISNUMBER(SEARCH("ric pl",LOWER(R196))),ISNUMBER(SEARCH("wojciechowski",LOWER(R196)))),"Własny","Zewnętrzny")))</f>
        <v/>
      </c>
      <c r="AH196" s="19" t="n">
        <f aca="false">Z196*Q196</f>
        <v>0</v>
      </c>
      <c r="AI196" s="19" t="str">
        <f aca="false">UPPER(TEXT(C196,"mmmm"))</f>
        <v>JULY</v>
      </c>
      <c r="AJ196" s="19" t="str">
        <f aca="false">IF(C196="","",TEXT(C196,"rrrr"))</f>
        <v>CE5786CE5786</v>
      </c>
      <c r="AK196" s="10"/>
      <c r="AL196" s="11" t="n">
        <v>0</v>
      </c>
      <c r="AM196" s="10" t="s">
        <v>412</v>
      </c>
      <c r="AN196" s="10" t="s">
        <v>59</v>
      </c>
      <c r="AO196" s="10"/>
      <c r="AP196" s="10"/>
      <c r="AQ196" s="10"/>
      <c r="AR196" s="10" t="s">
        <v>66</v>
      </c>
      <c r="AS196" s="10"/>
      <c r="AT196" s="15" t="n">
        <v>1</v>
      </c>
    </row>
    <row r="197" customFormat="false" ht="28.5" hidden="false" customHeight="true" outlineLevel="0" collapsed="false">
      <c r="A197" s="12" t="n">
        <v>46231</v>
      </c>
      <c r="B197" s="12"/>
      <c r="C197" s="12" t="n">
        <v>46231</v>
      </c>
      <c r="D197" s="10" t="s">
        <v>54</v>
      </c>
      <c r="E197" s="10" t="s">
        <v>47</v>
      </c>
      <c r="F197" s="13" t="s">
        <v>411</v>
      </c>
      <c r="G197" s="14" t="s">
        <v>49</v>
      </c>
      <c r="H197" s="10" t="s">
        <v>76</v>
      </c>
      <c r="I197" s="15" t="n">
        <v>57</v>
      </c>
      <c r="J197" s="10" t="s">
        <v>51</v>
      </c>
      <c r="K197" s="15" t="n">
        <v>0</v>
      </c>
      <c r="L197" s="11" t="n">
        <v>0</v>
      </c>
      <c r="M197" s="11" t="n">
        <v>0</v>
      </c>
      <c r="N197" s="10" t="s">
        <v>258</v>
      </c>
      <c r="O197" s="10" t="s">
        <v>67</v>
      </c>
      <c r="P197" s="10" t="s">
        <v>53</v>
      </c>
      <c r="Q197" s="16" t="n">
        <v>10</v>
      </c>
      <c r="R197" s="10"/>
      <c r="S197" s="10"/>
      <c r="T197" s="10" t="n">
        <v>0</v>
      </c>
      <c r="U197" s="11" t="n">
        <f aca="false">IF(E197="TRANSPORT",IF(T197="","",T197*5),IF(AL197="","",AL197))</f>
        <v>0</v>
      </c>
      <c r="V197" s="10" t="s">
        <v>54</v>
      </c>
      <c r="W197" s="15" t="s">
        <v>65</v>
      </c>
      <c r="X197" s="15"/>
      <c r="Y197" s="17" t="n">
        <v>46234.2933564815</v>
      </c>
      <c r="Z197" s="18" t="n">
        <f aca="false">IF(I197="",0,IF(ISNUMBER(SEARCH("mp",LOWER(J197))),I197,IF(ISNUMBER(SEARCH("ton",LOWER(J197))),I197/0.33,IF(ISNUMBER(SEARCH("m3",LOWER(J197))),I197*4,I197))))</f>
        <v>57</v>
      </c>
      <c r="AA197" s="18" t="n">
        <f aca="false">IF(I197="",0,IF(ISNUMBER(SEARCH("mp",LOWER(J197))),I197*0.33,IF(ISNUMBER(SEARCH("ton",LOWER(J197))),I197,I197*0.33)))</f>
        <v>18.81</v>
      </c>
      <c r="AB197" s="18" t="n">
        <f aca="false">Tabela_dane[[#This Row],[Wolumen_t]]*8.5</f>
        <v>159.885</v>
      </c>
      <c r="AC197" s="18" t="n">
        <f aca="false">IF(G197&lt;&gt;"TAK",0,IF(OR(E197="ZAKUP",E197="PRODUKCJA"),Z197,IF(OR(E197="SPRZEDAŻ",E197="ZUŻYCIE"),-Z197,0)))</f>
        <v>57</v>
      </c>
      <c r="AD197" s="18" t="n">
        <f aca="false">IF(G197&lt;&gt;"TAK",0,IF(OR(E197="ZAKUP",E197="PRODUKCJA"),AA197,IF(OR(E197="SPRZEDAŻ",E197="ZUŻYCIE"),-AA197,0)))</f>
        <v>18.81</v>
      </c>
      <c r="AE197" s="19" t="n">
        <f aca="false">IF(E197="ZAKUP",IF(L197&lt;&gt;"",L197,IF(K197&lt;&gt;"",Z197*K197,0)),0)</f>
        <v>0</v>
      </c>
      <c r="AF197" s="19" t="n">
        <f aca="false">IF(E197="SPRZEDAŻ",IF(M197&lt;&gt;"",Z197*M197,0),0)</f>
        <v>0</v>
      </c>
      <c r="AG197" s="19" t="str">
        <f aca="false">IF(R197="","",IF(LOWER(R197)="brak","Brak",IF(OR(ISNUMBER(SEARCH("ric pl",LOWER(R197))),ISNUMBER(SEARCH("wojciechowski",LOWER(R197)))),"Własny","Zewnętrzny")))</f>
        <v/>
      </c>
      <c r="AH197" s="19" t="n">
        <f aca="false">Z197*Q197</f>
        <v>570</v>
      </c>
      <c r="AI197" s="19" t="str">
        <f aca="false">UPPER(TEXT(C197,"mmmm"))</f>
        <v>JULY</v>
      </c>
      <c r="AJ197" s="19" t="str">
        <f aca="false">IF(C197="","",TEXT(C197,"rrrr"))</f>
        <v>CE5786CE5786</v>
      </c>
      <c r="AK197" s="10"/>
      <c r="AL197" s="11" t="n">
        <v>0</v>
      </c>
      <c r="AM197" s="10" t="s">
        <v>413</v>
      </c>
      <c r="AN197" s="10" t="s">
        <v>59</v>
      </c>
      <c r="AO197" s="10"/>
      <c r="AP197" s="10"/>
      <c r="AQ197" s="10"/>
      <c r="AR197" s="10" t="s">
        <v>66</v>
      </c>
      <c r="AS197" s="10"/>
      <c r="AT197" s="15" t="n">
        <v>1</v>
      </c>
    </row>
    <row r="198" customFormat="false" ht="28.5" hidden="false" customHeight="true" outlineLevel="0" collapsed="false">
      <c r="A198" s="12" t="n">
        <v>46231</v>
      </c>
      <c r="B198" s="12"/>
      <c r="C198" s="12" t="n">
        <v>46231</v>
      </c>
      <c r="D198" s="10" t="s">
        <v>54</v>
      </c>
      <c r="E198" s="10" t="s">
        <v>79</v>
      </c>
      <c r="F198" s="13" t="s">
        <v>411</v>
      </c>
      <c r="G198" s="14" t="s">
        <v>49</v>
      </c>
      <c r="H198" s="10" t="s">
        <v>76</v>
      </c>
      <c r="I198" s="15" t="n">
        <v>57</v>
      </c>
      <c r="J198" s="10" t="s">
        <v>51</v>
      </c>
      <c r="K198" s="15" t="n">
        <v>0</v>
      </c>
      <c r="L198" s="11" t="n">
        <v>0</v>
      </c>
      <c r="M198" s="11" t="n">
        <v>0</v>
      </c>
      <c r="N198" s="10" t="s">
        <v>258</v>
      </c>
      <c r="O198" s="10" t="s">
        <v>67</v>
      </c>
      <c r="P198" s="10" t="s">
        <v>53</v>
      </c>
      <c r="Q198" s="16" t="n">
        <v>10</v>
      </c>
      <c r="R198" s="10"/>
      <c r="S198" s="10"/>
      <c r="T198" s="10" t="n">
        <v>0</v>
      </c>
      <c r="U198" s="11" t="n">
        <f aca="false">IF(E198="TRANSPORT",IF(T198="","",T198*5),IF(AL198="","",AL198))</f>
        <v>0</v>
      </c>
      <c r="V198" s="10" t="s">
        <v>54</v>
      </c>
      <c r="W198" s="15" t="s">
        <v>260</v>
      </c>
      <c r="X198" s="15"/>
      <c r="Y198" s="17" t="n">
        <v>46234.2933564815</v>
      </c>
      <c r="Z198" s="18" t="n">
        <f aca="false">IF(I198="",0,IF(ISNUMBER(SEARCH("mp",LOWER(J198))),I198,IF(ISNUMBER(SEARCH("ton",LOWER(J198))),I198/0.33,IF(ISNUMBER(SEARCH("m3",LOWER(J198))),I198*4,I198))))</f>
        <v>57</v>
      </c>
      <c r="AA198" s="18" t="n">
        <f aca="false">IF(I198="",0,IF(ISNUMBER(SEARCH("mp",LOWER(J198))),I198*0.33,IF(ISNUMBER(SEARCH("ton",LOWER(J198))),I198,I198*0.33)))</f>
        <v>18.81</v>
      </c>
      <c r="AB198" s="18" t="n">
        <f aca="false">Tabela_dane[[#This Row],[Wolumen_t]]*8.5</f>
        <v>159.885</v>
      </c>
      <c r="AC198" s="18" t="n">
        <f aca="false">IF(G198&lt;&gt;"TAK",0,IF(OR(E198="ZAKUP",E198="PRODUKCJA"),Z198,IF(OR(E198="SPRZEDAŻ",E198="ZUŻYCIE"),-Z198,0)))</f>
        <v>-57</v>
      </c>
      <c r="AD198" s="18" t="n">
        <f aca="false">IF(G198&lt;&gt;"TAK",0,IF(OR(E198="ZAKUP",E198="PRODUKCJA"),AA198,IF(OR(E198="SPRZEDAŻ",E198="ZUŻYCIE"),-AA198,0)))</f>
        <v>-18.81</v>
      </c>
      <c r="AE198" s="19" t="n">
        <f aca="false">IF(E198="ZAKUP",IF(L198&lt;&gt;"",L198,IF(K198&lt;&gt;"",Z198*K198,0)),0)</f>
        <v>0</v>
      </c>
      <c r="AF198" s="19" t="n">
        <f aca="false">IF(E198="SPRZEDAŻ",IF(M198&lt;&gt;"",Z198*M198,0),0)</f>
        <v>0</v>
      </c>
      <c r="AG198" s="19" t="str">
        <f aca="false">IF(R198="","",IF(LOWER(R198)="brak","Brak",IF(OR(ISNUMBER(SEARCH("ric pl",LOWER(R198))),ISNUMBER(SEARCH("wojciechowski",LOWER(R198)))),"Własny","Zewnętrzny")))</f>
        <v/>
      </c>
      <c r="AH198" s="19" t="n">
        <f aca="false">Z198*Q198</f>
        <v>570</v>
      </c>
      <c r="AI198" s="19" t="str">
        <f aca="false">UPPER(TEXT(C198,"mmmm"))</f>
        <v>JULY</v>
      </c>
      <c r="AJ198" s="19" t="str">
        <f aca="false">IF(C198="","",TEXT(C198,"rrrr"))</f>
        <v>CE5786CE5786</v>
      </c>
      <c r="AK198" s="10"/>
      <c r="AL198" s="11" t="n">
        <v>0</v>
      </c>
      <c r="AM198" s="10" t="s">
        <v>413</v>
      </c>
      <c r="AN198" s="10" t="s">
        <v>59</v>
      </c>
      <c r="AO198" s="10"/>
      <c r="AP198" s="10"/>
      <c r="AQ198" s="10"/>
      <c r="AR198" s="10" t="s">
        <v>81</v>
      </c>
      <c r="AS198" s="10"/>
      <c r="AT198" s="15" t="n">
        <v>1</v>
      </c>
    </row>
    <row r="199" customFormat="false" ht="28.5" hidden="false" customHeight="true" outlineLevel="0" collapsed="false">
      <c r="A199" s="12" t="n">
        <v>46231</v>
      </c>
      <c r="B199" s="12" t="s">
        <v>414</v>
      </c>
      <c r="C199" s="12" t="n">
        <v>46231</v>
      </c>
      <c r="D199" s="10" t="s">
        <v>54</v>
      </c>
      <c r="E199" s="10" t="s">
        <v>63</v>
      </c>
      <c r="F199" s="13" t="s">
        <v>411</v>
      </c>
      <c r="G199" s="14" t="s">
        <v>49</v>
      </c>
      <c r="H199" s="10" t="s">
        <v>76</v>
      </c>
      <c r="I199" s="15" t="n">
        <v>57</v>
      </c>
      <c r="J199" s="10" t="s">
        <v>51</v>
      </c>
      <c r="K199" s="15" t="n">
        <v>0</v>
      </c>
      <c r="L199" s="11" t="n">
        <v>0</v>
      </c>
      <c r="M199" s="11" t="n">
        <v>0</v>
      </c>
      <c r="N199" s="10" t="s">
        <v>258</v>
      </c>
      <c r="O199" s="10" t="s">
        <v>67</v>
      </c>
      <c r="P199" s="10"/>
      <c r="Q199" s="16" t="n">
        <v>0</v>
      </c>
      <c r="R199" s="10" t="s">
        <v>72</v>
      </c>
      <c r="S199" s="10" t="s">
        <v>73</v>
      </c>
      <c r="T199" s="10" t="n">
        <v>200</v>
      </c>
      <c r="U199" s="11" t="n">
        <f aca="false">IF(E199="TRANSPORT",IF(T199="","",T199*5),IF(AL199="","",AL199))</f>
        <v>1200</v>
      </c>
      <c r="V199" s="10" t="s">
        <v>54</v>
      </c>
      <c r="W199" s="15" t="s">
        <v>65</v>
      </c>
      <c r="X199" s="15"/>
      <c r="Y199" s="17" t="n">
        <v>46234.2943865741</v>
      </c>
      <c r="Z199" s="18" t="n">
        <f aca="false">IF(I199="",0,IF(ISNUMBER(SEARCH("mp",LOWER(J199))),I199,IF(ISNUMBER(SEARCH("ton",LOWER(J199))),I199/0.33,IF(ISNUMBER(SEARCH("m3",LOWER(J199))),I199*4,I199))))</f>
        <v>57</v>
      </c>
      <c r="AA199" s="18" t="n">
        <f aca="false">IF(I199="",0,IF(ISNUMBER(SEARCH("mp",LOWER(J199))),I199*0.33,IF(ISNUMBER(SEARCH("ton",LOWER(J199))),I199,I199*0.33)))</f>
        <v>18.81</v>
      </c>
      <c r="AB199" s="18" t="n">
        <f aca="false">Tabela_dane[[#This Row],[Wolumen_t]]*8.5</f>
        <v>159.885</v>
      </c>
      <c r="AC199" s="18" t="n">
        <f aca="false">IF(G199&lt;&gt;"TAK",0,IF(OR(E199="ZAKUP",E199="PRODUKCJA"),Z199,IF(OR(E199="SPRZEDAŻ",E199="ZUŻYCIE"),-Z199,0)))</f>
        <v>57</v>
      </c>
      <c r="AD199" s="18" t="n">
        <f aca="false">IF(G199&lt;&gt;"TAK",0,IF(OR(E199="ZAKUP",E199="PRODUKCJA"),AA199,IF(OR(E199="SPRZEDAŻ",E199="ZUŻYCIE"),-AA199,0)))</f>
        <v>18.81</v>
      </c>
      <c r="AE199" s="19" t="n">
        <f aca="false">IF(E199="ZAKUP",IF(L199&lt;&gt;"",L199,IF(K199&lt;&gt;"",Z199*K199,0)),0)</f>
        <v>0</v>
      </c>
      <c r="AF199" s="19" t="n">
        <f aca="false">IF(E199="SPRZEDAŻ",IF(M199&lt;&gt;"",Z199*M199,0),0)</f>
        <v>0</v>
      </c>
      <c r="AG199" s="19" t="str">
        <f aca="false">IF(R199="","",IF(LOWER(R199)="brak","Brak",IF(OR(ISNUMBER(SEARCH("ric pl",LOWER(R199))),ISNUMBER(SEARCH("wojciechowski",LOWER(R199)))),"Własny","Zewnętrzny")))</f>
        <v>Zewnętrzny</v>
      </c>
      <c r="AH199" s="19" t="n">
        <f aca="false">Z199*Q199</f>
        <v>0</v>
      </c>
      <c r="AI199" s="19" t="str">
        <f aca="false">UPPER(TEXT(C199,"mmmm"))</f>
        <v>JULY</v>
      </c>
      <c r="AJ199" s="19" t="str">
        <f aca="false">IF(C199="","",TEXT(C199,"rrrr"))</f>
        <v>CE5786CE5786</v>
      </c>
      <c r="AK199" s="10"/>
      <c r="AL199" s="11" t="n">
        <v>1200</v>
      </c>
      <c r="AM199" s="10" t="s">
        <v>415</v>
      </c>
      <c r="AN199" s="10" t="s">
        <v>49</v>
      </c>
      <c r="AO199" s="10"/>
      <c r="AP199" s="10"/>
      <c r="AQ199" s="10"/>
      <c r="AR199" s="10" t="s">
        <v>66</v>
      </c>
      <c r="AS199" s="10"/>
      <c r="AT199" s="15" t="n">
        <v>1</v>
      </c>
    </row>
    <row r="200" customFormat="false" ht="28.5" hidden="false" customHeight="true" outlineLevel="0" collapsed="false">
      <c r="A200" s="12" t="n">
        <v>46231</v>
      </c>
      <c r="B200" s="12"/>
      <c r="C200" s="12" t="n">
        <v>46231</v>
      </c>
      <c r="D200" s="10" t="s">
        <v>376</v>
      </c>
      <c r="E200" s="10" t="s">
        <v>63</v>
      </c>
      <c r="F200" s="13" t="s">
        <v>416</v>
      </c>
      <c r="G200" s="14" t="s">
        <v>49</v>
      </c>
      <c r="H200" s="10" t="s">
        <v>76</v>
      </c>
      <c r="I200" s="15" t="n">
        <v>81</v>
      </c>
      <c r="J200" s="10" t="s">
        <v>51</v>
      </c>
      <c r="K200" s="15" t="n">
        <v>45</v>
      </c>
      <c r="L200" s="11" t="n">
        <v>3645</v>
      </c>
      <c r="M200" s="11" t="n">
        <v>0</v>
      </c>
      <c r="N200" s="10" t="s">
        <v>255</v>
      </c>
      <c r="O200" s="10" t="s">
        <v>67</v>
      </c>
      <c r="P200" s="10"/>
      <c r="Q200" s="16" t="n">
        <v>0</v>
      </c>
      <c r="R200" s="10"/>
      <c r="S200" s="10"/>
      <c r="T200" s="10" t="n">
        <v>0</v>
      </c>
      <c r="U200" s="11" t="n">
        <f aca="false">IF(E200="TRANSPORT",IF(T200="","",T200*5),IF(AL200="","",AL200))</f>
        <v>0</v>
      </c>
      <c r="V200" s="10" t="s">
        <v>54</v>
      </c>
      <c r="W200" s="15" t="s">
        <v>70</v>
      </c>
      <c r="X200" s="15"/>
      <c r="Y200" s="17" t="n">
        <v>46234.2961226852</v>
      </c>
      <c r="Z200" s="18" t="n">
        <f aca="false">IF(I200="",0,IF(ISNUMBER(SEARCH("mp",LOWER(J200))),I200,IF(ISNUMBER(SEARCH("ton",LOWER(J200))),I200/0.33,IF(ISNUMBER(SEARCH("m3",LOWER(J200))),I200*4,I200))))</f>
        <v>81</v>
      </c>
      <c r="AA200" s="18" t="n">
        <f aca="false">IF(I200="",0,IF(ISNUMBER(SEARCH("mp",LOWER(J200))),I200*0.33,IF(ISNUMBER(SEARCH("ton",LOWER(J200))),I200,I200*0.33)))</f>
        <v>26.73</v>
      </c>
      <c r="AB200" s="18" t="n">
        <f aca="false">Tabela_dane[[#This Row],[Wolumen_t]]*8.5</f>
        <v>227.205</v>
      </c>
      <c r="AC200" s="18" t="n">
        <f aca="false">IF(G200&lt;&gt;"TAK",0,IF(OR(E200="ZAKUP",E200="PRODUKCJA"),Z200,IF(OR(E200="SPRZEDAŻ",E200="ZUŻYCIE"),-Z200,0)))</f>
        <v>81</v>
      </c>
      <c r="AD200" s="18" t="n">
        <f aca="false">IF(G200&lt;&gt;"TAK",0,IF(OR(E200="ZAKUP",E200="PRODUKCJA"),AA200,IF(OR(E200="SPRZEDAŻ",E200="ZUŻYCIE"),-AA200,0)))</f>
        <v>26.73</v>
      </c>
      <c r="AE200" s="19" t="n">
        <f aca="false">IF(E200="ZAKUP",IF(L200&lt;&gt;"",L200,IF(K200&lt;&gt;"",Z200*K200,0)),0)</f>
        <v>3645</v>
      </c>
      <c r="AF200" s="19" t="n">
        <f aca="false">IF(E200="SPRZEDAŻ",IF(M200&lt;&gt;"",Z200*M200,0),0)</f>
        <v>0</v>
      </c>
      <c r="AG200" s="19" t="str">
        <f aca="false">IF(R200="","",IF(LOWER(R200)="brak","Brak",IF(OR(ISNUMBER(SEARCH("ric pl",LOWER(R200))),ISNUMBER(SEARCH("wojciechowski",LOWER(R200)))),"Własny","Zewnętrzny")))</f>
        <v/>
      </c>
      <c r="AH200" s="19" t="n">
        <f aca="false">Z200*Q200</f>
        <v>0</v>
      </c>
      <c r="AI200" s="19" t="str">
        <f aca="false">UPPER(TEXT(C200,"mmmm"))</f>
        <v>JULY</v>
      </c>
      <c r="AJ200" s="19" t="str">
        <f aca="false">IF(C200="","",TEXT(C200,"rrrr"))</f>
        <v>CE5786CE5786</v>
      </c>
      <c r="AK200" s="10"/>
      <c r="AL200" s="11" t="n">
        <v>0</v>
      </c>
      <c r="AM200" s="10" t="s">
        <v>417</v>
      </c>
      <c r="AN200" s="10" t="s">
        <v>59</v>
      </c>
      <c r="AO200" s="10"/>
      <c r="AP200" s="10"/>
      <c r="AQ200" s="10"/>
      <c r="AR200" s="10" t="s">
        <v>66</v>
      </c>
      <c r="AS200" s="10"/>
      <c r="AT200" s="15" t="n">
        <v>1</v>
      </c>
    </row>
    <row r="201" customFormat="false" ht="28.5" hidden="false" customHeight="true" outlineLevel="0" collapsed="false">
      <c r="A201" s="12" t="n">
        <v>46231</v>
      </c>
      <c r="B201" s="12"/>
      <c r="C201" s="12" t="n">
        <v>46231</v>
      </c>
      <c r="D201" s="10" t="s">
        <v>54</v>
      </c>
      <c r="E201" s="10" t="s">
        <v>47</v>
      </c>
      <c r="F201" s="13" t="s">
        <v>416</v>
      </c>
      <c r="G201" s="14" t="s">
        <v>49</v>
      </c>
      <c r="H201" s="10" t="s">
        <v>76</v>
      </c>
      <c r="I201" s="15" t="n">
        <v>81</v>
      </c>
      <c r="J201" s="10" t="s">
        <v>51</v>
      </c>
      <c r="K201" s="15" t="n">
        <v>0</v>
      </c>
      <c r="L201" s="11" t="n">
        <v>0</v>
      </c>
      <c r="M201" s="11" t="n">
        <v>0</v>
      </c>
      <c r="N201" s="10" t="s">
        <v>258</v>
      </c>
      <c r="O201" s="10" t="s">
        <v>67</v>
      </c>
      <c r="P201" s="10" t="s">
        <v>53</v>
      </c>
      <c r="Q201" s="16" t="n">
        <v>10</v>
      </c>
      <c r="R201" s="10"/>
      <c r="S201" s="10"/>
      <c r="T201" s="10" t="n">
        <v>0</v>
      </c>
      <c r="U201" s="11" t="n">
        <f aca="false">IF(E201="TRANSPORT",IF(T201="","",T201*5),IF(AL201="","",AL201))</f>
        <v>0</v>
      </c>
      <c r="V201" s="10" t="s">
        <v>54</v>
      </c>
      <c r="W201" s="15" t="s">
        <v>70</v>
      </c>
      <c r="X201" s="15"/>
      <c r="Y201" s="17" t="n">
        <v>46234.2965509259</v>
      </c>
      <c r="Z201" s="18" t="n">
        <f aca="false">IF(I201="",0,IF(ISNUMBER(SEARCH("mp",LOWER(J201))),I201,IF(ISNUMBER(SEARCH("ton",LOWER(J201))),I201/0.33,IF(ISNUMBER(SEARCH("m3",LOWER(J201))),I201*4,I201))))</f>
        <v>81</v>
      </c>
      <c r="AA201" s="18" t="n">
        <f aca="false">IF(I201="",0,IF(ISNUMBER(SEARCH("mp",LOWER(J201))),I201*0.33,IF(ISNUMBER(SEARCH("ton",LOWER(J201))),I201,I201*0.33)))</f>
        <v>26.73</v>
      </c>
      <c r="AB201" s="18" t="n">
        <f aca="false">Tabela_dane[[#This Row],[Wolumen_t]]*8.5</f>
        <v>227.205</v>
      </c>
      <c r="AC201" s="18" t="n">
        <f aca="false">IF(G201&lt;&gt;"TAK",0,IF(OR(E201="ZAKUP",E201="PRODUKCJA"),Z201,IF(OR(E201="SPRZEDAŻ",E201="ZUŻYCIE"),-Z201,0)))</f>
        <v>81</v>
      </c>
      <c r="AD201" s="18" t="n">
        <f aca="false">IF(G201&lt;&gt;"TAK",0,IF(OR(E201="ZAKUP",E201="PRODUKCJA"),AA201,IF(OR(E201="SPRZEDAŻ",E201="ZUŻYCIE"),-AA201,0)))</f>
        <v>26.73</v>
      </c>
      <c r="AE201" s="19" t="n">
        <f aca="false">IF(E201="ZAKUP",IF(L201&lt;&gt;"",L201,IF(K201&lt;&gt;"",Z201*K201,0)),0)</f>
        <v>0</v>
      </c>
      <c r="AF201" s="19" t="n">
        <f aca="false">IF(E201="SPRZEDAŻ",IF(M201&lt;&gt;"",Z201*M201,0),0)</f>
        <v>0</v>
      </c>
      <c r="AG201" s="19" t="str">
        <f aca="false">IF(R201="","",IF(LOWER(R201)="brak","Brak",IF(OR(ISNUMBER(SEARCH("ric pl",LOWER(R201))),ISNUMBER(SEARCH("wojciechowski",LOWER(R201)))),"Własny","Zewnętrzny")))</f>
        <v/>
      </c>
      <c r="AH201" s="19" t="n">
        <f aca="false">Z201*Q201</f>
        <v>810</v>
      </c>
      <c r="AI201" s="19" t="str">
        <f aca="false">UPPER(TEXT(C201,"mmmm"))</f>
        <v>JULY</v>
      </c>
      <c r="AJ201" s="19" t="str">
        <f aca="false">IF(C201="","",TEXT(C201,"rrrr"))</f>
        <v>CE5786CE5786</v>
      </c>
      <c r="AK201" s="10"/>
      <c r="AL201" s="11" t="n">
        <v>0</v>
      </c>
      <c r="AM201" s="10" t="s">
        <v>418</v>
      </c>
      <c r="AN201" s="10" t="s">
        <v>59</v>
      </c>
      <c r="AO201" s="10"/>
      <c r="AP201" s="10"/>
      <c r="AQ201" s="10"/>
      <c r="AR201" s="10" t="s">
        <v>66</v>
      </c>
      <c r="AS201" s="10"/>
      <c r="AT201" s="15" t="n">
        <v>1</v>
      </c>
    </row>
    <row r="202" customFormat="false" ht="28.5" hidden="false" customHeight="true" outlineLevel="0" collapsed="false">
      <c r="A202" s="12" t="n">
        <v>46231</v>
      </c>
      <c r="B202" s="12"/>
      <c r="C202" s="12" t="n">
        <v>46231</v>
      </c>
      <c r="D202" s="10" t="s">
        <v>54</v>
      </c>
      <c r="E202" s="10" t="s">
        <v>79</v>
      </c>
      <c r="F202" s="13" t="s">
        <v>416</v>
      </c>
      <c r="G202" s="14" t="s">
        <v>49</v>
      </c>
      <c r="H202" s="10" t="s">
        <v>76</v>
      </c>
      <c r="I202" s="15" t="n">
        <v>81</v>
      </c>
      <c r="J202" s="10" t="s">
        <v>51</v>
      </c>
      <c r="K202" s="15" t="n">
        <v>0</v>
      </c>
      <c r="L202" s="11" t="n">
        <v>0</v>
      </c>
      <c r="M202" s="11" t="n">
        <v>0</v>
      </c>
      <c r="N202" s="10" t="s">
        <v>258</v>
      </c>
      <c r="O202" s="10" t="s">
        <v>67</v>
      </c>
      <c r="P202" s="10" t="s">
        <v>53</v>
      </c>
      <c r="Q202" s="16" t="n">
        <v>10</v>
      </c>
      <c r="R202" s="10"/>
      <c r="S202" s="10"/>
      <c r="T202" s="10" t="n">
        <v>0</v>
      </c>
      <c r="U202" s="11" t="n">
        <f aca="false">IF(E202="TRANSPORT",IF(T202="","",T202*5),IF(AL202="","",AL202))</f>
        <v>0</v>
      </c>
      <c r="V202" s="10" t="s">
        <v>54</v>
      </c>
      <c r="W202" s="15" t="s">
        <v>260</v>
      </c>
      <c r="X202" s="15"/>
      <c r="Y202" s="17" t="n">
        <v>46234.2965509259</v>
      </c>
      <c r="Z202" s="18" t="n">
        <f aca="false">IF(I202="",0,IF(ISNUMBER(SEARCH("mp",LOWER(J202))),I202,IF(ISNUMBER(SEARCH("ton",LOWER(J202))),I202/0.33,IF(ISNUMBER(SEARCH("m3",LOWER(J202))),I202*4,I202))))</f>
        <v>81</v>
      </c>
      <c r="AA202" s="18" t="n">
        <f aca="false">IF(I202="",0,IF(ISNUMBER(SEARCH("mp",LOWER(J202))),I202*0.33,IF(ISNUMBER(SEARCH("ton",LOWER(J202))),I202,I202*0.33)))</f>
        <v>26.73</v>
      </c>
      <c r="AB202" s="18" t="n">
        <f aca="false">Tabela_dane[[#This Row],[Wolumen_t]]*8.5</f>
        <v>227.205</v>
      </c>
      <c r="AC202" s="18" t="n">
        <f aca="false">IF(G202&lt;&gt;"TAK",0,IF(OR(E202="ZAKUP",E202="PRODUKCJA"),Z202,IF(OR(E202="SPRZEDAŻ",E202="ZUŻYCIE"),-Z202,0)))</f>
        <v>-81</v>
      </c>
      <c r="AD202" s="18" t="n">
        <f aca="false">IF(G202&lt;&gt;"TAK",0,IF(OR(E202="ZAKUP",E202="PRODUKCJA"),AA202,IF(OR(E202="SPRZEDAŻ",E202="ZUŻYCIE"),-AA202,0)))</f>
        <v>-26.73</v>
      </c>
      <c r="AE202" s="19" t="n">
        <f aca="false">IF(E202="ZAKUP",IF(L202&lt;&gt;"",L202,IF(K202&lt;&gt;"",Z202*K202,0)),0)</f>
        <v>0</v>
      </c>
      <c r="AF202" s="19" t="n">
        <f aca="false">IF(E202="SPRZEDAŻ",IF(M202&lt;&gt;"",Z202*M202,0),0)</f>
        <v>0</v>
      </c>
      <c r="AG202" s="19" t="str">
        <f aca="false">IF(R202="","",IF(LOWER(R202)="brak","Brak",IF(OR(ISNUMBER(SEARCH("ric pl",LOWER(R202))),ISNUMBER(SEARCH("wojciechowski",LOWER(R202)))),"Własny","Zewnętrzny")))</f>
        <v/>
      </c>
      <c r="AH202" s="19" t="n">
        <f aca="false">Z202*Q202</f>
        <v>810</v>
      </c>
      <c r="AI202" s="19" t="str">
        <f aca="false">UPPER(TEXT(C202,"mmmm"))</f>
        <v>JULY</v>
      </c>
      <c r="AJ202" s="19" t="str">
        <f aca="false">IF(C202="","",TEXT(C202,"rrrr"))</f>
        <v>CE5786CE5786</v>
      </c>
      <c r="AK202" s="10"/>
      <c r="AL202" s="11" t="n">
        <v>0</v>
      </c>
      <c r="AM202" s="10" t="s">
        <v>419</v>
      </c>
      <c r="AN202" s="10" t="s">
        <v>59</v>
      </c>
      <c r="AO202" s="10"/>
      <c r="AP202" s="10"/>
      <c r="AQ202" s="10"/>
      <c r="AR202" s="10" t="s">
        <v>66</v>
      </c>
      <c r="AS202" s="10"/>
      <c r="AT202" s="15" t="n">
        <v>1</v>
      </c>
    </row>
    <row r="203" customFormat="false" ht="28.5" hidden="false" customHeight="true" outlineLevel="0" collapsed="false">
      <c r="A203" s="12" t="n">
        <v>46231</v>
      </c>
      <c r="B203" s="12" t="s">
        <v>404</v>
      </c>
      <c r="C203" s="12" t="n">
        <v>46231</v>
      </c>
      <c r="D203" s="10" t="s">
        <v>54</v>
      </c>
      <c r="E203" s="10" t="s">
        <v>63</v>
      </c>
      <c r="F203" s="13" t="s">
        <v>416</v>
      </c>
      <c r="G203" s="14" t="s">
        <v>49</v>
      </c>
      <c r="H203" s="10" t="s">
        <v>76</v>
      </c>
      <c r="I203" s="15" t="n">
        <v>81</v>
      </c>
      <c r="J203" s="10" t="s">
        <v>51</v>
      </c>
      <c r="K203" s="15" t="n">
        <v>0</v>
      </c>
      <c r="L203" s="11" t="n">
        <v>0</v>
      </c>
      <c r="M203" s="11" t="n">
        <v>0</v>
      </c>
      <c r="N203" s="10" t="s">
        <v>258</v>
      </c>
      <c r="O203" s="10" t="s">
        <v>67</v>
      </c>
      <c r="P203" s="10"/>
      <c r="Q203" s="16" t="n">
        <v>0</v>
      </c>
      <c r="R203" s="10" t="s">
        <v>68</v>
      </c>
      <c r="S203" s="10" t="s">
        <v>69</v>
      </c>
      <c r="T203" s="10" t="n">
        <v>200</v>
      </c>
      <c r="U203" s="11" t="n">
        <f aca="false">IF(E203="TRANSPORT",IF(T203="","",T203*5),IF(AL203="","",AL203))</f>
        <v>1000</v>
      </c>
      <c r="V203" s="10" t="s">
        <v>54</v>
      </c>
      <c r="W203" s="15" t="s">
        <v>70</v>
      </c>
      <c r="X203" s="15"/>
      <c r="Y203" s="17" t="n">
        <v>46234.2971064815</v>
      </c>
      <c r="Z203" s="18" t="n">
        <f aca="false">IF(I203="",0,IF(ISNUMBER(SEARCH("mp",LOWER(J203))),I203,IF(ISNUMBER(SEARCH("ton",LOWER(J203))),I203/0.33,IF(ISNUMBER(SEARCH("m3",LOWER(J203))),I203*4,I203))))</f>
        <v>81</v>
      </c>
      <c r="AA203" s="18" t="n">
        <f aca="false">IF(I203="",0,IF(ISNUMBER(SEARCH("mp",LOWER(J203))),I203*0.33,IF(ISNUMBER(SEARCH("ton",LOWER(J203))),I203,I203*0.33)))</f>
        <v>26.73</v>
      </c>
      <c r="AB203" s="18" t="n">
        <f aca="false">Tabela_dane[[#This Row],[Wolumen_t]]*8.5</f>
        <v>227.205</v>
      </c>
      <c r="AC203" s="18" t="n">
        <f aca="false">IF(G203&lt;&gt;"TAK",0,IF(OR(E203="ZAKUP",E203="PRODUKCJA"),Z203,IF(OR(E203="SPRZEDAŻ",E203="ZUŻYCIE"),-Z203,0)))</f>
        <v>81</v>
      </c>
      <c r="AD203" s="18" t="n">
        <f aca="false">IF(G203&lt;&gt;"TAK",0,IF(OR(E203="ZAKUP",E203="PRODUKCJA"),AA203,IF(OR(E203="SPRZEDAŻ",E203="ZUŻYCIE"),-AA203,0)))</f>
        <v>26.73</v>
      </c>
      <c r="AE203" s="19" t="n">
        <f aca="false">IF(E203="ZAKUP",IF(L203&lt;&gt;"",L203,IF(K203&lt;&gt;"",Z203*K203,0)),0)</f>
        <v>0</v>
      </c>
      <c r="AF203" s="19" t="n">
        <f aca="false">IF(E203="SPRZEDAŻ",IF(M203&lt;&gt;"",Z203*M203,0),0)</f>
        <v>0</v>
      </c>
      <c r="AG203" s="19" t="str">
        <f aca="false">IF(R203="","",IF(LOWER(R203)="brak","Brak",IF(OR(ISNUMBER(SEARCH("ric pl",LOWER(R203))),ISNUMBER(SEARCH("wojciechowski",LOWER(R203)))),"Własny","Zewnętrzny")))</f>
        <v>Zewnętrzny</v>
      </c>
      <c r="AH203" s="19" t="n">
        <f aca="false">Z203*Q203</f>
        <v>0</v>
      </c>
      <c r="AI203" s="19" t="str">
        <f aca="false">UPPER(TEXT(C203,"mmmm"))</f>
        <v>JULY</v>
      </c>
      <c r="AJ203" s="19" t="str">
        <f aca="false">IF(C203="","",TEXT(C203,"rrrr"))</f>
        <v>CE5786CE5786</v>
      </c>
      <c r="AK203" s="10"/>
      <c r="AL203" s="11" t="n">
        <v>1000</v>
      </c>
      <c r="AM203" s="10" t="s">
        <v>420</v>
      </c>
      <c r="AN203" s="10" t="s">
        <v>49</v>
      </c>
      <c r="AO203" s="10"/>
      <c r="AP203" s="10"/>
      <c r="AQ203" s="10"/>
      <c r="AR203" s="10" t="s">
        <v>66</v>
      </c>
      <c r="AS203" s="10"/>
      <c r="AT203" s="15" t="n">
        <v>1</v>
      </c>
    </row>
    <row r="204" customFormat="false" ht="28.5" hidden="false" customHeight="true" outlineLevel="0" collapsed="false">
      <c r="A204" s="12" t="n">
        <v>46231</v>
      </c>
      <c r="B204" s="12"/>
      <c r="C204" s="12" t="n">
        <v>46231</v>
      </c>
      <c r="D204" s="10" t="s">
        <v>376</v>
      </c>
      <c r="E204" s="10" t="s">
        <v>63</v>
      </c>
      <c r="F204" s="13" t="s">
        <v>421</v>
      </c>
      <c r="G204" s="14" t="s">
        <v>49</v>
      </c>
      <c r="H204" s="10" t="s">
        <v>76</v>
      </c>
      <c r="I204" s="15" t="n">
        <v>82</v>
      </c>
      <c r="J204" s="10" t="s">
        <v>51</v>
      </c>
      <c r="K204" s="15" t="n">
        <v>45</v>
      </c>
      <c r="L204" s="11" t="n">
        <v>3690</v>
      </c>
      <c r="M204" s="11" t="n">
        <v>0</v>
      </c>
      <c r="N204" s="10" t="s">
        <v>255</v>
      </c>
      <c r="O204" s="10" t="s">
        <v>67</v>
      </c>
      <c r="P204" s="10"/>
      <c r="Q204" s="16" t="n">
        <v>0</v>
      </c>
      <c r="R204" s="10"/>
      <c r="S204" s="10"/>
      <c r="T204" s="10" t="n">
        <v>0</v>
      </c>
      <c r="U204" s="11" t="n">
        <f aca="false">IF(E204="TRANSPORT",IF(T204="","",T204*5),IF(AL204="","",AL204))</f>
        <v>0</v>
      </c>
      <c r="V204" s="10" t="s">
        <v>54</v>
      </c>
      <c r="W204" s="15" t="s">
        <v>65</v>
      </c>
      <c r="X204" s="15"/>
      <c r="Y204" s="17" t="n">
        <v>46234.2977893519</v>
      </c>
      <c r="Z204" s="18" t="n">
        <f aca="false">IF(I204="",0,IF(ISNUMBER(SEARCH("mp",LOWER(J204))),I204,IF(ISNUMBER(SEARCH("ton",LOWER(J204))),I204/0.33,IF(ISNUMBER(SEARCH("m3",LOWER(J204))),I204*4,I204))))</f>
        <v>82</v>
      </c>
      <c r="AA204" s="18" t="n">
        <f aca="false">IF(I204="",0,IF(ISNUMBER(SEARCH("mp",LOWER(J204))),I204*0.33,IF(ISNUMBER(SEARCH("ton",LOWER(J204))),I204,I204*0.33)))</f>
        <v>27.06</v>
      </c>
      <c r="AB204" s="18" t="n">
        <f aca="false">Tabela_dane[[#This Row],[Wolumen_t]]*8.5</f>
        <v>230.01</v>
      </c>
      <c r="AC204" s="18" t="n">
        <f aca="false">IF(G204&lt;&gt;"TAK",0,IF(OR(E204="ZAKUP",E204="PRODUKCJA"),Z204,IF(OR(E204="SPRZEDAŻ",E204="ZUŻYCIE"),-Z204,0)))</f>
        <v>82</v>
      </c>
      <c r="AD204" s="18" t="n">
        <f aca="false">IF(G204&lt;&gt;"TAK",0,IF(OR(E204="ZAKUP",E204="PRODUKCJA"),AA204,IF(OR(E204="SPRZEDAŻ",E204="ZUŻYCIE"),-AA204,0)))</f>
        <v>27.06</v>
      </c>
      <c r="AE204" s="19" t="n">
        <f aca="false">IF(E204="ZAKUP",IF(L204&lt;&gt;"",L204,IF(K204&lt;&gt;"",Z204*K204,0)),0)</f>
        <v>3690</v>
      </c>
      <c r="AF204" s="19" t="n">
        <f aca="false">IF(E204="SPRZEDAŻ",IF(M204&lt;&gt;"",Z204*M204,0),0)</f>
        <v>0</v>
      </c>
      <c r="AG204" s="19" t="str">
        <f aca="false">IF(R204="","",IF(LOWER(R204)="brak","Brak",IF(OR(ISNUMBER(SEARCH("ric pl",LOWER(R204))),ISNUMBER(SEARCH("wojciechowski",LOWER(R204)))),"Własny","Zewnętrzny")))</f>
        <v/>
      </c>
      <c r="AH204" s="19" t="n">
        <f aca="false">Z204*Q204</f>
        <v>0</v>
      </c>
      <c r="AI204" s="19" t="str">
        <f aca="false">UPPER(TEXT(C204,"mmmm"))</f>
        <v>JULY</v>
      </c>
      <c r="AJ204" s="19" t="str">
        <f aca="false">IF(C204="","",TEXT(C204,"rrrr"))</f>
        <v>CE5786CE5786</v>
      </c>
      <c r="AK204" s="10"/>
      <c r="AL204" s="11" t="n">
        <v>0</v>
      </c>
      <c r="AM204" s="10" t="s">
        <v>422</v>
      </c>
      <c r="AN204" s="10" t="s">
        <v>59</v>
      </c>
      <c r="AO204" s="10"/>
      <c r="AP204" s="10"/>
      <c r="AQ204" s="10"/>
      <c r="AR204" s="10" t="s">
        <v>66</v>
      </c>
      <c r="AS204" s="10"/>
      <c r="AT204" s="15" t="n">
        <v>1</v>
      </c>
    </row>
    <row r="205" customFormat="false" ht="28.5" hidden="false" customHeight="true" outlineLevel="0" collapsed="false">
      <c r="A205" s="12" t="n">
        <v>46231</v>
      </c>
      <c r="B205" s="12"/>
      <c r="C205" s="12" t="n">
        <v>46231</v>
      </c>
      <c r="D205" s="10" t="s">
        <v>54</v>
      </c>
      <c r="E205" s="10" t="s">
        <v>47</v>
      </c>
      <c r="F205" s="13" t="s">
        <v>421</v>
      </c>
      <c r="G205" s="14" t="s">
        <v>49</v>
      </c>
      <c r="H205" s="10" t="s">
        <v>76</v>
      </c>
      <c r="I205" s="15" t="n">
        <v>82</v>
      </c>
      <c r="J205" s="10" t="s">
        <v>51</v>
      </c>
      <c r="K205" s="15" t="n">
        <v>0</v>
      </c>
      <c r="L205" s="11" t="n">
        <v>0</v>
      </c>
      <c r="M205" s="11" t="n">
        <v>0</v>
      </c>
      <c r="N205" s="10" t="s">
        <v>258</v>
      </c>
      <c r="O205" s="10" t="s">
        <v>67</v>
      </c>
      <c r="P205" s="10" t="s">
        <v>53</v>
      </c>
      <c r="Q205" s="16" t="n">
        <v>10</v>
      </c>
      <c r="R205" s="10"/>
      <c r="S205" s="10"/>
      <c r="T205" s="10" t="n">
        <v>0</v>
      </c>
      <c r="U205" s="11" t="n">
        <f aca="false">IF(E205="TRANSPORT",IF(T205="","",T205*5),IF(AL205="","",AL205))</f>
        <v>0</v>
      </c>
      <c r="V205" s="10" t="s">
        <v>54</v>
      </c>
      <c r="W205" s="15" t="s">
        <v>70</v>
      </c>
      <c r="X205" s="15"/>
      <c r="Y205" s="17" t="n">
        <v>46234.2984259259</v>
      </c>
      <c r="Z205" s="18" t="n">
        <f aca="false">IF(I205="",0,IF(ISNUMBER(SEARCH("mp",LOWER(J205))),I205,IF(ISNUMBER(SEARCH("ton",LOWER(J205))),I205/0.33,IF(ISNUMBER(SEARCH("m3",LOWER(J205))),I205*4,I205))))</f>
        <v>82</v>
      </c>
      <c r="AA205" s="18" t="n">
        <f aca="false">IF(I205="",0,IF(ISNUMBER(SEARCH("mp",LOWER(J205))),I205*0.33,IF(ISNUMBER(SEARCH("ton",LOWER(J205))),I205,I205*0.33)))</f>
        <v>27.06</v>
      </c>
      <c r="AB205" s="18" t="n">
        <f aca="false">Tabela_dane[[#This Row],[Wolumen_t]]*8.5</f>
        <v>230.01</v>
      </c>
      <c r="AC205" s="18" t="n">
        <f aca="false">IF(G205&lt;&gt;"TAK",0,IF(OR(E205="ZAKUP",E205="PRODUKCJA"),Z205,IF(OR(E205="SPRZEDAŻ",E205="ZUŻYCIE"),-Z205,0)))</f>
        <v>82</v>
      </c>
      <c r="AD205" s="18" t="n">
        <f aca="false">IF(G205&lt;&gt;"TAK",0,IF(OR(E205="ZAKUP",E205="PRODUKCJA"),AA205,IF(OR(E205="SPRZEDAŻ",E205="ZUŻYCIE"),-AA205,0)))</f>
        <v>27.06</v>
      </c>
      <c r="AE205" s="19" t="n">
        <f aca="false">IF(E205="ZAKUP",IF(L205&lt;&gt;"",L205,IF(K205&lt;&gt;"",Z205*K205,0)),0)</f>
        <v>0</v>
      </c>
      <c r="AF205" s="19" t="n">
        <f aca="false">IF(E205="SPRZEDAŻ",IF(M205&lt;&gt;"",Z205*M205,0),0)</f>
        <v>0</v>
      </c>
      <c r="AG205" s="19" t="str">
        <f aca="false">IF(R205="","",IF(LOWER(R205)="brak","Brak",IF(OR(ISNUMBER(SEARCH("ric pl",LOWER(R205))),ISNUMBER(SEARCH("wojciechowski",LOWER(R205)))),"Własny","Zewnętrzny")))</f>
        <v/>
      </c>
      <c r="AH205" s="19" t="n">
        <f aca="false">Z205*Q205</f>
        <v>820</v>
      </c>
      <c r="AI205" s="19" t="str">
        <f aca="false">UPPER(TEXT(C205,"mmmm"))</f>
        <v>JULY</v>
      </c>
      <c r="AJ205" s="19" t="str">
        <f aca="false">IF(C205="","",TEXT(C205,"rrrr"))</f>
        <v>CE5786CE5786</v>
      </c>
      <c r="AK205" s="10"/>
      <c r="AL205" s="11" t="n">
        <v>0</v>
      </c>
      <c r="AM205" s="10" t="s">
        <v>423</v>
      </c>
      <c r="AN205" s="10" t="s">
        <v>59</v>
      </c>
      <c r="AO205" s="10"/>
      <c r="AP205" s="10"/>
      <c r="AQ205" s="10"/>
      <c r="AR205" s="10" t="s">
        <v>66</v>
      </c>
      <c r="AS205" s="10"/>
      <c r="AT205" s="15" t="n">
        <v>1</v>
      </c>
    </row>
    <row r="206" customFormat="false" ht="28.5" hidden="false" customHeight="true" outlineLevel="0" collapsed="false">
      <c r="A206" s="12" t="n">
        <v>46231</v>
      </c>
      <c r="B206" s="12"/>
      <c r="C206" s="12" t="n">
        <v>46231</v>
      </c>
      <c r="D206" s="10" t="s">
        <v>54</v>
      </c>
      <c r="E206" s="10" t="s">
        <v>79</v>
      </c>
      <c r="F206" s="13" t="s">
        <v>421</v>
      </c>
      <c r="G206" s="14" t="s">
        <v>49</v>
      </c>
      <c r="H206" s="10" t="s">
        <v>76</v>
      </c>
      <c r="I206" s="15" t="n">
        <v>82</v>
      </c>
      <c r="J206" s="10" t="s">
        <v>51</v>
      </c>
      <c r="K206" s="15" t="n">
        <v>0</v>
      </c>
      <c r="L206" s="11" t="n">
        <v>0</v>
      </c>
      <c r="M206" s="11" t="n">
        <v>0</v>
      </c>
      <c r="N206" s="10" t="s">
        <v>258</v>
      </c>
      <c r="O206" s="10" t="s">
        <v>67</v>
      </c>
      <c r="P206" s="10" t="s">
        <v>53</v>
      </c>
      <c r="Q206" s="16" t="n">
        <v>10</v>
      </c>
      <c r="R206" s="10"/>
      <c r="S206" s="10"/>
      <c r="T206" s="10" t="n">
        <v>0</v>
      </c>
      <c r="U206" s="11" t="n">
        <f aca="false">IF(E206="TRANSPORT",IF(T206="","",T206*5),IF(AL206="","",AL206))</f>
        <v>0</v>
      </c>
      <c r="V206" s="10" t="s">
        <v>54</v>
      </c>
      <c r="W206" s="15" t="s">
        <v>260</v>
      </c>
      <c r="X206" s="15"/>
      <c r="Y206" s="17" t="n">
        <v>46234.2984375</v>
      </c>
      <c r="Z206" s="18" t="n">
        <f aca="false">IF(I206="",0,IF(ISNUMBER(SEARCH("mp",LOWER(J206))),I206,IF(ISNUMBER(SEARCH("ton",LOWER(J206))),I206/0.33,IF(ISNUMBER(SEARCH("m3",LOWER(J206))),I206*4,I206))))</f>
        <v>82</v>
      </c>
      <c r="AA206" s="18" t="n">
        <f aca="false">IF(I206="",0,IF(ISNUMBER(SEARCH("mp",LOWER(J206))),I206*0.33,IF(ISNUMBER(SEARCH("ton",LOWER(J206))),I206,I206*0.33)))</f>
        <v>27.06</v>
      </c>
      <c r="AB206" s="18" t="n">
        <f aca="false">Tabela_dane[[#This Row],[Wolumen_t]]*8.5</f>
        <v>230.01</v>
      </c>
      <c r="AC206" s="18" t="n">
        <f aca="false">IF(G206&lt;&gt;"TAK",0,IF(OR(E206="ZAKUP",E206="PRODUKCJA"),Z206,IF(OR(E206="SPRZEDAŻ",E206="ZUŻYCIE"),-Z206,0)))</f>
        <v>-82</v>
      </c>
      <c r="AD206" s="18" t="n">
        <f aca="false">IF(G206&lt;&gt;"TAK",0,IF(OR(E206="ZAKUP",E206="PRODUKCJA"),AA206,IF(OR(E206="SPRZEDAŻ",E206="ZUŻYCIE"),-AA206,0)))</f>
        <v>-27.06</v>
      </c>
      <c r="AE206" s="19" t="n">
        <f aca="false">IF(E206="ZAKUP",IF(L206&lt;&gt;"",L206,IF(K206&lt;&gt;"",Z206*K206,0)),0)</f>
        <v>0</v>
      </c>
      <c r="AF206" s="19" t="n">
        <f aca="false">IF(E206="SPRZEDAŻ",IF(M206&lt;&gt;"",Z206*M206,0),0)</f>
        <v>0</v>
      </c>
      <c r="AG206" s="19" t="str">
        <f aca="false">IF(R206="","",IF(LOWER(R206)="brak","Brak",IF(OR(ISNUMBER(SEARCH("ric pl",LOWER(R206))),ISNUMBER(SEARCH("wojciechowski",LOWER(R206)))),"Własny","Zewnętrzny")))</f>
        <v/>
      </c>
      <c r="AH206" s="19" t="n">
        <f aca="false">Z206*Q206</f>
        <v>820</v>
      </c>
      <c r="AI206" s="19" t="str">
        <f aca="false">UPPER(TEXT(C206,"mmmm"))</f>
        <v>JULY</v>
      </c>
      <c r="AJ206" s="19" t="str">
        <f aca="false">IF(C206="","",TEXT(C206,"rrrr"))</f>
        <v>CE5786CE5786</v>
      </c>
      <c r="AK206" s="10"/>
      <c r="AL206" s="11" t="n">
        <v>0</v>
      </c>
      <c r="AM206" s="10" t="s">
        <v>423</v>
      </c>
      <c r="AN206" s="10" t="s">
        <v>59</v>
      </c>
      <c r="AO206" s="10"/>
      <c r="AP206" s="10"/>
      <c r="AQ206" s="10"/>
      <c r="AR206" s="10" t="s">
        <v>81</v>
      </c>
      <c r="AS206" s="10"/>
      <c r="AT206" s="15" t="n">
        <v>1</v>
      </c>
    </row>
    <row r="207" customFormat="false" ht="28.5" hidden="false" customHeight="true" outlineLevel="0" collapsed="false">
      <c r="A207" s="12" t="n">
        <v>46231</v>
      </c>
      <c r="B207" s="12" t="s">
        <v>404</v>
      </c>
      <c r="C207" s="12" t="n">
        <v>46231</v>
      </c>
      <c r="D207" s="10" t="s">
        <v>54</v>
      </c>
      <c r="E207" s="10" t="s">
        <v>63</v>
      </c>
      <c r="F207" s="13" t="s">
        <v>421</v>
      </c>
      <c r="G207" s="14" t="s">
        <v>49</v>
      </c>
      <c r="H207" s="10" t="s">
        <v>76</v>
      </c>
      <c r="I207" s="15" t="n">
        <v>82</v>
      </c>
      <c r="J207" s="10" t="s">
        <v>51</v>
      </c>
      <c r="K207" s="15" t="n">
        <v>0</v>
      </c>
      <c r="L207" s="11" t="n">
        <v>0</v>
      </c>
      <c r="M207" s="11" t="n">
        <v>0</v>
      </c>
      <c r="N207" s="10" t="s">
        <v>258</v>
      </c>
      <c r="O207" s="10" t="s">
        <v>67</v>
      </c>
      <c r="P207" s="10"/>
      <c r="Q207" s="16" t="n">
        <v>0</v>
      </c>
      <c r="R207" s="10" t="s">
        <v>94</v>
      </c>
      <c r="S207" s="10" t="s">
        <v>95</v>
      </c>
      <c r="T207" s="10" t="n">
        <v>200</v>
      </c>
      <c r="U207" s="11" t="n">
        <f aca="false">IF(E207="TRANSPORT",IF(T207="","",T207*5),IF(AL207="","",AL207))</f>
        <v>1000</v>
      </c>
      <c r="V207" s="10" t="s">
        <v>54</v>
      </c>
      <c r="W207" s="15" t="s">
        <v>65</v>
      </c>
      <c r="X207" s="15"/>
      <c r="Y207" s="17" t="n">
        <v>46234.2990162037</v>
      </c>
      <c r="Z207" s="18" t="n">
        <f aca="false">IF(I207="",0,IF(ISNUMBER(SEARCH("mp",LOWER(J207))),I207,IF(ISNUMBER(SEARCH("ton",LOWER(J207))),I207/0.33,IF(ISNUMBER(SEARCH("m3",LOWER(J207))),I207*4,I207))))</f>
        <v>82</v>
      </c>
      <c r="AA207" s="18" t="n">
        <f aca="false">IF(I207="",0,IF(ISNUMBER(SEARCH("mp",LOWER(J207))),I207*0.33,IF(ISNUMBER(SEARCH("ton",LOWER(J207))),I207,I207*0.33)))</f>
        <v>27.06</v>
      </c>
      <c r="AB207" s="18" t="n">
        <f aca="false">Tabela_dane[[#This Row],[Wolumen_t]]*8.5</f>
        <v>230.01</v>
      </c>
      <c r="AC207" s="18" t="n">
        <f aca="false">IF(G207&lt;&gt;"TAK",0,IF(OR(E207="ZAKUP",E207="PRODUKCJA"),Z207,IF(OR(E207="SPRZEDAŻ",E207="ZUŻYCIE"),-Z207,0)))</f>
        <v>82</v>
      </c>
      <c r="AD207" s="18" t="n">
        <f aca="false">IF(G207&lt;&gt;"TAK",0,IF(OR(E207="ZAKUP",E207="PRODUKCJA"),AA207,IF(OR(E207="SPRZEDAŻ",E207="ZUŻYCIE"),-AA207,0)))</f>
        <v>27.06</v>
      </c>
      <c r="AE207" s="19" t="n">
        <f aca="false">IF(E207="ZAKUP",IF(L207&lt;&gt;"",L207,IF(K207&lt;&gt;"",Z207*K207,0)),0)</f>
        <v>0</v>
      </c>
      <c r="AF207" s="19" t="n">
        <f aca="false">IF(E207="SPRZEDAŻ",IF(M207&lt;&gt;"",Z207*M207,0),0)</f>
        <v>0</v>
      </c>
      <c r="AG207" s="19" t="str">
        <f aca="false">IF(R207="","",IF(LOWER(R207)="brak","Brak",IF(OR(ISNUMBER(SEARCH("ric pl",LOWER(R207))),ISNUMBER(SEARCH("wojciechowski",LOWER(R207)))),"Własny","Zewnętrzny")))</f>
        <v>Zewnętrzny</v>
      </c>
      <c r="AH207" s="19" t="n">
        <f aca="false">Z207*Q207</f>
        <v>0</v>
      </c>
      <c r="AI207" s="19" t="str">
        <f aca="false">UPPER(TEXT(C207,"mmmm"))</f>
        <v>JULY</v>
      </c>
      <c r="AJ207" s="19" t="str">
        <f aca="false">IF(C207="","",TEXT(C207,"rrrr"))</f>
        <v>CE5786CE5786</v>
      </c>
      <c r="AK207" s="10"/>
      <c r="AL207" s="11" t="n">
        <v>1000</v>
      </c>
      <c r="AM207" s="10" t="s">
        <v>424</v>
      </c>
      <c r="AN207" s="10" t="s">
        <v>49</v>
      </c>
      <c r="AO207" s="10"/>
      <c r="AP207" s="10"/>
      <c r="AQ207" s="10"/>
      <c r="AR207" s="10" t="s">
        <v>66</v>
      </c>
      <c r="AS207" s="10"/>
      <c r="AT207" s="15" t="n">
        <v>1</v>
      </c>
    </row>
    <row r="208" customFormat="false" ht="28.5" hidden="false" customHeight="true" outlineLevel="0" collapsed="false">
      <c r="A208" s="12" t="n">
        <v>46231</v>
      </c>
      <c r="B208" s="12"/>
      <c r="C208" s="12" t="n">
        <v>46231</v>
      </c>
      <c r="D208" s="10" t="s">
        <v>376</v>
      </c>
      <c r="E208" s="10" t="s">
        <v>63</v>
      </c>
      <c r="F208" s="13" t="s">
        <v>425</v>
      </c>
      <c r="G208" s="14" t="s">
        <v>49</v>
      </c>
      <c r="H208" s="10" t="s">
        <v>76</v>
      </c>
      <c r="I208" s="15" t="n">
        <v>80</v>
      </c>
      <c r="J208" s="10" t="s">
        <v>51</v>
      </c>
      <c r="K208" s="15" t="n">
        <v>45</v>
      </c>
      <c r="L208" s="11" t="n">
        <v>3600</v>
      </c>
      <c r="M208" s="11" t="n">
        <v>0</v>
      </c>
      <c r="N208" s="10" t="s">
        <v>255</v>
      </c>
      <c r="O208" s="10" t="s">
        <v>67</v>
      </c>
      <c r="P208" s="10"/>
      <c r="Q208" s="16" t="n">
        <v>0</v>
      </c>
      <c r="R208" s="10"/>
      <c r="S208" s="10"/>
      <c r="T208" s="10" t="n">
        <v>0</v>
      </c>
      <c r="U208" s="11" t="n">
        <f aca="false">IF(E208="TRANSPORT",IF(T208="","",T208*5),IF(AL208="","",AL208))</f>
        <v>0</v>
      </c>
      <c r="V208" s="10" t="s">
        <v>54</v>
      </c>
      <c r="W208" s="15" t="s">
        <v>70</v>
      </c>
      <c r="X208" s="15"/>
      <c r="Y208" s="17" t="n">
        <v>46234.3081944444</v>
      </c>
      <c r="Z208" s="18" t="n">
        <f aca="false">IF(I208="",0,IF(ISNUMBER(SEARCH("mp",LOWER(J208))),I208,IF(ISNUMBER(SEARCH("ton",LOWER(J208))),I208/0.33,IF(ISNUMBER(SEARCH("m3",LOWER(J208))),I208*4,I208))))</f>
        <v>80</v>
      </c>
      <c r="AA208" s="18" t="n">
        <f aca="false">IF(I208="",0,IF(ISNUMBER(SEARCH("mp",LOWER(J208))),I208*0.33,IF(ISNUMBER(SEARCH("ton",LOWER(J208))),I208,I208*0.33)))</f>
        <v>26.4</v>
      </c>
      <c r="AB208" s="18" t="n">
        <f aca="false">Tabela_dane[[#This Row],[Wolumen_t]]*8.5</f>
        <v>224.4</v>
      </c>
      <c r="AC208" s="18" t="n">
        <f aca="false">IF(G208&lt;&gt;"TAK",0,IF(OR(E208="ZAKUP",E208="PRODUKCJA"),Z208,IF(OR(E208="SPRZEDAŻ",E208="ZUŻYCIE"),-Z208,0)))</f>
        <v>80</v>
      </c>
      <c r="AD208" s="18" t="n">
        <f aca="false">IF(G208&lt;&gt;"TAK",0,IF(OR(E208="ZAKUP",E208="PRODUKCJA"),AA208,IF(OR(E208="SPRZEDAŻ",E208="ZUŻYCIE"),-AA208,0)))</f>
        <v>26.4</v>
      </c>
      <c r="AE208" s="19" t="n">
        <f aca="false">IF(E208="ZAKUP",IF(L208&lt;&gt;"",L208,IF(K208&lt;&gt;"",Z208*K208,0)),0)</f>
        <v>3600</v>
      </c>
      <c r="AF208" s="19" t="n">
        <f aca="false">IF(E208="SPRZEDAŻ",IF(M208&lt;&gt;"",Z208*M208,0),0)</f>
        <v>0</v>
      </c>
      <c r="AG208" s="19" t="str">
        <f aca="false">IF(R208="","",IF(LOWER(R208)="brak","Brak",IF(OR(ISNUMBER(SEARCH("ric pl",LOWER(R208))),ISNUMBER(SEARCH("wojciechowski",LOWER(R208)))),"Własny","Zewnętrzny")))</f>
        <v/>
      </c>
      <c r="AH208" s="19" t="n">
        <f aca="false">Z208*Q208</f>
        <v>0</v>
      </c>
      <c r="AI208" s="19" t="str">
        <f aca="false">UPPER(TEXT(C208,"mmmm"))</f>
        <v>JULY</v>
      </c>
      <c r="AJ208" s="19" t="str">
        <f aca="false">IF(C208="","",TEXT(C208,"rrrr"))</f>
        <v>CE5786CE5786</v>
      </c>
      <c r="AK208" s="10"/>
      <c r="AL208" s="11" t="n">
        <v>0</v>
      </c>
      <c r="AM208" s="10" t="s">
        <v>426</v>
      </c>
      <c r="AN208" s="10" t="s">
        <v>59</v>
      </c>
      <c r="AO208" s="10"/>
      <c r="AP208" s="10"/>
      <c r="AQ208" s="10"/>
      <c r="AR208" s="10" t="s">
        <v>66</v>
      </c>
      <c r="AS208" s="10"/>
      <c r="AT208" s="15" t="n">
        <v>1</v>
      </c>
    </row>
    <row r="209" customFormat="false" ht="28.5" hidden="false" customHeight="true" outlineLevel="0" collapsed="false">
      <c r="A209" s="12" t="n">
        <v>46231</v>
      </c>
      <c r="B209" s="12"/>
      <c r="C209" s="12" t="n">
        <v>46231</v>
      </c>
      <c r="D209" s="10" t="s">
        <v>54</v>
      </c>
      <c r="E209" s="10" t="s">
        <v>47</v>
      </c>
      <c r="F209" s="13" t="s">
        <v>425</v>
      </c>
      <c r="G209" s="14" t="s">
        <v>49</v>
      </c>
      <c r="H209" s="10" t="s">
        <v>76</v>
      </c>
      <c r="I209" s="15" t="n">
        <v>80</v>
      </c>
      <c r="J209" s="10" t="s">
        <v>51</v>
      </c>
      <c r="K209" s="15" t="n">
        <v>0</v>
      </c>
      <c r="L209" s="11" t="n">
        <v>0</v>
      </c>
      <c r="M209" s="11" t="n">
        <v>0</v>
      </c>
      <c r="N209" s="10" t="s">
        <v>258</v>
      </c>
      <c r="O209" s="10" t="s">
        <v>67</v>
      </c>
      <c r="P209" s="10" t="s">
        <v>53</v>
      </c>
      <c r="Q209" s="16" t="n">
        <v>10</v>
      </c>
      <c r="R209" s="10"/>
      <c r="S209" s="10"/>
      <c r="T209" s="10" t="n">
        <v>0</v>
      </c>
      <c r="U209" s="11" t="n">
        <f aca="false">IF(E209="TRANSPORT",IF(T209="","",T209*5),IF(AL209="","",AL209))</f>
        <v>0</v>
      </c>
      <c r="V209" s="10" t="s">
        <v>54</v>
      </c>
      <c r="W209" s="15" t="s">
        <v>70</v>
      </c>
      <c r="X209" s="15"/>
      <c r="Y209" s="17" t="n">
        <v>46234.308599537</v>
      </c>
      <c r="Z209" s="18" t="n">
        <f aca="false">IF(I209="",0,IF(ISNUMBER(SEARCH("mp",LOWER(J209))),I209,IF(ISNUMBER(SEARCH("ton",LOWER(J209))),I209/0.33,IF(ISNUMBER(SEARCH("m3",LOWER(J209))),I209*4,I209))))</f>
        <v>80</v>
      </c>
      <c r="AA209" s="18" t="n">
        <f aca="false">IF(I209="",0,IF(ISNUMBER(SEARCH("mp",LOWER(J209))),I209*0.33,IF(ISNUMBER(SEARCH("ton",LOWER(J209))),I209,I209*0.33)))</f>
        <v>26.4</v>
      </c>
      <c r="AB209" s="18" t="n">
        <f aca="false">Tabela_dane[[#This Row],[Wolumen_t]]*8.5</f>
        <v>224.4</v>
      </c>
      <c r="AC209" s="18" t="n">
        <f aca="false">IF(G209&lt;&gt;"TAK",0,IF(OR(E209="ZAKUP",E209="PRODUKCJA"),Z209,IF(OR(E209="SPRZEDAŻ",E209="ZUŻYCIE"),-Z209,0)))</f>
        <v>80</v>
      </c>
      <c r="AD209" s="18" t="n">
        <f aca="false">IF(G209&lt;&gt;"TAK",0,IF(OR(E209="ZAKUP",E209="PRODUKCJA"),AA209,IF(OR(E209="SPRZEDAŻ",E209="ZUŻYCIE"),-AA209,0)))</f>
        <v>26.4</v>
      </c>
      <c r="AE209" s="19" t="n">
        <f aca="false">IF(E209="ZAKUP",IF(L209&lt;&gt;"",L209,IF(K209&lt;&gt;"",Z209*K209,0)),0)</f>
        <v>0</v>
      </c>
      <c r="AF209" s="19" t="n">
        <f aca="false">IF(E209="SPRZEDAŻ",IF(M209&lt;&gt;"",Z209*M209,0),0)</f>
        <v>0</v>
      </c>
      <c r="AG209" s="19" t="str">
        <f aca="false">IF(R209="","",IF(LOWER(R209)="brak","Brak",IF(OR(ISNUMBER(SEARCH("ric pl",LOWER(R209))),ISNUMBER(SEARCH("wojciechowski",LOWER(R209)))),"Własny","Zewnętrzny")))</f>
        <v/>
      </c>
      <c r="AH209" s="19" t="n">
        <f aca="false">Z209*Q209</f>
        <v>800</v>
      </c>
      <c r="AI209" s="19" t="str">
        <f aca="false">UPPER(TEXT(C209,"mmmm"))</f>
        <v>JULY</v>
      </c>
      <c r="AJ209" s="19" t="str">
        <f aca="false">IF(C209="","",TEXT(C209,"rrrr"))</f>
        <v>CE5786CE5786</v>
      </c>
      <c r="AK209" s="10"/>
      <c r="AL209" s="11" t="n">
        <v>0</v>
      </c>
      <c r="AM209" s="10" t="s">
        <v>427</v>
      </c>
      <c r="AN209" s="10" t="s">
        <v>59</v>
      </c>
      <c r="AO209" s="10"/>
      <c r="AP209" s="10"/>
      <c r="AQ209" s="10"/>
      <c r="AR209" s="10" t="s">
        <v>66</v>
      </c>
      <c r="AS209" s="10"/>
      <c r="AT209" s="15" t="n">
        <v>1</v>
      </c>
    </row>
    <row r="210" customFormat="false" ht="28.5" hidden="false" customHeight="true" outlineLevel="0" collapsed="false">
      <c r="A210" s="12" t="n">
        <v>46231</v>
      </c>
      <c r="B210" s="12"/>
      <c r="C210" s="12" t="n">
        <v>46231</v>
      </c>
      <c r="D210" s="10" t="s">
        <v>54</v>
      </c>
      <c r="E210" s="10" t="s">
        <v>79</v>
      </c>
      <c r="F210" s="13" t="s">
        <v>425</v>
      </c>
      <c r="G210" s="14" t="s">
        <v>49</v>
      </c>
      <c r="H210" s="10" t="s">
        <v>76</v>
      </c>
      <c r="I210" s="15" t="n">
        <v>80</v>
      </c>
      <c r="J210" s="10" t="s">
        <v>51</v>
      </c>
      <c r="K210" s="15" t="n">
        <v>0</v>
      </c>
      <c r="L210" s="11" t="n">
        <v>0</v>
      </c>
      <c r="M210" s="11" t="n">
        <v>0</v>
      </c>
      <c r="N210" s="10" t="s">
        <v>258</v>
      </c>
      <c r="O210" s="10" t="s">
        <v>67</v>
      </c>
      <c r="P210" s="10" t="s">
        <v>53</v>
      </c>
      <c r="Q210" s="16" t="n">
        <v>10</v>
      </c>
      <c r="R210" s="10"/>
      <c r="S210" s="10"/>
      <c r="T210" s="10" t="n">
        <v>0</v>
      </c>
      <c r="U210" s="11" t="n">
        <f aca="false">IF(E210="TRANSPORT",IF(T210="","",T210*5),IF(AL210="","",AL210))</f>
        <v>0</v>
      </c>
      <c r="V210" s="10" t="s">
        <v>54</v>
      </c>
      <c r="W210" s="15" t="s">
        <v>260</v>
      </c>
      <c r="X210" s="15"/>
      <c r="Y210" s="17" t="n">
        <v>46234.308599537</v>
      </c>
      <c r="Z210" s="18" t="n">
        <f aca="false">IF(I210="",0,IF(ISNUMBER(SEARCH("mp",LOWER(J210))),I210,IF(ISNUMBER(SEARCH("ton",LOWER(J210))),I210/0.33,IF(ISNUMBER(SEARCH("m3",LOWER(J210))),I210*4,I210))))</f>
        <v>80</v>
      </c>
      <c r="AA210" s="18" t="n">
        <f aca="false">IF(I210="",0,IF(ISNUMBER(SEARCH("mp",LOWER(J210))),I210*0.33,IF(ISNUMBER(SEARCH("ton",LOWER(J210))),I210,I210*0.33)))</f>
        <v>26.4</v>
      </c>
      <c r="AB210" s="18" t="n">
        <f aca="false">Tabela_dane[[#This Row],[Wolumen_t]]*8.5</f>
        <v>224.4</v>
      </c>
      <c r="AC210" s="18" t="n">
        <f aca="false">IF(G210&lt;&gt;"TAK",0,IF(OR(E210="ZAKUP",E210="PRODUKCJA"),Z210,IF(OR(E210="SPRZEDAŻ",E210="ZUŻYCIE"),-Z210,0)))</f>
        <v>-80</v>
      </c>
      <c r="AD210" s="18" t="n">
        <f aca="false">IF(G210&lt;&gt;"TAK",0,IF(OR(E210="ZAKUP",E210="PRODUKCJA"),AA210,IF(OR(E210="SPRZEDAŻ",E210="ZUŻYCIE"),-AA210,0)))</f>
        <v>-26.4</v>
      </c>
      <c r="AE210" s="19" t="n">
        <f aca="false">IF(E210="ZAKUP",IF(L210&lt;&gt;"",L210,IF(K210&lt;&gt;"",Z210*K210,0)),0)</f>
        <v>0</v>
      </c>
      <c r="AF210" s="19" t="n">
        <f aca="false">IF(E210="SPRZEDAŻ",IF(M210&lt;&gt;"",Z210*M210,0),0)</f>
        <v>0</v>
      </c>
      <c r="AG210" s="19" t="str">
        <f aca="false">IF(R210="","",IF(LOWER(R210)="brak","Brak",IF(OR(ISNUMBER(SEARCH("ric pl",LOWER(R210))),ISNUMBER(SEARCH("wojciechowski",LOWER(R210)))),"Własny","Zewnętrzny")))</f>
        <v/>
      </c>
      <c r="AH210" s="19" t="n">
        <f aca="false">Z210*Q210</f>
        <v>800</v>
      </c>
      <c r="AI210" s="19" t="str">
        <f aca="false">UPPER(TEXT(C210,"mmmm"))</f>
        <v>JULY</v>
      </c>
      <c r="AJ210" s="19" t="str">
        <f aca="false">IF(C210="","",TEXT(C210,"rrrr"))</f>
        <v>CE5786CE5786</v>
      </c>
      <c r="AK210" s="10"/>
      <c r="AL210" s="11" t="n">
        <v>0</v>
      </c>
      <c r="AM210" s="10" t="s">
        <v>427</v>
      </c>
      <c r="AN210" s="10" t="s">
        <v>59</v>
      </c>
      <c r="AO210" s="10"/>
      <c r="AP210" s="10"/>
      <c r="AQ210" s="10"/>
      <c r="AR210" s="10" t="s">
        <v>81</v>
      </c>
      <c r="AS210" s="10"/>
      <c r="AT210" s="15" t="n">
        <v>1</v>
      </c>
    </row>
    <row r="211" customFormat="false" ht="28.5" hidden="false" customHeight="true" outlineLevel="0" collapsed="false">
      <c r="A211" s="12" t="n">
        <v>46231</v>
      </c>
      <c r="B211" s="12" t="s">
        <v>404</v>
      </c>
      <c r="C211" s="12" t="n">
        <v>46231</v>
      </c>
      <c r="D211" s="10" t="s">
        <v>54</v>
      </c>
      <c r="E211" s="10" t="s">
        <v>63</v>
      </c>
      <c r="F211" s="13" t="s">
        <v>425</v>
      </c>
      <c r="G211" s="14" t="s">
        <v>49</v>
      </c>
      <c r="H211" s="10" t="s">
        <v>76</v>
      </c>
      <c r="I211" s="15" t="n">
        <v>80</v>
      </c>
      <c r="J211" s="10" t="s">
        <v>51</v>
      </c>
      <c r="K211" s="15" t="n">
        <v>0</v>
      </c>
      <c r="L211" s="11" t="n">
        <v>0</v>
      </c>
      <c r="M211" s="11" t="n">
        <v>0</v>
      </c>
      <c r="N211" s="10" t="s">
        <v>258</v>
      </c>
      <c r="O211" s="10" t="s">
        <v>67</v>
      </c>
      <c r="P211" s="10"/>
      <c r="Q211" s="16" t="n">
        <v>0</v>
      </c>
      <c r="R211" s="10" t="s">
        <v>97</v>
      </c>
      <c r="S211" s="10" t="s">
        <v>98</v>
      </c>
      <c r="T211" s="10" t="n">
        <v>200</v>
      </c>
      <c r="U211" s="11" t="n">
        <f aca="false">IF(E211="TRANSPORT",IF(T211="","",T211*5),IF(AL211="","",AL211))</f>
        <v>1200</v>
      </c>
      <c r="V211" s="10" t="s">
        <v>54</v>
      </c>
      <c r="W211" s="15" t="s">
        <v>70</v>
      </c>
      <c r="X211" s="15"/>
      <c r="Y211" s="17" t="n">
        <v>46234.3092013889</v>
      </c>
      <c r="Z211" s="18" t="n">
        <f aca="false">IF(I211="",0,IF(ISNUMBER(SEARCH("mp",LOWER(J211))),I211,IF(ISNUMBER(SEARCH("ton",LOWER(J211))),I211/0.33,IF(ISNUMBER(SEARCH("m3",LOWER(J211))),I211*4,I211))))</f>
        <v>80</v>
      </c>
      <c r="AA211" s="18" t="n">
        <f aca="false">IF(I211="",0,IF(ISNUMBER(SEARCH("mp",LOWER(J211))),I211*0.33,IF(ISNUMBER(SEARCH("ton",LOWER(J211))),I211,I211*0.33)))</f>
        <v>26.4</v>
      </c>
      <c r="AB211" s="18" t="n">
        <f aca="false">Tabela_dane[[#This Row],[Wolumen_t]]*8.5</f>
        <v>224.4</v>
      </c>
      <c r="AC211" s="18" t="n">
        <f aca="false">IF(G211&lt;&gt;"TAK",0,IF(OR(E211="ZAKUP",E211="PRODUKCJA"),Z211,IF(OR(E211="SPRZEDAŻ",E211="ZUŻYCIE"),-Z211,0)))</f>
        <v>80</v>
      </c>
      <c r="AD211" s="18" t="n">
        <f aca="false">IF(G211&lt;&gt;"TAK",0,IF(OR(E211="ZAKUP",E211="PRODUKCJA"),AA211,IF(OR(E211="SPRZEDAŻ",E211="ZUŻYCIE"),-AA211,0)))</f>
        <v>26.4</v>
      </c>
      <c r="AE211" s="19" t="n">
        <f aca="false">IF(E211="ZAKUP",IF(L211&lt;&gt;"",L211,IF(K211&lt;&gt;"",Z211*K211,0)),0)</f>
        <v>0</v>
      </c>
      <c r="AF211" s="19" t="n">
        <f aca="false">IF(E211="SPRZEDAŻ",IF(M211&lt;&gt;"",Z211*M211,0),0)</f>
        <v>0</v>
      </c>
      <c r="AG211" s="19" t="str">
        <f aca="false">IF(R211="","",IF(LOWER(R211)="brak","Brak",IF(OR(ISNUMBER(SEARCH("ric pl",LOWER(R211))),ISNUMBER(SEARCH("wojciechowski",LOWER(R211)))),"Własny","Zewnętrzny")))</f>
        <v>Zewnętrzny</v>
      </c>
      <c r="AH211" s="19" t="n">
        <f aca="false">Z211*Q211</f>
        <v>0</v>
      </c>
      <c r="AI211" s="19" t="str">
        <f aca="false">UPPER(TEXT(C211,"mmmm"))</f>
        <v>JULY</v>
      </c>
      <c r="AJ211" s="19" t="str">
        <f aca="false">IF(C211="","",TEXT(C211,"rrrr"))</f>
        <v>CE5786CE5786</v>
      </c>
      <c r="AK211" s="10"/>
      <c r="AL211" s="11" t="n">
        <v>1200</v>
      </c>
      <c r="AM211" s="10" t="s">
        <v>428</v>
      </c>
      <c r="AN211" s="10" t="s">
        <v>49</v>
      </c>
      <c r="AO211" s="10"/>
      <c r="AP211" s="10"/>
      <c r="AQ211" s="10"/>
      <c r="AR211" s="10" t="s">
        <v>66</v>
      </c>
      <c r="AS211" s="10"/>
      <c r="AT211" s="15" t="n">
        <v>1</v>
      </c>
    </row>
    <row r="212" customFormat="false" ht="28.5" hidden="false" customHeight="true" outlineLevel="0" collapsed="false">
      <c r="A212" s="12" t="n">
        <v>46232</v>
      </c>
      <c r="B212" s="12"/>
      <c r="C212" s="12" t="n">
        <v>46232</v>
      </c>
      <c r="D212" s="10" t="s">
        <v>46</v>
      </c>
      <c r="E212" s="10" t="s">
        <v>63</v>
      </c>
      <c r="F212" s="20" t="s">
        <v>429</v>
      </c>
      <c r="G212" s="14" t="s">
        <v>49</v>
      </c>
      <c r="H212" s="10" t="s">
        <v>76</v>
      </c>
      <c r="I212" s="15" t="n">
        <v>30</v>
      </c>
      <c r="J212" s="10" t="s">
        <v>77</v>
      </c>
      <c r="K212" s="15" t="n">
        <v>230</v>
      </c>
      <c r="L212" s="11" t="n">
        <v>6900</v>
      </c>
      <c r="M212" s="11" t="n">
        <v>0</v>
      </c>
      <c r="N212" s="10" t="s">
        <v>64</v>
      </c>
      <c r="O212" s="10"/>
      <c r="P212" s="10"/>
      <c r="Q212" s="16" t="n">
        <v>0</v>
      </c>
      <c r="R212" s="10"/>
      <c r="S212" s="10"/>
      <c r="T212" s="10" t="n">
        <v>0</v>
      </c>
      <c r="U212" s="11" t="n">
        <f aca="false">IF(E212="TRANSPORT",IF(T212="","",T212*5),IF(AL212="","",AL212))</f>
        <v>0</v>
      </c>
      <c r="V212" s="10" t="s">
        <v>54</v>
      </c>
      <c r="W212" s="15" t="s">
        <v>302</v>
      </c>
      <c r="X212" s="15"/>
      <c r="Y212" s="17" t="n">
        <v>46232.5289699074</v>
      </c>
      <c r="Z212" s="18" t="n">
        <f aca="false">IF(I212="",0,IF(ISNUMBER(SEARCH("mp",LOWER(J212))),I212,IF(ISNUMBER(SEARCH("ton",LOWER(J212))),I212/0.33,IF(ISNUMBER(SEARCH("m3",LOWER(J212))),I212*4,I212))))</f>
        <v>120</v>
      </c>
      <c r="AA212" s="18" t="n">
        <f aca="false">IF(I212="",0,IF(ISNUMBER(SEARCH("mp",LOWER(J212))),I212*0.33,IF(ISNUMBER(SEARCH("ton",LOWER(J212))),I212,I212*0.33)))</f>
        <v>9.9</v>
      </c>
      <c r="AB212" s="18" t="n">
        <f aca="false">Tabela_dane[[#This Row],[Wolumen_t]]*8.5</f>
        <v>84.15</v>
      </c>
      <c r="AC212" s="18" t="n">
        <f aca="false">IF(G212&lt;&gt;"TAK",0,IF(OR(E212="ZAKUP",E212="PRODUKCJA"),Z212,IF(OR(E212="SPRZEDAŻ",E212="ZUŻYCIE"),-Z212,0)))</f>
        <v>120</v>
      </c>
      <c r="AD212" s="18" t="n">
        <f aca="false">IF(G212&lt;&gt;"TAK",0,IF(OR(E212="ZAKUP",E212="PRODUKCJA"),AA212,IF(OR(E212="SPRZEDAŻ",E212="ZUŻYCIE"),-AA212,0)))</f>
        <v>9.9</v>
      </c>
      <c r="AE212" s="19" t="n">
        <f aca="false">IF(E212="ZAKUP",IF(L212&lt;&gt;"",L212,IF(K212&lt;&gt;"",Z212*K212,0)),0)</f>
        <v>6900</v>
      </c>
      <c r="AF212" s="19" t="n">
        <f aca="false">IF(E212="SPRZEDAŻ",IF(M212&lt;&gt;"",Z212*M212,0),0)</f>
        <v>0</v>
      </c>
      <c r="AG212" s="19" t="str">
        <f aca="false">IF(R212="","",IF(LOWER(R212)="brak","Brak",IF(OR(ISNUMBER(SEARCH("ric pl",LOWER(R212))),ISNUMBER(SEARCH("wojciechowski",LOWER(R212)))),"Własny","Zewnętrzny")))</f>
        <v/>
      </c>
      <c r="AH212" s="19" t="n">
        <f aca="false">Z212*Q212</f>
        <v>0</v>
      </c>
      <c r="AI212" s="19" t="str">
        <f aca="false">UPPER(TEXT(C212,"mmmm"))</f>
        <v>JULY</v>
      </c>
      <c r="AJ212" s="19" t="str">
        <f aca="false">IF(C212="","",TEXT(C212,"rrrr"))</f>
        <v>CE5786CE5786</v>
      </c>
      <c r="AK212" s="10"/>
      <c r="AL212" s="11" t="n">
        <v>0</v>
      </c>
      <c r="AM212" s="10" t="s">
        <v>430</v>
      </c>
      <c r="AN212" s="10" t="s">
        <v>59</v>
      </c>
      <c r="AO212" s="10"/>
      <c r="AP212" s="10"/>
      <c r="AQ212" s="10"/>
      <c r="AR212" s="10" t="s">
        <v>66</v>
      </c>
      <c r="AS212" s="10"/>
      <c r="AT212" s="15" t="n">
        <v>1</v>
      </c>
    </row>
    <row r="213" customFormat="false" ht="28.5" hidden="false" customHeight="true" outlineLevel="0" collapsed="false">
      <c r="A213" s="12" t="n">
        <v>46232</v>
      </c>
      <c r="B213" s="12" t="s">
        <v>106</v>
      </c>
      <c r="C213" s="12" t="n">
        <v>46232</v>
      </c>
      <c r="D213" s="10" t="s">
        <v>106</v>
      </c>
      <c r="E213" s="10" t="s">
        <v>107</v>
      </c>
      <c r="F213" s="22" t="s">
        <v>431</v>
      </c>
      <c r="G213" s="14" t="s">
        <v>49</v>
      </c>
      <c r="H213" s="10"/>
      <c r="I213" s="15" t="n">
        <v>60</v>
      </c>
      <c r="J213" s="10" t="s">
        <v>51</v>
      </c>
      <c r="K213" s="15" t="n">
        <v>0</v>
      </c>
      <c r="L213" s="11" t="n">
        <v>0</v>
      </c>
      <c r="M213" s="11" t="n">
        <v>0</v>
      </c>
      <c r="N213" s="10" t="s">
        <v>52</v>
      </c>
      <c r="O213" s="10" t="s">
        <v>67</v>
      </c>
      <c r="P213" s="10"/>
      <c r="Q213" s="16" t="n">
        <v>0</v>
      </c>
      <c r="R213" s="10" t="s">
        <v>72</v>
      </c>
      <c r="S213" s="10" t="s">
        <v>73</v>
      </c>
      <c r="T213" s="10" t="n">
        <v>40</v>
      </c>
      <c r="U213" s="11" t="n">
        <f aca="false">IF(E213="TRANSPORT",IF(T213="","",T213*5),IF(AL213="","",AL213))</f>
        <v>240</v>
      </c>
      <c r="V213" s="10" t="s">
        <v>54</v>
      </c>
      <c r="W213" s="15" t="s">
        <v>70</v>
      </c>
      <c r="X213" s="15" t="s">
        <v>106</v>
      </c>
      <c r="Y213" s="17" t="n">
        <v>46234.0184375</v>
      </c>
      <c r="Z213" s="18" t="n">
        <f aca="false">IF(I213="",0,IF(ISNUMBER(SEARCH("mp",LOWER(J213))),I213,IF(ISNUMBER(SEARCH("ton",LOWER(J213))),I213/0.33,IF(ISNUMBER(SEARCH("m3",LOWER(J213))),I213*4,I213))))</f>
        <v>60</v>
      </c>
      <c r="AA213" s="18" t="n">
        <f aca="false">IF(I213="",0,IF(ISNUMBER(SEARCH("mp",LOWER(J213))),I213*0.33,IF(ISNUMBER(SEARCH("ton",LOWER(J213))),I213,I213*0.33)))</f>
        <v>19.8</v>
      </c>
      <c r="AB213" s="18" t="n">
        <f aca="false">Tabela_dane[[#This Row],[Wolumen_t]]*8.5</f>
        <v>168.3</v>
      </c>
      <c r="AC213" s="18" t="n">
        <f aca="false">IF(G213&lt;&gt;"TAK",0,IF(OR(E213="ZAKUP",E213="PRODUKCJA"),Z213,IF(OR(E213="SPRZEDAŻ",E213="ZUŻYCIE"),-Z213,0)))</f>
        <v>0</v>
      </c>
      <c r="AD213" s="18" t="n">
        <f aca="false">IF(G213&lt;&gt;"TAK",0,IF(OR(E213="ZAKUP",E213="PRODUKCJA"),AA213,IF(OR(E213="SPRZEDAŻ",E213="ZUŻYCIE"),-AA213,0)))</f>
        <v>0</v>
      </c>
      <c r="AE213" s="19" t="n">
        <f aca="false">IF(E213="ZAKUP",IF(L213&lt;&gt;"",L213,IF(K213&lt;&gt;"",Z213*K213,0)),0)</f>
        <v>0</v>
      </c>
      <c r="AF213" s="19" t="n">
        <f aca="false">IF(E213="SPRZEDAŻ",IF(M213&lt;&gt;"",Z213*M213,0),0)</f>
        <v>0</v>
      </c>
      <c r="AG213" s="19" t="str">
        <f aca="false">IF(R213="","",IF(LOWER(R213)="brak","Brak",IF(OR(ISNUMBER(SEARCH("ric pl",LOWER(R213))),ISNUMBER(SEARCH("wojciechowski",LOWER(R213)))),"Własny","Zewnętrzny")))</f>
        <v>Zewnętrzny</v>
      </c>
      <c r="AH213" s="19" t="n">
        <f aca="false">Z213*Q213</f>
        <v>0</v>
      </c>
      <c r="AI213" s="19" t="str">
        <f aca="false">UPPER(TEXT(C213,"mmmm"))</f>
        <v>JULY</v>
      </c>
      <c r="AJ213" s="19" t="str">
        <f aca="false">IF(C213="","",TEXT(C213,"rrrr"))</f>
        <v>CE5786CE5786</v>
      </c>
      <c r="AK213" s="10"/>
      <c r="AL213" s="11" t="n">
        <v>240</v>
      </c>
      <c r="AM213" s="10" t="s">
        <v>432</v>
      </c>
      <c r="AN213" s="10" t="s">
        <v>49</v>
      </c>
      <c r="AO213" s="10"/>
      <c r="AP213" s="10"/>
      <c r="AQ213" s="10"/>
      <c r="AR213" s="10" t="s">
        <v>66</v>
      </c>
      <c r="AS213" s="10"/>
      <c r="AT213" s="15" t="n">
        <v>1</v>
      </c>
    </row>
    <row r="214" customFormat="false" ht="28.5" hidden="false" customHeight="true" outlineLevel="0" collapsed="false">
      <c r="A214" s="12" t="n">
        <v>46232</v>
      </c>
      <c r="B214" s="12" t="s">
        <v>106</v>
      </c>
      <c r="C214" s="12" t="n">
        <v>46232</v>
      </c>
      <c r="D214" s="10" t="s">
        <v>106</v>
      </c>
      <c r="E214" s="10" t="s">
        <v>107</v>
      </c>
      <c r="F214" s="22" t="s">
        <v>433</v>
      </c>
      <c r="G214" s="14" t="s">
        <v>49</v>
      </c>
      <c r="H214" s="10"/>
      <c r="I214" s="15" t="n">
        <v>58</v>
      </c>
      <c r="J214" s="10" t="s">
        <v>51</v>
      </c>
      <c r="K214" s="15" t="n">
        <v>0</v>
      </c>
      <c r="L214" s="11" t="n">
        <v>0</v>
      </c>
      <c r="M214" s="11" t="n">
        <v>0</v>
      </c>
      <c r="N214" s="10" t="s">
        <v>52</v>
      </c>
      <c r="O214" s="10" t="s">
        <v>67</v>
      </c>
      <c r="P214" s="10"/>
      <c r="Q214" s="16" t="n">
        <v>0</v>
      </c>
      <c r="R214" s="10" t="s">
        <v>72</v>
      </c>
      <c r="S214" s="10" t="s">
        <v>73</v>
      </c>
      <c r="T214" s="10" t="n">
        <v>40</v>
      </c>
      <c r="U214" s="11" t="n">
        <f aca="false">IF(E214="TRANSPORT",IF(T214="","",T214*5),IF(AL214="","",AL214))</f>
        <v>240</v>
      </c>
      <c r="V214" s="10" t="s">
        <v>54</v>
      </c>
      <c r="W214" s="15" t="s">
        <v>434</v>
      </c>
      <c r="X214" s="15" t="s">
        <v>106</v>
      </c>
      <c r="Y214" s="17" t="n">
        <v>46234.0195949074</v>
      </c>
      <c r="Z214" s="18" t="n">
        <f aca="false">IF(I214="",0,IF(ISNUMBER(SEARCH("mp",LOWER(J214))),I214,IF(ISNUMBER(SEARCH("ton",LOWER(J214))),I214/0.33,IF(ISNUMBER(SEARCH("m3",LOWER(J214))),I214*4,I214))))</f>
        <v>58</v>
      </c>
      <c r="AA214" s="18" t="n">
        <f aca="false">IF(I214="",0,IF(ISNUMBER(SEARCH("mp",LOWER(J214))),I214*0.33,IF(ISNUMBER(SEARCH("ton",LOWER(J214))),I214,I214*0.33)))</f>
        <v>19.14</v>
      </c>
      <c r="AB214" s="18" t="n">
        <f aca="false">Tabela_dane[[#This Row],[Wolumen_t]]*8.5</f>
        <v>162.69</v>
      </c>
      <c r="AC214" s="18" t="n">
        <f aca="false">IF(G214&lt;&gt;"TAK",0,IF(OR(E214="ZAKUP",E214="PRODUKCJA"),Z214,IF(OR(E214="SPRZEDAŻ",E214="ZUŻYCIE"),-Z214,0)))</f>
        <v>0</v>
      </c>
      <c r="AD214" s="18" t="n">
        <f aca="false">IF(G214&lt;&gt;"TAK",0,IF(OR(E214="ZAKUP",E214="PRODUKCJA"),AA214,IF(OR(E214="SPRZEDAŻ",E214="ZUŻYCIE"),-AA214,0)))</f>
        <v>0</v>
      </c>
      <c r="AE214" s="19" t="n">
        <f aca="false">IF(E214="ZAKUP",IF(L214&lt;&gt;"",L214,IF(K214&lt;&gt;"",Z214*K214,0)),0)</f>
        <v>0</v>
      </c>
      <c r="AF214" s="19" t="n">
        <f aca="false">IF(E214="SPRZEDAŻ",IF(M214&lt;&gt;"",Z214*M214,0),0)</f>
        <v>0</v>
      </c>
      <c r="AG214" s="19" t="str">
        <f aca="false">IF(R214="","",IF(LOWER(R214)="brak","Brak",IF(OR(ISNUMBER(SEARCH("ric pl",LOWER(R214))),ISNUMBER(SEARCH("wojciechowski",LOWER(R214)))),"Własny","Zewnętrzny")))</f>
        <v>Zewnętrzny</v>
      </c>
      <c r="AH214" s="19" t="n">
        <f aca="false">Z214*Q214</f>
        <v>0</v>
      </c>
      <c r="AI214" s="19" t="str">
        <f aca="false">UPPER(TEXT(C214,"mmmm"))</f>
        <v>JULY</v>
      </c>
      <c r="AJ214" s="19" t="str">
        <f aca="false">IF(C214="","",TEXT(C214,"rrrr"))</f>
        <v>CE5786CE5786</v>
      </c>
      <c r="AK214" s="10"/>
      <c r="AL214" s="11" t="n">
        <v>240</v>
      </c>
      <c r="AM214" s="10" t="s">
        <v>435</v>
      </c>
      <c r="AN214" s="10" t="s">
        <v>49</v>
      </c>
      <c r="AO214" s="10"/>
      <c r="AP214" s="10"/>
      <c r="AQ214" s="10"/>
      <c r="AR214" s="10" t="s">
        <v>66</v>
      </c>
      <c r="AS214" s="10"/>
      <c r="AT214" s="15" t="n">
        <v>1</v>
      </c>
    </row>
    <row r="215" customFormat="false" ht="28.5" hidden="false" customHeight="true" outlineLevel="0" collapsed="false">
      <c r="A215" s="12" t="n">
        <v>46232</v>
      </c>
      <c r="B215" s="12"/>
      <c r="C215" s="12" t="n">
        <v>46232</v>
      </c>
      <c r="D215" s="10" t="s">
        <v>436</v>
      </c>
      <c r="E215" s="10" t="s">
        <v>63</v>
      </c>
      <c r="F215" s="13" t="s">
        <v>437</v>
      </c>
      <c r="G215" s="14" t="s">
        <v>49</v>
      </c>
      <c r="H215" s="10" t="s">
        <v>50</v>
      </c>
      <c r="I215" s="15" t="n">
        <v>21.31</v>
      </c>
      <c r="J215" s="10" t="s">
        <v>77</v>
      </c>
      <c r="K215" s="15" t="n">
        <v>141</v>
      </c>
      <c r="L215" s="11" t="n">
        <v>3004.71</v>
      </c>
      <c r="M215" s="11" t="n">
        <v>0</v>
      </c>
      <c r="N215" s="10" t="s">
        <v>64</v>
      </c>
      <c r="O215" s="10" t="s">
        <v>67</v>
      </c>
      <c r="P215" s="10"/>
      <c r="Q215" s="16" t="n">
        <v>0</v>
      </c>
      <c r="R215" s="10"/>
      <c r="S215" s="10"/>
      <c r="T215" s="10" t="n">
        <v>0</v>
      </c>
      <c r="U215" s="11" t="n">
        <f aca="false">IF(E215="TRANSPORT",IF(T215="","",T215*5),IF(AL215="","",AL215))</f>
        <v>0</v>
      </c>
      <c r="V215" s="10" t="s">
        <v>54</v>
      </c>
      <c r="W215" s="15" t="s">
        <v>65</v>
      </c>
      <c r="X215" s="15"/>
      <c r="Y215" s="17" t="n">
        <v>46234.3142361111</v>
      </c>
      <c r="Z215" s="18" t="n">
        <f aca="false">IF(I215="",0,IF(ISNUMBER(SEARCH("mp",LOWER(J215))),I215,IF(ISNUMBER(SEARCH("ton",LOWER(J215))),I215/0.33,IF(ISNUMBER(SEARCH("m3",LOWER(J215))),I215*4,I215))))</f>
        <v>85.24</v>
      </c>
      <c r="AA215" s="18" t="n">
        <f aca="false">IF(I215="",0,IF(ISNUMBER(SEARCH("mp",LOWER(J215))),I215*0.33,IF(ISNUMBER(SEARCH("ton",LOWER(J215))),I215,I215*0.33)))</f>
        <v>7.0323</v>
      </c>
      <c r="AB215" s="18" t="n">
        <f aca="false">Tabela_dane[[#This Row],[Wolumen_t]]*8.5</f>
        <v>59.77455</v>
      </c>
      <c r="AC215" s="18" t="n">
        <f aca="false">IF(G215&lt;&gt;"TAK",0,IF(OR(E215="ZAKUP",E215="PRODUKCJA"),Z215,IF(OR(E215="SPRZEDAŻ",E215="ZUŻYCIE"),-Z215,0)))</f>
        <v>85.24</v>
      </c>
      <c r="AD215" s="18" t="n">
        <f aca="false">IF(G215&lt;&gt;"TAK",0,IF(OR(E215="ZAKUP",E215="PRODUKCJA"),AA215,IF(OR(E215="SPRZEDAŻ",E215="ZUŻYCIE"),-AA215,0)))</f>
        <v>7.0323</v>
      </c>
      <c r="AE215" s="19" t="n">
        <f aca="false">IF(E215="ZAKUP",IF(L215&lt;&gt;"",L215,IF(K215&lt;&gt;"",Z215*K215,0)),0)</f>
        <v>3004.71</v>
      </c>
      <c r="AF215" s="19" t="n">
        <f aca="false">IF(E215="SPRZEDAŻ",IF(M215&lt;&gt;"",Z215*M215,0),0)</f>
        <v>0</v>
      </c>
      <c r="AG215" s="19" t="str">
        <f aca="false">IF(R215="","",IF(LOWER(R215)="brak","Brak",IF(OR(ISNUMBER(SEARCH("ric pl",LOWER(R215))),ISNUMBER(SEARCH("wojciechowski",LOWER(R215)))),"Własny","Zewnętrzny")))</f>
        <v/>
      </c>
      <c r="AH215" s="19" t="n">
        <f aca="false">Z215*Q215</f>
        <v>0</v>
      </c>
      <c r="AI215" s="19" t="str">
        <f aca="false">UPPER(TEXT(C215,"mmmm"))</f>
        <v>JULY</v>
      </c>
      <c r="AJ215" s="19" t="str">
        <f aca="false">IF(C215="","",TEXT(C215,"rrrr"))</f>
        <v>CE5786CE5786</v>
      </c>
      <c r="AK215" s="10"/>
      <c r="AL215" s="11" t="n">
        <v>0</v>
      </c>
      <c r="AM215" s="10" t="s">
        <v>438</v>
      </c>
      <c r="AN215" s="10" t="s">
        <v>59</v>
      </c>
      <c r="AO215" s="10"/>
      <c r="AP215" s="10"/>
      <c r="AQ215" s="10"/>
      <c r="AR215" s="10" t="s">
        <v>66</v>
      </c>
      <c r="AS215" s="10"/>
      <c r="AT215" s="15" t="n">
        <v>1</v>
      </c>
    </row>
    <row r="216" customFormat="false" ht="28.5" hidden="false" customHeight="true" outlineLevel="0" collapsed="false">
      <c r="A216" s="12" t="n">
        <v>46232</v>
      </c>
      <c r="B216" s="12"/>
      <c r="C216" s="12" t="n">
        <v>46232</v>
      </c>
      <c r="D216" s="10" t="s">
        <v>54</v>
      </c>
      <c r="E216" s="10" t="s">
        <v>47</v>
      </c>
      <c r="F216" s="13" t="s">
        <v>437</v>
      </c>
      <c r="G216" s="14" t="s">
        <v>49</v>
      </c>
      <c r="H216" s="10" t="s">
        <v>50</v>
      </c>
      <c r="I216" s="15" t="n">
        <v>85</v>
      </c>
      <c r="J216" s="10" t="s">
        <v>51</v>
      </c>
      <c r="K216" s="15" t="n">
        <v>0</v>
      </c>
      <c r="L216" s="11" t="n">
        <v>0</v>
      </c>
      <c r="M216" s="11" t="n">
        <v>0</v>
      </c>
      <c r="N216" s="10" t="s">
        <v>52</v>
      </c>
      <c r="O216" s="10" t="s">
        <v>67</v>
      </c>
      <c r="P216" s="10" t="s">
        <v>53</v>
      </c>
      <c r="Q216" s="16" t="n">
        <v>10</v>
      </c>
      <c r="R216" s="10"/>
      <c r="S216" s="10"/>
      <c r="T216" s="10" t="n">
        <v>0</v>
      </c>
      <c r="U216" s="11" t="n">
        <f aca="false">IF(E216="TRANSPORT",IF(T216="","",T216*5),IF(AL216="","",AL216))</f>
        <v>0</v>
      </c>
      <c r="V216" s="10" t="s">
        <v>54</v>
      </c>
      <c r="W216" s="15" t="s">
        <v>70</v>
      </c>
      <c r="X216" s="15"/>
      <c r="Y216" s="17" t="n">
        <v>46234.3152662037</v>
      </c>
      <c r="Z216" s="18" t="n">
        <f aca="false">IF(I216="",0,IF(ISNUMBER(SEARCH("mp",LOWER(J216))),I216,IF(ISNUMBER(SEARCH("ton",LOWER(J216))),I216/0.33,IF(ISNUMBER(SEARCH("m3",LOWER(J216))),I216*4,I216))))</f>
        <v>85</v>
      </c>
      <c r="AA216" s="18" t="n">
        <f aca="false">IF(I216="",0,IF(ISNUMBER(SEARCH("mp",LOWER(J216))),I216*0.33,IF(ISNUMBER(SEARCH("ton",LOWER(J216))),I216,I216*0.33)))</f>
        <v>28.05</v>
      </c>
      <c r="AB216" s="18" t="n">
        <f aca="false">Tabela_dane[[#This Row],[Wolumen_t]]*8.5</f>
        <v>238.425</v>
      </c>
      <c r="AC216" s="18" t="n">
        <f aca="false">IF(G216&lt;&gt;"TAK",0,IF(OR(E216="ZAKUP",E216="PRODUKCJA"),Z216,IF(OR(E216="SPRZEDAŻ",E216="ZUŻYCIE"),-Z216,0)))</f>
        <v>85</v>
      </c>
      <c r="AD216" s="18" t="n">
        <f aca="false">IF(G216&lt;&gt;"TAK",0,IF(OR(E216="ZAKUP",E216="PRODUKCJA"),AA216,IF(OR(E216="SPRZEDAŻ",E216="ZUŻYCIE"),-AA216,0)))</f>
        <v>28.05</v>
      </c>
      <c r="AE216" s="19" t="n">
        <f aca="false">IF(E216="ZAKUP",IF(L216&lt;&gt;"",L216,IF(K216&lt;&gt;"",Z216*K216,0)),0)</f>
        <v>0</v>
      </c>
      <c r="AF216" s="19" t="n">
        <f aca="false">IF(E216="SPRZEDAŻ",IF(M216&lt;&gt;"",Z216*M216,0),0)</f>
        <v>0</v>
      </c>
      <c r="AG216" s="19" t="str">
        <f aca="false">IF(R216="","",IF(LOWER(R216)="brak","Brak",IF(OR(ISNUMBER(SEARCH("ric pl",LOWER(R216))),ISNUMBER(SEARCH("wojciechowski",LOWER(R216)))),"Własny","Zewnętrzny")))</f>
        <v/>
      </c>
      <c r="AH216" s="19" t="n">
        <f aca="false">Z216*Q216</f>
        <v>850</v>
      </c>
      <c r="AI216" s="19" t="str">
        <f aca="false">UPPER(TEXT(C216,"mmmm"))</f>
        <v>JULY</v>
      </c>
      <c r="AJ216" s="19" t="str">
        <f aca="false">IF(C216="","",TEXT(C216,"rrrr"))</f>
        <v>CE5786CE5786</v>
      </c>
      <c r="AK216" s="10"/>
      <c r="AL216" s="11" t="n">
        <v>0</v>
      </c>
      <c r="AM216" s="10" t="s">
        <v>439</v>
      </c>
      <c r="AN216" s="10" t="s">
        <v>59</v>
      </c>
      <c r="AO216" s="10"/>
      <c r="AP216" s="10"/>
      <c r="AQ216" s="10"/>
      <c r="AR216" s="10" t="s">
        <v>66</v>
      </c>
      <c r="AS216" s="10"/>
      <c r="AT216" s="15" t="n">
        <v>1</v>
      </c>
    </row>
    <row r="217" customFormat="false" ht="28.5" hidden="false" customHeight="true" outlineLevel="0" collapsed="false">
      <c r="A217" s="12" t="n">
        <v>46232</v>
      </c>
      <c r="B217" s="12"/>
      <c r="C217" s="12" t="n">
        <v>46232</v>
      </c>
      <c r="D217" s="10" t="s">
        <v>54</v>
      </c>
      <c r="E217" s="10" t="s">
        <v>79</v>
      </c>
      <c r="F217" s="13" t="s">
        <v>437</v>
      </c>
      <c r="G217" s="14" t="s">
        <v>49</v>
      </c>
      <c r="H217" s="10" t="s">
        <v>50</v>
      </c>
      <c r="I217" s="15" t="n">
        <v>85</v>
      </c>
      <c r="J217" s="10" t="s">
        <v>51</v>
      </c>
      <c r="K217" s="15" t="n">
        <v>0</v>
      </c>
      <c r="L217" s="11" t="n">
        <v>0</v>
      </c>
      <c r="M217" s="11" t="n">
        <v>0</v>
      </c>
      <c r="N217" s="10" t="s">
        <v>52</v>
      </c>
      <c r="O217" s="10" t="s">
        <v>67</v>
      </c>
      <c r="P217" s="10" t="s">
        <v>53</v>
      </c>
      <c r="Q217" s="16" t="n">
        <v>10</v>
      </c>
      <c r="R217" s="10"/>
      <c r="S217" s="10"/>
      <c r="T217" s="10" t="n">
        <v>0</v>
      </c>
      <c r="U217" s="11" t="n">
        <f aca="false">IF(E217="TRANSPORT",IF(T217="","",T217*5),IF(AL217="","",AL217))</f>
        <v>0</v>
      </c>
      <c r="V217" s="10" t="s">
        <v>54</v>
      </c>
      <c r="W217" s="15" t="s">
        <v>260</v>
      </c>
      <c r="X217" s="15"/>
      <c r="Y217" s="17" t="n">
        <v>46234.3152662037</v>
      </c>
      <c r="Z217" s="18" t="n">
        <f aca="false">IF(I217="",0,IF(ISNUMBER(SEARCH("mp",LOWER(J217))),I217,IF(ISNUMBER(SEARCH("ton",LOWER(J217))),I217/0.33,IF(ISNUMBER(SEARCH("m3",LOWER(J217))),I217*4,I217))))</f>
        <v>85</v>
      </c>
      <c r="AA217" s="18" t="n">
        <f aca="false">IF(I217="",0,IF(ISNUMBER(SEARCH("mp",LOWER(J217))),I217*0.33,IF(ISNUMBER(SEARCH("ton",LOWER(J217))),I217,I217*0.33)))</f>
        <v>28.05</v>
      </c>
      <c r="AB217" s="18" t="n">
        <f aca="false">Tabela_dane[[#This Row],[Wolumen_t]]*8.5</f>
        <v>238.425</v>
      </c>
      <c r="AC217" s="18" t="n">
        <f aca="false">IF(G217&lt;&gt;"TAK",0,IF(OR(E217="ZAKUP",E217="PRODUKCJA"),Z217,IF(OR(E217="SPRZEDAŻ",E217="ZUŻYCIE"),-Z217,0)))</f>
        <v>-85</v>
      </c>
      <c r="AD217" s="18" t="n">
        <f aca="false">IF(G217&lt;&gt;"TAK",0,IF(OR(E217="ZAKUP",E217="PRODUKCJA"),AA217,IF(OR(E217="SPRZEDAŻ",E217="ZUŻYCIE"),-AA217,0)))</f>
        <v>-28.05</v>
      </c>
      <c r="AE217" s="19" t="n">
        <f aca="false">IF(E217="ZAKUP",IF(L217&lt;&gt;"",L217,IF(K217&lt;&gt;"",Z217*K217,0)),0)</f>
        <v>0</v>
      </c>
      <c r="AF217" s="19" t="n">
        <f aca="false">IF(E217="SPRZEDAŻ",IF(M217&lt;&gt;"",Z217*M217,0),0)</f>
        <v>0</v>
      </c>
      <c r="AG217" s="19" t="str">
        <f aca="false">IF(R217="","",IF(LOWER(R217)="brak","Brak",IF(OR(ISNUMBER(SEARCH("ric pl",LOWER(R217))),ISNUMBER(SEARCH("wojciechowski",LOWER(R217)))),"Własny","Zewnętrzny")))</f>
        <v/>
      </c>
      <c r="AH217" s="19" t="n">
        <f aca="false">Z217*Q217</f>
        <v>850</v>
      </c>
      <c r="AI217" s="19" t="str">
        <f aca="false">UPPER(TEXT(C217,"mmmm"))</f>
        <v>JULY</v>
      </c>
      <c r="AJ217" s="19" t="str">
        <f aca="false">IF(C217="","",TEXT(C217,"rrrr"))</f>
        <v>CE5786CE5786</v>
      </c>
      <c r="AK217" s="10"/>
      <c r="AL217" s="11" t="n">
        <v>0</v>
      </c>
      <c r="AM217" s="10" t="s">
        <v>439</v>
      </c>
      <c r="AN217" s="10" t="s">
        <v>59</v>
      </c>
      <c r="AO217" s="10"/>
      <c r="AP217" s="10"/>
      <c r="AQ217" s="10"/>
      <c r="AR217" s="10" t="s">
        <v>81</v>
      </c>
      <c r="AS217" s="10"/>
      <c r="AT217" s="15" t="n">
        <v>1</v>
      </c>
    </row>
    <row r="218" customFormat="false" ht="28.5" hidden="false" customHeight="true" outlineLevel="0" collapsed="false">
      <c r="A218" s="12" t="n">
        <v>46232</v>
      </c>
      <c r="B218" s="12" t="s">
        <v>440</v>
      </c>
      <c r="C218" s="12" t="n">
        <v>46232</v>
      </c>
      <c r="D218" s="10" t="s">
        <v>54</v>
      </c>
      <c r="E218" s="10" t="s">
        <v>63</v>
      </c>
      <c r="F218" s="13" t="s">
        <v>441</v>
      </c>
      <c r="G218" s="14" t="s">
        <v>49</v>
      </c>
      <c r="H218" s="10" t="s">
        <v>50</v>
      </c>
      <c r="I218" s="15" t="n">
        <v>85</v>
      </c>
      <c r="J218" s="10" t="s">
        <v>51</v>
      </c>
      <c r="K218" s="15" t="n">
        <v>0</v>
      </c>
      <c r="L218" s="11" t="n">
        <v>0</v>
      </c>
      <c r="M218" s="11" t="n">
        <v>0</v>
      </c>
      <c r="N218" s="10" t="s">
        <v>52</v>
      </c>
      <c r="O218" s="10" t="s">
        <v>67</v>
      </c>
      <c r="P218" s="10"/>
      <c r="Q218" s="16" t="n">
        <v>0</v>
      </c>
      <c r="R218" s="10" t="s">
        <v>97</v>
      </c>
      <c r="S218" s="10" t="s">
        <v>98</v>
      </c>
      <c r="T218" s="10" t="n">
        <v>200</v>
      </c>
      <c r="U218" s="11" t="n">
        <f aca="false">IF(E218="TRANSPORT",IF(T218="","",T218*5),IF(AL218="","",AL218))</f>
        <v>1200</v>
      </c>
      <c r="V218" s="10" t="s">
        <v>54</v>
      </c>
      <c r="W218" s="15" t="s">
        <v>70</v>
      </c>
      <c r="X218" s="15"/>
      <c r="Y218" s="17" t="n">
        <v>46234.4327083333</v>
      </c>
      <c r="Z218" s="18" t="n">
        <f aca="false">IF(I218="",0,IF(ISNUMBER(SEARCH("mp",LOWER(J218))),I218,IF(ISNUMBER(SEARCH("ton",LOWER(J218))),I218/0.33,IF(ISNUMBER(SEARCH("m3",LOWER(J218))),I218*4,I218))))</f>
        <v>85</v>
      </c>
      <c r="AA218" s="18" t="n">
        <f aca="false">IF(I218="",0,IF(ISNUMBER(SEARCH("mp",LOWER(J218))),I218*0.33,IF(ISNUMBER(SEARCH("ton",LOWER(J218))),I218,I218*0.33)))</f>
        <v>28.05</v>
      </c>
      <c r="AB218" s="18" t="n">
        <f aca="false">Tabela_dane[[#This Row],[Wolumen_t]]*8.5</f>
        <v>238.425</v>
      </c>
      <c r="AC218" s="18" t="n">
        <f aca="false">IF(G218&lt;&gt;"TAK",0,IF(OR(E218="ZAKUP",E218="PRODUKCJA"),Z218,IF(OR(E218="SPRZEDAŻ",E218="ZUŻYCIE"),-Z218,0)))</f>
        <v>85</v>
      </c>
      <c r="AD218" s="18" t="n">
        <f aca="false">IF(G218&lt;&gt;"TAK",0,IF(OR(E218="ZAKUP",E218="PRODUKCJA"),AA218,IF(OR(E218="SPRZEDAŻ",E218="ZUŻYCIE"),-AA218,0)))</f>
        <v>28.05</v>
      </c>
      <c r="AE218" s="19" t="n">
        <f aca="false">IF(E218="ZAKUP",IF(L218&lt;&gt;"",L218,IF(K218&lt;&gt;"",Z218*K218,0)),0)</f>
        <v>0</v>
      </c>
      <c r="AF218" s="19" t="n">
        <f aca="false">IF(E218="SPRZEDAŻ",IF(M218&lt;&gt;"",Z218*M218,0),0)</f>
        <v>0</v>
      </c>
      <c r="AG218" s="19" t="str">
        <f aca="false">IF(R218="","",IF(LOWER(R218)="brak","Brak",IF(OR(ISNUMBER(SEARCH("ric pl",LOWER(R218))),ISNUMBER(SEARCH("wojciechowski",LOWER(R218)))),"Własny","Zewnętrzny")))</f>
        <v>Zewnętrzny</v>
      </c>
      <c r="AH218" s="19" t="n">
        <f aca="false">Z218*Q218</f>
        <v>0</v>
      </c>
      <c r="AI218" s="19" t="str">
        <f aca="false">UPPER(TEXT(C218,"mmmm"))</f>
        <v>JULY</v>
      </c>
      <c r="AJ218" s="19" t="str">
        <f aca="false">IF(C218="","",TEXT(C218,"rrrr"))</f>
        <v>CE5786CE5786</v>
      </c>
      <c r="AK218" s="10"/>
      <c r="AL218" s="11" t="n">
        <v>1200</v>
      </c>
      <c r="AM218" s="10" t="s">
        <v>442</v>
      </c>
      <c r="AN218" s="10" t="s">
        <v>49</v>
      </c>
      <c r="AO218" s="10"/>
      <c r="AP218" s="10"/>
      <c r="AQ218" s="10"/>
      <c r="AR218" s="10" t="s">
        <v>66</v>
      </c>
      <c r="AS218" s="10"/>
      <c r="AT218" s="15" t="n">
        <v>1</v>
      </c>
    </row>
    <row r="219" customFormat="false" ht="28.5" hidden="false" customHeight="true" outlineLevel="0" collapsed="false">
      <c r="A219" s="23" t="n">
        <v>46232</v>
      </c>
      <c r="B219" s="12"/>
      <c r="C219" s="12" t="n">
        <v>46232</v>
      </c>
      <c r="D219" s="10" t="s">
        <v>436</v>
      </c>
      <c r="E219" s="10" t="s">
        <v>63</v>
      </c>
      <c r="F219" s="13" t="s">
        <v>443</v>
      </c>
      <c r="G219" s="14" t="s">
        <v>49</v>
      </c>
      <c r="H219" s="10" t="s">
        <v>50</v>
      </c>
      <c r="I219" s="15" t="n">
        <v>6.03</v>
      </c>
      <c r="J219" s="10" t="s">
        <v>77</v>
      </c>
      <c r="K219" s="15" t="n">
        <v>141</v>
      </c>
      <c r="L219" s="11" t="n">
        <v>850.23</v>
      </c>
      <c r="M219" s="11" t="n">
        <v>0</v>
      </c>
      <c r="N219" s="10" t="s">
        <v>64</v>
      </c>
      <c r="O219" s="10" t="s">
        <v>67</v>
      </c>
      <c r="P219" s="10"/>
      <c r="Q219" s="16" t="n">
        <v>0</v>
      </c>
      <c r="R219" s="10"/>
      <c r="S219" s="10"/>
      <c r="T219" s="10" t="n">
        <v>0</v>
      </c>
      <c r="U219" s="11" t="n">
        <f aca="false">IF(E219="TRANSPORT",IF(T219="","",T219*5),IF(AL219="","",AL219))</f>
        <v>0</v>
      </c>
      <c r="V219" s="10" t="s">
        <v>54</v>
      </c>
      <c r="W219" s="15" t="s">
        <v>70</v>
      </c>
      <c r="X219" s="15"/>
      <c r="Y219" s="17" t="n">
        <v>46237.4555787037</v>
      </c>
      <c r="Z219" s="18" t="n">
        <f aca="false">IF(I219="",0,IF(ISNUMBER(SEARCH("mp",LOWER(J219))),I219,IF(ISNUMBER(SEARCH("ton",LOWER(J219))),I219/0.33,IF(ISNUMBER(SEARCH("m3",LOWER(J219))),I219*4,I219))))</f>
        <v>24.12</v>
      </c>
      <c r="AA219" s="18" t="n">
        <f aca="false">IF(I219="",0,IF(ISNUMBER(SEARCH("mp",LOWER(J219))),I219*0.33,IF(ISNUMBER(SEARCH("ton",LOWER(J219))),I219,I219*0.33)))</f>
        <v>1.9899</v>
      </c>
      <c r="AB219" s="18" t="n">
        <f aca="false">Tabela_dane[[#This Row],[Wolumen_t]]*8.5</f>
        <v>16.91415</v>
      </c>
      <c r="AC219" s="18" t="n">
        <f aca="false">IF(G219&lt;&gt;"TAK",0,IF(OR(E219="ZAKUP",E219="PRODUKCJA"),Z219,IF(OR(E219="SPRZEDAŻ",E219="ZUŻYCIE"),-Z219,0)))</f>
        <v>24.12</v>
      </c>
      <c r="AD219" s="18" t="n">
        <f aca="false">IF(G219&lt;&gt;"TAK",0,IF(OR(E219="ZAKUP",E219="PRODUKCJA"),AA219,IF(OR(E219="SPRZEDAŻ",E219="ZUŻYCIE"),-AA219,0)))</f>
        <v>1.9899</v>
      </c>
      <c r="AE219" s="19" t="n">
        <f aca="false">IF(E219="ZAKUP",IF(L219&lt;&gt;"",L219,IF(K219&lt;&gt;"",Z219*K219,0)),0)</f>
        <v>850.23</v>
      </c>
      <c r="AF219" s="19" t="n">
        <f aca="false">IF(E219="SPRZEDAŻ",IF(M219&lt;&gt;"",Z219*M219,0),0)</f>
        <v>0</v>
      </c>
      <c r="AG219" s="19" t="str">
        <f aca="false">IF(R219="","",IF(LOWER(R219)="brak","Brak",IF(OR(ISNUMBER(SEARCH("ric pl",LOWER(R219))),ISNUMBER(SEARCH("wojciechowski",LOWER(R219)))),"Własny","Zewnętrzny")))</f>
        <v/>
      </c>
      <c r="AH219" s="19" t="n">
        <f aca="false">Z219*Q219</f>
        <v>0</v>
      </c>
      <c r="AI219" s="19" t="str">
        <f aca="false">UPPER(TEXT(C219,"mmmm"))</f>
        <v>JULY</v>
      </c>
      <c r="AJ219" s="19" t="str">
        <f aca="false">IF(C219="","",TEXT(C219,"rrrr"))</f>
        <v>CE5786CE5786</v>
      </c>
      <c r="AK219" s="10"/>
      <c r="AL219" s="11" t="n">
        <v>0</v>
      </c>
      <c r="AM219" s="10" t="s">
        <v>444</v>
      </c>
      <c r="AN219" s="10" t="s">
        <v>59</v>
      </c>
      <c r="AO219" s="10"/>
      <c r="AP219" s="10"/>
      <c r="AQ219" s="10"/>
      <c r="AR219" s="10" t="s">
        <v>66</v>
      </c>
      <c r="AS219" s="10"/>
      <c r="AT219" s="15" t="n">
        <v>1</v>
      </c>
    </row>
    <row r="220" customFormat="false" ht="28.5" hidden="false" customHeight="true" outlineLevel="0" collapsed="false">
      <c r="A220" s="23" t="n">
        <v>46232</v>
      </c>
      <c r="B220" s="12"/>
      <c r="C220" s="12" t="n">
        <v>46232</v>
      </c>
      <c r="D220" s="10" t="s">
        <v>54</v>
      </c>
      <c r="E220" s="10" t="s">
        <v>47</v>
      </c>
      <c r="F220" s="13" t="s">
        <v>443</v>
      </c>
      <c r="G220" s="14" t="s">
        <v>49</v>
      </c>
      <c r="H220" s="10" t="s">
        <v>50</v>
      </c>
      <c r="I220" s="15" t="n">
        <v>24</v>
      </c>
      <c r="J220" s="10" t="s">
        <v>51</v>
      </c>
      <c r="K220" s="15" t="n">
        <v>0</v>
      </c>
      <c r="L220" s="11" t="n">
        <v>0</v>
      </c>
      <c r="M220" s="11" t="n">
        <v>0</v>
      </c>
      <c r="N220" s="10" t="s">
        <v>52</v>
      </c>
      <c r="O220" s="10" t="s">
        <v>67</v>
      </c>
      <c r="P220" s="10" t="s">
        <v>53</v>
      </c>
      <c r="Q220" s="16" t="n">
        <v>10</v>
      </c>
      <c r="R220" s="10"/>
      <c r="S220" s="10"/>
      <c r="T220" s="10" t="n">
        <v>0</v>
      </c>
      <c r="U220" s="11" t="n">
        <f aca="false">IF(E220="TRANSPORT",IF(T220="","",T220*5),IF(AL220="","",AL220))</f>
        <v>0</v>
      </c>
      <c r="V220" s="10" t="s">
        <v>54</v>
      </c>
      <c r="W220" s="15" t="s">
        <v>65</v>
      </c>
      <c r="X220" s="15"/>
      <c r="Y220" s="17" t="n">
        <v>46237.4569097222</v>
      </c>
      <c r="Z220" s="18" t="n">
        <f aca="false">IF(I220="",0,IF(ISNUMBER(SEARCH("mp",LOWER(J220))),I220,IF(ISNUMBER(SEARCH("ton",LOWER(J220))),I220/0.33,IF(ISNUMBER(SEARCH("m3",LOWER(J220))),I220*4,I220))))</f>
        <v>24</v>
      </c>
      <c r="AA220" s="18" t="n">
        <f aca="false">IF(I220="",0,IF(ISNUMBER(SEARCH("mp",LOWER(J220))),I220*0.33,IF(ISNUMBER(SEARCH("ton",LOWER(J220))),I220,I220*0.33)))</f>
        <v>7.92</v>
      </c>
      <c r="AB220" s="18" t="n">
        <f aca="false">Tabela_dane[[#This Row],[Wolumen_t]]*8.5</f>
        <v>67.32</v>
      </c>
      <c r="AC220" s="18" t="n">
        <f aca="false">IF(G220&lt;&gt;"TAK",0,IF(OR(E220="ZAKUP",E220="PRODUKCJA"),Z220,IF(OR(E220="SPRZEDAŻ",E220="ZUŻYCIE"),-Z220,0)))</f>
        <v>24</v>
      </c>
      <c r="AD220" s="18" t="n">
        <f aca="false">IF(G220&lt;&gt;"TAK",0,IF(OR(E220="ZAKUP",E220="PRODUKCJA"),AA220,IF(OR(E220="SPRZEDAŻ",E220="ZUŻYCIE"),-AA220,0)))</f>
        <v>7.92</v>
      </c>
      <c r="AE220" s="19" t="n">
        <f aca="false">IF(E220="ZAKUP",IF(L220&lt;&gt;"",L220,IF(K220&lt;&gt;"",Z220*K220,0)),0)</f>
        <v>0</v>
      </c>
      <c r="AF220" s="19" t="n">
        <f aca="false">IF(E220="SPRZEDAŻ",IF(M220&lt;&gt;"",Z220*M220,0),0)</f>
        <v>0</v>
      </c>
      <c r="AG220" s="19" t="str">
        <f aca="false">IF(R220="","",IF(LOWER(R220)="brak","Brak",IF(OR(ISNUMBER(SEARCH("ric pl",LOWER(R220))),ISNUMBER(SEARCH("wojciechowski",LOWER(R220)))),"Własny","Zewnętrzny")))</f>
        <v/>
      </c>
      <c r="AH220" s="19" t="n">
        <f aca="false">Z220*Q220</f>
        <v>240</v>
      </c>
      <c r="AI220" s="19" t="str">
        <f aca="false">UPPER(TEXT(C220,"mmmm"))</f>
        <v>JULY</v>
      </c>
      <c r="AJ220" s="19" t="str">
        <f aca="false">IF(C220="","",TEXT(C220,"rrrr"))</f>
        <v>CE5786CE5786</v>
      </c>
      <c r="AK220" s="10"/>
      <c r="AL220" s="11" t="n">
        <v>0</v>
      </c>
      <c r="AM220" s="10" t="s">
        <v>445</v>
      </c>
      <c r="AN220" s="10" t="s">
        <v>59</v>
      </c>
      <c r="AO220" s="10"/>
      <c r="AP220" s="10"/>
      <c r="AQ220" s="10"/>
      <c r="AR220" s="10" t="s">
        <v>66</v>
      </c>
      <c r="AS220" s="10"/>
      <c r="AT220" s="15" t="n">
        <v>1</v>
      </c>
    </row>
    <row r="221" customFormat="false" ht="28.5" hidden="false" customHeight="true" outlineLevel="0" collapsed="false">
      <c r="A221" s="23" t="n">
        <v>46232</v>
      </c>
      <c r="B221" s="12"/>
      <c r="C221" s="12" t="n">
        <v>46232</v>
      </c>
      <c r="D221" s="10" t="s">
        <v>54</v>
      </c>
      <c r="E221" s="10" t="s">
        <v>79</v>
      </c>
      <c r="F221" s="13" t="s">
        <v>443</v>
      </c>
      <c r="G221" s="14" t="s">
        <v>49</v>
      </c>
      <c r="H221" s="10" t="s">
        <v>50</v>
      </c>
      <c r="I221" s="15" t="n">
        <v>24</v>
      </c>
      <c r="J221" s="10" t="s">
        <v>51</v>
      </c>
      <c r="K221" s="15" t="n">
        <v>0</v>
      </c>
      <c r="L221" s="11" t="n">
        <v>0</v>
      </c>
      <c r="M221" s="11" t="n">
        <v>0</v>
      </c>
      <c r="N221" s="10" t="s">
        <v>52</v>
      </c>
      <c r="O221" s="10" t="s">
        <v>67</v>
      </c>
      <c r="P221" s="10" t="s">
        <v>53</v>
      </c>
      <c r="Q221" s="16" t="n">
        <v>10</v>
      </c>
      <c r="R221" s="10"/>
      <c r="S221" s="10"/>
      <c r="T221" s="10" t="n">
        <v>0</v>
      </c>
      <c r="U221" s="11" t="n">
        <f aca="false">IF(E221="TRANSPORT",IF(T221="","",T221*5),IF(AL221="","",AL221))</f>
        <v>0</v>
      </c>
      <c r="V221" s="10" t="s">
        <v>54</v>
      </c>
      <c r="W221" s="15" t="s">
        <v>260</v>
      </c>
      <c r="X221" s="15"/>
      <c r="Y221" s="17" t="n">
        <v>46237.4569097222</v>
      </c>
      <c r="Z221" s="18" t="n">
        <f aca="false">IF(I221="",0,IF(ISNUMBER(SEARCH("mp",LOWER(J221))),I221,IF(ISNUMBER(SEARCH("ton",LOWER(J221))),I221/0.33,IF(ISNUMBER(SEARCH("m3",LOWER(J221))),I221*4,I221))))</f>
        <v>24</v>
      </c>
      <c r="AA221" s="18" t="n">
        <f aca="false">IF(I221="",0,IF(ISNUMBER(SEARCH("mp",LOWER(J221))),I221*0.33,IF(ISNUMBER(SEARCH("ton",LOWER(J221))),I221,I221*0.33)))</f>
        <v>7.92</v>
      </c>
      <c r="AB221" s="18" t="n">
        <f aca="false">Tabela_dane[[#This Row],[Wolumen_t]]*8.5</f>
        <v>67.32</v>
      </c>
      <c r="AC221" s="18" t="n">
        <f aca="false">IF(G221&lt;&gt;"TAK",0,IF(OR(E221="ZAKUP",E221="PRODUKCJA"),Z221,IF(OR(E221="SPRZEDAŻ",E221="ZUŻYCIE"),-Z221,0)))</f>
        <v>-24</v>
      </c>
      <c r="AD221" s="18" t="n">
        <f aca="false">IF(G221&lt;&gt;"TAK",0,IF(OR(E221="ZAKUP",E221="PRODUKCJA"),AA221,IF(OR(E221="SPRZEDAŻ",E221="ZUŻYCIE"),-AA221,0)))</f>
        <v>-7.92</v>
      </c>
      <c r="AE221" s="19" t="n">
        <f aca="false">IF(E221="ZAKUP",IF(L221&lt;&gt;"",L221,IF(K221&lt;&gt;"",Z221*K221,0)),0)</f>
        <v>0</v>
      </c>
      <c r="AF221" s="19" t="n">
        <f aca="false">IF(E221="SPRZEDAŻ",IF(M221&lt;&gt;"",Z221*M221,0),0)</f>
        <v>0</v>
      </c>
      <c r="AG221" s="19" t="str">
        <f aca="false">IF(R221="","",IF(LOWER(R221)="brak","Brak",IF(OR(ISNUMBER(SEARCH("ric pl",LOWER(R221))),ISNUMBER(SEARCH("wojciechowski",LOWER(R221)))),"Własny","Zewnętrzny")))</f>
        <v/>
      </c>
      <c r="AH221" s="19" t="n">
        <f aca="false">Z221*Q221</f>
        <v>240</v>
      </c>
      <c r="AI221" s="19" t="str">
        <f aca="false">UPPER(TEXT(C221,"mmmm"))</f>
        <v>JULY</v>
      </c>
      <c r="AJ221" s="19" t="str">
        <f aca="false">IF(C221="","",TEXT(C221,"rrrr"))</f>
        <v>CE5786CE5786</v>
      </c>
      <c r="AK221" s="10"/>
      <c r="AL221" s="11" t="n">
        <v>0</v>
      </c>
      <c r="AM221" s="10" t="s">
        <v>445</v>
      </c>
      <c r="AN221" s="10" t="s">
        <v>59</v>
      </c>
      <c r="AO221" s="10"/>
      <c r="AP221" s="10"/>
      <c r="AQ221" s="10"/>
      <c r="AR221" s="10" t="s">
        <v>81</v>
      </c>
      <c r="AS221" s="10"/>
      <c r="AT221" s="15" t="n">
        <v>1</v>
      </c>
    </row>
    <row r="222" customFormat="false" ht="28.5" hidden="false" customHeight="true" outlineLevel="0" collapsed="false">
      <c r="A222" s="23" t="n">
        <v>46232</v>
      </c>
      <c r="B222" s="12" t="s">
        <v>440</v>
      </c>
      <c r="C222" s="12" t="n">
        <v>46232</v>
      </c>
      <c r="D222" s="10" t="s">
        <v>54</v>
      </c>
      <c r="E222" s="10" t="s">
        <v>63</v>
      </c>
      <c r="F222" s="13" t="s">
        <v>446</v>
      </c>
      <c r="G222" s="14" t="s">
        <v>49</v>
      </c>
      <c r="H222" s="10" t="s">
        <v>50</v>
      </c>
      <c r="I222" s="15" t="n">
        <v>24</v>
      </c>
      <c r="J222" s="10" t="s">
        <v>51</v>
      </c>
      <c r="K222" s="15" t="n">
        <v>0</v>
      </c>
      <c r="L222" s="11" t="n">
        <v>0</v>
      </c>
      <c r="M222" s="11" t="n">
        <v>0</v>
      </c>
      <c r="N222" s="10" t="s">
        <v>52</v>
      </c>
      <c r="O222" s="10" t="s">
        <v>67</v>
      </c>
      <c r="P222" s="10"/>
      <c r="Q222" s="16" t="n">
        <v>0</v>
      </c>
      <c r="R222" s="10" t="s">
        <v>94</v>
      </c>
      <c r="S222" s="10" t="s">
        <v>95</v>
      </c>
      <c r="T222" s="10" t="n">
        <v>200</v>
      </c>
      <c r="U222" s="11" t="n">
        <f aca="false">IF(E222="TRANSPORT",IF(T222="","",T222*5),IF(AL222="","",AL222))</f>
        <v>1000</v>
      </c>
      <c r="V222" s="10" t="s">
        <v>54</v>
      </c>
      <c r="W222" s="15" t="s">
        <v>65</v>
      </c>
      <c r="X222" s="15"/>
      <c r="Y222" s="17" t="n">
        <v>46237.4579861111</v>
      </c>
      <c r="Z222" s="18" t="n">
        <f aca="false">IF(I222="",0,IF(ISNUMBER(SEARCH("mp",LOWER(J222))),I222,IF(ISNUMBER(SEARCH("ton",LOWER(J222))),I222/0.33,IF(ISNUMBER(SEARCH("m3",LOWER(J222))),I222*4,I222))))</f>
        <v>24</v>
      </c>
      <c r="AA222" s="18" t="n">
        <f aca="false">IF(I222="",0,IF(ISNUMBER(SEARCH("mp",LOWER(J222))),I222*0.33,IF(ISNUMBER(SEARCH("ton",LOWER(J222))),I222,I222*0.33)))</f>
        <v>7.92</v>
      </c>
      <c r="AB222" s="18" t="n">
        <f aca="false">Tabela_dane[[#This Row],[Wolumen_t]]*8.5</f>
        <v>67.32</v>
      </c>
      <c r="AC222" s="18" t="n">
        <f aca="false">IF(G222&lt;&gt;"TAK",0,IF(OR(E222="ZAKUP",E222="PRODUKCJA"),Z222,IF(OR(E222="SPRZEDAŻ",E222="ZUŻYCIE"),-Z222,0)))</f>
        <v>24</v>
      </c>
      <c r="AD222" s="18" t="n">
        <f aca="false">IF(G222&lt;&gt;"TAK",0,IF(OR(E222="ZAKUP",E222="PRODUKCJA"),AA222,IF(OR(E222="SPRZEDAŻ",E222="ZUŻYCIE"),-AA222,0)))</f>
        <v>7.92</v>
      </c>
      <c r="AE222" s="19" t="n">
        <f aca="false">IF(E222="ZAKUP",IF(L222&lt;&gt;"",L222,IF(K222&lt;&gt;"",Z222*K222,0)),0)</f>
        <v>0</v>
      </c>
      <c r="AF222" s="19" t="n">
        <f aca="false">IF(E222="SPRZEDAŻ",IF(M222&lt;&gt;"",Z222*M222,0),0)</f>
        <v>0</v>
      </c>
      <c r="AG222" s="19" t="str">
        <f aca="false">IF(R222="","",IF(LOWER(R222)="brak","Brak",IF(OR(ISNUMBER(SEARCH("ric pl",LOWER(R222))),ISNUMBER(SEARCH("wojciechowski",LOWER(R222)))),"Własny","Zewnętrzny")))</f>
        <v>Zewnętrzny</v>
      </c>
      <c r="AH222" s="19" t="n">
        <f aca="false">Z222*Q222</f>
        <v>0</v>
      </c>
      <c r="AI222" s="19" t="str">
        <f aca="false">UPPER(TEXT(C222,"mmmm"))</f>
        <v>JULY</v>
      </c>
      <c r="AJ222" s="19" t="str">
        <f aca="false">IF(C222="","",TEXT(C222,"rrrr"))</f>
        <v>CE5786CE5786</v>
      </c>
      <c r="AK222" s="10"/>
      <c r="AL222" s="11" t="n">
        <v>1000</v>
      </c>
      <c r="AM222" s="10" t="s">
        <v>447</v>
      </c>
      <c r="AN222" s="10" t="s">
        <v>49</v>
      </c>
      <c r="AO222" s="10"/>
      <c r="AP222" s="10"/>
      <c r="AQ222" s="10"/>
      <c r="AR222" s="10" t="s">
        <v>66</v>
      </c>
      <c r="AS222" s="10"/>
      <c r="AT222" s="15" t="n">
        <v>1</v>
      </c>
    </row>
    <row r="223" customFormat="false" ht="28.5" hidden="false" customHeight="true" outlineLevel="0" collapsed="false">
      <c r="A223" s="23" t="n">
        <v>46232</v>
      </c>
      <c r="B223" s="12"/>
      <c r="C223" s="12" t="n">
        <v>46232</v>
      </c>
      <c r="D223" s="10" t="s">
        <v>436</v>
      </c>
      <c r="E223" s="10" t="s">
        <v>63</v>
      </c>
      <c r="F223" s="13" t="s">
        <v>448</v>
      </c>
      <c r="G223" s="14" t="s">
        <v>49</v>
      </c>
      <c r="H223" s="10" t="s">
        <v>50</v>
      </c>
      <c r="I223" s="15" t="n">
        <v>20.1</v>
      </c>
      <c r="J223" s="10" t="s">
        <v>77</v>
      </c>
      <c r="K223" s="15" t="n">
        <v>141</v>
      </c>
      <c r="L223" s="11" t="n">
        <v>2834.1</v>
      </c>
      <c r="M223" s="11" t="n">
        <v>0</v>
      </c>
      <c r="N223" s="10" t="s">
        <v>64</v>
      </c>
      <c r="O223" s="10" t="s">
        <v>67</v>
      </c>
      <c r="P223" s="10"/>
      <c r="Q223" s="16" t="n">
        <v>0</v>
      </c>
      <c r="R223" s="10"/>
      <c r="S223" s="10"/>
      <c r="T223" s="10" t="n">
        <v>0</v>
      </c>
      <c r="U223" s="11" t="n">
        <f aca="false">IF(E223="TRANSPORT",IF(T223="","",T223*5),IF(AL223="","",AL223))</f>
        <v>0</v>
      </c>
      <c r="V223" s="10" t="s">
        <v>54</v>
      </c>
      <c r="W223" s="15" t="s">
        <v>65</v>
      </c>
      <c r="X223" s="15"/>
      <c r="Y223" s="17" t="n">
        <v>46237.4601273148</v>
      </c>
      <c r="Z223" s="18" t="n">
        <f aca="false">IF(I223="",0,IF(ISNUMBER(SEARCH("mp",LOWER(J223))),I223,IF(ISNUMBER(SEARCH("ton",LOWER(J223))),I223/0.33,IF(ISNUMBER(SEARCH("m3",LOWER(J223))),I223*4,I223))))</f>
        <v>80.4</v>
      </c>
      <c r="AA223" s="18" t="n">
        <f aca="false">IF(I223="",0,IF(ISNUMBER(SEARCH("mp",LOWER(J223))),I223*0.33,IF(ISNUMBER(SEARCH("ton",LOWER(J223))),I223,I223*0.33)))</f>
        <v>6.633</v>
      </c>
      <c r="AB223" s="18" t="n">
        <f aca="false">Tabela_dane[[#This Row],[Wolumen_t]]*8.5</f>
        <v>56.3805</v>
      </c>
      <c r="AC223" s="18" t="n">
        <f aca="false">IF(G223&lt;&gt;"TAK",0,IF(OR(E223="ZAKUP",E223="PRODUKCJA"),Z223,IF(OR(E223="SPRZEDAŻ",E223="ZUŻYCIE"),-Z223,0)))</f>
        <v>80.4</v>
      </c>
      <c r="AD223" s="18" t="n">
        <f aca="false">IF(G223&lt;&gt;"TAK",0,IF(OR(E223="ZAKUP",E223="PRODUKCJA"),AA223,IF(OR(E223="SPRZEDAŻ",E223="ZUŻYCIE"),-AA223,0)))</f>
        <v>6.633</v>
      </c>
      <c r="AE223" s="19" t="n">
        <f aca="false">IF(E223="ZAKUP",IF(L223&lt;&gt;"",L223,IF(K223&lt;&gt;"",Z223*K223,0)),0)</f>
        <v>2834.1</v>
      </c>
      <c r="AF223" s="19" t="n">
        <f aca="false">IF(E223="SPRZEDAŻ",IF(M223&lt;&gt;"",Z223*M223,0),0)</f>
        <v>0</v>
      </c>
      <c r="AG223" s="19" t="str">
        <f aca="false">IF(R223="","",IF(LOWER(R223)="brak","Brak",IF(OR(ISNUMBER(SEARCH("ric pl",LOWER(R223))),ISNUMBER(SEARCH("wojciechowski",LOWER(R223)))),"Własny","Zewnętrzny")))</f>
        <v/>
      </c>
      <c r="AH223" s="19" t="n">
        <f aca="false">Z223*Q223</f>
        <v>0</v>
      </c>
      <c r="AI223" s="19" t="str">
        <f aca="false">UPPER(TEXT(C223,"mmmm"))</f>
        <v>JULY</v>
      </c>
      <c r="AJ223" s="19" t="str">
        <f aca="false">IF(C223="","",TEXT(C223,"rrrr"))</f>
        <v>CE5786CE5786</v>
      </c>
      <c r="AK223" s="10"/>
      <c r="AL223" s="11" t="n">
        <v>0</v>
      </c>
      <c r="AM223" s="10" t="s">
        <v>449</v>
      </c>
      <c r="AN223" s="10" t="s">
        <v>59</v>
      </c>
      <c r="AO223" s="10"/>
      <c r="AP223" s="10"/>
      <c r="AQ223" s="10"/>
      <c r="AR223" s="10" t="s">
        <v>66</v>
      </c>
      <c r="AS223" s="10"/>
      <c r="AT223" s="15" t="n">
        <v>1</v>
      </c>
    </row>
    <row r="224" customFormat="false" ht="28.5" hidden="false" customHeight="true" outlineLevel="0" collapsed="false">
      <c r="A224" s="23" t="n">
        <v>46232</v>
      </c>
      <c r="B224" s="12"/>
      <c r="C224" s="12" t="n">
        <v>46232</v>
      </c>
      <c r="D224" s="10" t="s">
        <v>54</v>
      </c>
      <c r="E224" s="10" t="s">
        <v>47</v>
      </c>
      <c r="F224" s="13" t="s">
        <v>448</v>
      </c>
      <c r="G224" s="14" t="s">
        <v>49</v>
      </c>
      <c r="H224" s="10" t="s">
        <v>50</v>
      </c>
      <c r="I224" s="15" t="n">
        <v>80.4</v>
      </c>
      <c r="J224" s="10" t="s">
        <v>51</v>
      </c>
      <c r="K224" s="15" t="n">
        <v>0</v>
      </c>
      <c r="L224" s="11" t="n">
        <v>0</v>
      </c>
      <c r="M224" s="11" t="n">
        <v>0</v>
      </c>
      <c r="N224" s="10" t="s">
        <v>52</v>
      </c>
      <c r="O224" s="10" t="s">
        <v>67</v>
      </c>
      <c r="P224" s="10" t="s">
        <v>53</v>
      </c>
      <c r="Q224" s="16" t="n">
        <v>10</v>
      </c>
      <c r="R224" s="10"/>
      <c r="S224" s="10"/>
      <c r="T224" s="10" t="n">
        <v>0</v>
      </c>
      <c r="U224" s="11" t="n">
        <f aca="false">IF(E224="TRANSPORT",IF(T224="","",T224*5),IF(AL224="","",AL224))</f>
        <v>0</v>
      </c>
      <c r="V224" s="10" t="s">
        <v>54</v>
      </c>
      <c r="W224" s="15" t="s">
        <v>70</v>
      </c>
      <c r="X224" s="15"/>
      <c r="Y224" s="17" t="n">
        <v>46237.4609722222</v>
      </c>
      <c r="Z224" s="18" t="n">
        <f aca="false">IF(I224="",0,IF(ISNUMBER(SEARCH("mp",LOWER(J224))),I224,IF(ISNUMBER(SEARCH("ton",LOWER(J224))),I224/0.33,IF(ISNUMBER(SEARCH("m3",LOWER(J224))),I224*4,I224))))</f>
        <v>80.4</v>
      </c>
      <c r="AA224" s="18" t="n">
        <f aca="false">IF(I224="",0,IF(ISNUMBER(SEARCH("mp",LOWER(J224))),I224*0.33,IF(ISNUMBER(SEARCH("ton",LOWER(J224))),I224,I224*0.33)))</f>
        <v>26.532</v>
      </c>
      <c r="AB224" s="18" t="n">
        <f aca="false">Tabela_dane[[#This Row],[Wolumen_t]]*8.5</f>
        <v>225.522</v>
      </c>
      <c r="AC224" s="18" t="n">
        <f aca="false">IF(G224&lt;&gt;"TAK",0,IF(OR(E224="ZAKUP",E224="PRODUKCJA"),Z224,IF(OR(E224="SPRZEDAŻ",E224="ZUŻYCIE"),-Z224,0)))</f>
        <v>80.4</v>
      </c>
      <c r="AD224" s="18" t="n">
        <f aca="false">IF(G224&lt;&gt;"TAK",0,IF(OR(E224="ZAKUP",E224="PRODUKCJA"),AA224,IF(OR(E224="SPRZEDAŻ",E224="ZUŻYCIE"),-AA224,0)))</f>
        <v>26.532</v>
      </c>
      <c r="AE224" s="19" t="n">
        <f aca="false">IF(E224="ZAKUP",IF(L224&lt;&gt;"",L224,IF(K224&lt;&gt;"",Z224*K224,0)),0)</f>
        <v>0</v>
      </c>
      <c r="AF224" s="19" t="n">
        <f aca="false">IF(E224="SPRZEDAŻ",IF(M224&lt;&gt;"",Z224*M224,0),0)</f>
        <v>0</v>
      </c>
      <c r="AG224" s="19" t="str">
        <f aca="false">IF(R224="","",IF(LOWER(R224)="brak","Brak",IF(OR(ISNUMBER(SEARCH("ric pl",LOWER(R224))),ISNUMBER(SEARCH("wojciechowski",LOWER(R224)))),"Własny","Zewnętrzny")))</f>
        <v/>
      </c>
      <c r="AH224" s="19" t="n">
        <f aca="false">Z224*Q224</f>
        <v>804</v>
      </c>
      <c r="AI224" s="19" t="str">
        <f aca="false">UPPER(TEXT(C224,"mmmm"))</f>
        <v>JULY</v>
      </c>
      <c r="AJ224" s="19" t="str">
        <f aca="false">IF(C224="","",TEXT(C224,"rrrr"))</f>
        <v>CE5786CE5786</v>
      </c>
      <c r="AK224" s="10"/>
      <c r="AL224" s="11" t="n">
        <v>0</v>
      </c>
      <c r="AM224" s="10" t="s">
        <v>450</v>
      </c>
      <c r="AN224" s="10" t="s">
        <v>59</v>
      </c>
      <c r="AO224" s="10"/>
      <c r="AP224" s="10"/>
      <c r="AQ224" s="10"/>
      <c r="AR224" s="10" t="s">
        <v>66</v>
      </c>
      <c r="AS224" s="10"/>
      <c r="AT224" s="15" t="n">
        <v>1</v>
      </c>
    </row>
    <row r="225" customFormat="false" ht="28.5" hidden="false" customHeight="true" outlineLevel="0" collapsed="false">
      <c r="A225" s="23" t="n">
        <v>46232</v>
      </c>
      <c r="B225" s="12"/>
      <c r="C225" s="12" t="n">
        <v>46232</v>
      </c>
      <c r="D225" s="10" t="s">
        <v>54</v>
      </c>
      <c r="E225" s="10" t="s">
        <v>79</v>
      </c>
      <c r="F225" s="13" t="s">
        <v>448</v>
      </c>
      <c r="G225" s="14" t="s">
        <v>49</v>
      </c>
      <c r="H225" s="10" t="s">
        <v>50</v>
      </c>
      <c r="I225" s="15" t="n">
        <v>80.4</v>
      </c>
      <c r="J225" s="10" t="s">
        <v>51</v>
      </c>
      <c r="K225" s="15" t="n">
        <v>0</v>
      </c>
      <c r="L225" s="11" t="n">
        <v>0</v>
      </c>
      <c r="M225" s="11" t="n">
        <v>0</v>
      </c>
      <c r="N225" s="10" t="s">
        <v>52</v>
      </c>
      <c r="O225" s="10" t="s">
        <v>67</v>
      </c>
      <c r="P225" s="10" t="s">
        <v>53</v>
      </c>
      <c r="Q225" s="16" t="n">
        <v>10</v>
      </c>
      <c r="R225" s="10"/>
      <c r="S225" s="10"/>
      <c r="T225" s="10" t="n">
        <v>0</v>
      </c>
      <c r="U225" s="11" t="n">
        <f aca="false">IF(E225="TRANSPORT",IF(T225="","",T225*5),IF(AL225="","",AL225))</f>
        <v>0</v>
      </c>
      <c r="V225" s="10" t="s">
        <v>54</v>
      </c>
      <c r="W225" s="15" t="s">
        <v>260</v>
      </c>
      <c r="X225" s="15"/>
      <c r="Y225" s="17" t="n">
        <v>46237.4609722222</v>
      </c>
      <c r="Z225" s="18" t="n">
        <f aca="false">IF(I225="",0,IF(ISNUMBER(SEARCH("mp",LOWER(J225))),I225,IF(ISNUMBER(SEARCH("ton",LOWER(J225))),I225/0.33,IF(ISNUMBER(SEARCH("m3",LOWER(J225))),I225*4,I225))))</f>
        <v>80.4</v>
      </c>
      <c r="AA225" s="18" t="n">
        <f aca="false">IF(I225="",0,IF(ISNUMBER(SEARCH("mp",LOWER(J225))),I225*0.33,IF(ISNUMBER(SEARCH("ton",LOWER(J225))),I225,I225*0.33)))</f>
        <v>26.532</v>
      </c>
      <c r="AB225" s="18" t="n">
        <f aca="false">Tabela_dane[[#This Row],[Wolumen_t]]*8.5</f>
        <v>225.522</v>
      </c>
      <c r="AC225" s="18" t="n">
        <f aca="false">IF(G225&lt;&gt;"TAK",0,IF(OR(E225="ZAKUP",E225="PRODUKCJA"),Z225,IF(OR(E225="SPRZEDAŻ",E225="ZUŻYCIE"),-Z225,0)))</f>
        <v>-80.4</v>
      </c>
      <c r="AD225" s="18" t="n">
        <f aca="false">IF(G225&lt;&gt;"TAK",0,IF(OR(E225="ZAKUP",E225="PRODUKCJA"),AA225,IF(OR(E225="SPRZEDAŻ",E225="ZUŻYCIE"),-AA225,0)))</f>
        <v>-26.532</v>
      </c>
      <c r="AE225" s="19" t="n">
        <f aca="false">IF(E225="ZAKUP",IF(L225&lt;&gt;"",L225,IF(K225&lt;&gt;"",Z225*K225,0)),0)</f>
        <v>0</v>
      </c>
      <c r="AF225" s="19" t="n">
        <f aca="false">IF(E225="SPRZEDAŻ",IF(M225&lt;&gt;"",Z225*M225,0),0)</f>
        <v>0</v>
      </c>
      <c r="AG225" s="19" t="str">
        <f aca="false">IF(R225="","",IF(LOWER(R225)="brak","Brak",IF(OR(ISNUMBER(SEARCH("ric pl",LOWER(R225))),ISNUMBER(SEARCH("wojciechowski",LOWER(R225)))),"Własny","Zewnętrzny")))</f>
        <v/>
      </c>
      <c r="AH225" s="19" t="n">
        <f aca="false">Z225*Q225</f>
        <v>804</v>
      </c>
      <c r="AI225" s="19" t="str">
        <f aca="false">UPPER(TEXT(C225,"mmmm"))</f>
        <v>JULY</v>
      </c>
      <c r="AJ225" s="19" t="str">
        <f aca="false">IF(C225="","",TEXT(C225,"rrrr"))</f>
        <v>CE5786CE5786</v>
      </c>
      <c r="AK225" s="10"/>
      <c r="AL225" s="11" t="n">
        <v>0</v>
      </c>
      <c r="AM225" s="10" t="s">
        <v>450</v>
      </c>
      <c r="AN225" s="10" t="s">
        <v>59</v>
      </c>
      <c r="AO225" s="10"/>
      <c r="AP225" s="10"/>
      <c r="AQ225" s="10"/>
      <c r="AR225" s="10" t="s">
        <v>81</v>
      </c>
      <c r="AS225" s="10"/>
      <c r="AT225" s="15" t="n">
        <v>1</v>
      </c>
    </row>
    <row r="226" customFormat="false" ht="28.5" hidden="false" customHeight="true" outlineLevel="0" collapsed="false">
      <c r="A226" s="23" t="n">
        <v>46232</v>
      </c>
      <c r="B226" s="12" t="s">
        <v>440</v>
      </c>
      <c r="C226" s="12" t="n">
        <v>46232</v>
      </c>
      <c r="D226" s="10" t="s">
        <v>54</v>
      </c>
      <c r="E226" s="10" t="s">
        <v>63</v>
      </c>
      <c r="F226" s="13" t="s">
        <v>451</v>
      </c>
      <c r="G226" s="14" t="s">
        <v>49</v>
      </c>
      <c r="H226" s="10" t="s">
        <v>50</v>
      </c>
      <c r="I226" s="15" t="n">
        <v>80.4</v>
      </c>
      <c r="J226" s="10" t="s">
        <v>51</v>
      </c>
      <c r="K226" s="15" t="n">
        <v>0</v>
      </c>
      <c r="L226" s="11" t="n">
        <v>0</v>
      </c>
      <c r="M226" s="11" t="n">
        <v>0</v>
      </c>
      <c r="N226" s="10" t="s">
        <v>52</v>
      </c>
      <c r="O226" s="10" t="s">
        <v>67</v>
      </c>
      <c r="P226" s="10"/>
      <c r="Q226" s="16" t="n">
        <v>0</v>
      </c>
      <c r="R226" s="10" t="s">
        <v>68</v>
      </c>
      <c r="S226" s="10" t="s">
        <v>69</v>
      </c>
      <c r="T226" s="10" t="n">
        <v>200</v>
      </c>
      <c r="U226" s="11" t="n">
        <f aca="false">IF(E226="TRANSPORT",IF(T226="","",T226*5),IF(AL226="","",AL226))</f>
        <v>1000</v>
      </c>
      <c r="V226" s="10" t="s">
        <v>54</v>
      </c>
      <c r="W226" s="15" t="s">
        <v>70</v>
      </c>
      <c r="X226" s="15"/>
      <c r="Y226" s="17" t="n">
        <v>46237.462025463</v>
      </c>
      <c r="Z226" s="18" t="n">
        <f aca="false">IF(I226="",0,IF(ISNUMBER(SEARCH("mp",LOWER(J226))),I226,IF(ISNUMBER(SEARCH("ton",LOWER(J226))),I226/0.33,IF(ISNUMBER(SEARCH("m3",LOWER(J226))),I226*4,I226))))</f>
        <v>80.4</v>
      </c>
      <c r="AA226" s="18" t="n">
        <f aca="false">IF(I226="",0,IF(ISNUMBER(SEARCH("mp",LOWER(J226))),I226*0.33,IF(ISNUMBER(SEARCH("ton",LOWER(J226))),I226,I226*0.33)))</f>
        <v>26.532</v>
      </c>
      <c r="AB226" s="18" t="n">
        <f aca="false">Tabela_dane[[#This Row],[Wolumen_t]]*8.5</f>
        <v>225.522</v>
      </c>
      <c r="AC226" s="18" t="n">
        <f aca="false">IF(G226&lt;&gt;"TAK",0,IF(OR(E226="ZAKUP",E226="PRODUKCJA"),Z226,IF(OR(E226="SPRZEDAŻ",E226="ZUŻYCIE"),-Z226,0)))</f>
        <v>80.4</v>
      </c>
      <c r="AD226" s="18" t="n">
        <f aca="false">IF(G226&lt;&gt;"TAK",0,IF(OR(E226="ZAKUP",E226="PRODUKCJA"),AA226,IF(OR(E226="SPRZEDAŻ",E226="ZUŻYCIE"),-AA226,0)))</f>
        <v>26.532</v>
      </c>
      <c r="AE226" s="19" t="n">
        <f aca="false">IF(E226="ZAKUP",IF(L226&lt;&gt;"",L226,IF(K226&lt;&gt;"",Z226*K226,0)),0)</f>
        <v>0</v>
      </c>
      <c r="AF226" s="19" t="n">
        <f aca="false">IF(E226="SPRZEDAŻ",IF(M226&lt;&gt;"",Z226*M226,0),0)</f>
        <v>0</v>
      </c>
      <c r="AG226" s="19" t="str">
        <f aca="false">IF(R226="","",IF(LOWER(R226)="brak","Brak",IF(OR(ISNUMBER(SEARCH("ric pl",LOWER(R226))),ISNUMBER(SEARCH("wojciechowski",LOWER(R226)))),"Własny","Zewnętrzny")))</f>
        <v>Zewnętrzny</v>
      </c>
      <c r="AH226" s="19" t="n">
        <f aca="false">Z226*Q226</f>
        <v>0</v>
      </c>
      <c r="AI226" s="19" t="str">
        <f aca="false">UPPER(TEXT(C226,"mmmm"))</f>
        <v>JULY</v>
      </c>
      <c r="AJ226" s="19" t="str">
        <f aca="false">IF(C226="","",TEXT(C226,"rrrr"))</f>
        <v>CE5786CE5786</v>
      </c>
      <c r="AK226" s="10"/>
      <c r="AL226" s="11" t="n">
        <v>1000</v>
      </c>
      <c r="AM226" s="10" t="s">
        <v>452</v>
      </c>
      <c r="AN226" s="10" t="s">
        <v>49</v>
      </c>
      <c r="AO226" s="10"/>
      <c r="AP226" s="10"/>
      <c r="AQ226" s="10"/>
      <c r="AR226" s="10" t="s">
        <v>66</v>
      </c>
      <c r="AS226" s="10"/>
      <c r="AT226" s="15" t="n">
        <v>1</v>
      </c>
    </row>
    <row r="227" customFormat="false" ht="28.5" hidden="false" customHeight="true" outlineLevel="0" collapsed="false">
      <c r="A227" s="23" t="n">
        <v>46232</v>
      </c>
      <c r="B227" s="12"/>
      <c r="C227" s="12" t="n">
        <v>46232</v>
      </c>
      <c r="D227" s="10" t="s">
        <v>46</v>
      </c>
      <c r="E227" s="10" t="s">
        <v>63</v>
      </c>
      <c r="F227" s="20" t="s">
        <v>429</v>
      </c>
      <c r="G227" s="14" t="s">
        <v>49</v>
      </c>
      <c r="H227" s="10" t="s">
        <v>76</v>
      </c>
      <c r="I227" s="15" t="n">
        <v>29.55</v>
      </c>
      <c r="J227" s="10" t="s">
        <v>77</v>
      </c>
      <c r="K227" s="15" t="n">
        <v>230</v>
      </c>
      <c r="L227" s="11" t="n">
        <v>6796.5</v>
      </c>
      <c r="M227" s="11" t="n">
        <v>0</v>
      </c>
      <c r="N227" s="10" t="s">
        <v>64</v>
      </c>
      <c r="O227" s="10"/>
      <c r="P227" s="10"/>
      <c r="Q227" s="16" t="n">
        <v>0</v>
      </c>
      <c r="R227" s="10"/>
      <c r="S227" s="10"/>
      <c r="T227" s="10" t="n">
        <v>0</v>
      </c>
      <c r="U227" s="11" t="n">
        <f aca="false">IF(E227="TRANSPORT",IF(T227="","",T227*5),IF(AL227="","",AL227))</f>
        <v>0</v>
      </c>
      <c r="V227" s="10" t="s">
        <v>54</v>
      </c>
      <c r="W227" s="15" t="s">
        <v>302</v>
      </c>
      <c r="X227" s="15"/>
      <c r="Y227" s="17" t="n">
        <v>46237.4804398148</v>
      </c>
      <c r="Z227" s="18" t="n">
        <f aca="false">IF(I227="",0,IF(ISNUMBER(SEARCH("mp",LOWER(J227))),I227,IF(ISNUMBER(SEARCH("ton",LOWER(J227))),I227/0.33,IF(ISNUMBER(SEARCH("m3",LOWER(J227))),I227*4,I227))))</f>
        <v>118.2</v>
      </c>
      <c r="AA227" s="18" t="n">
        <f aca="false">IF(I227="",0,IF(ISNUMBER(SEARCH("mp",LOWER(J227))),I227*0.33,IF(ISNUMBER(SEARCH("ton",LOWER(J227))),I227,I227*0.33)))</f>
        <v>9.7515</v>
      </c>
      <c r="AB227" s="18" t="n">
        <f aca="false">Tabela_dane[[#This Row],[Wolumen_t]]*8.5</f>
        <v>82.88775</v>
      </c>
      <c r="AC227" s="18" t="n">
        <f aca="false">IF(G227&lt;&gt;"TAK",0,IF(OR(E227="ZAKUP",E227="PRODUKCJA"),Z227,IF(OR(E227="SPRZEDAŻ",E227="ZUŻYCIE"),-Z227,0)))</f>
        <v>118.2</v>
      </c>
      <c r="AD227" s="18" t="n">
        <f aca="false">IF(G227&lt;&gt;"TAK",0,IF(OR(E227="ZAKUP",E227="PRODUKCJA"),AA227,IF(OR(E227="SPRZEDAŻ",E227="ZUŻYCIE"),-AA227,0)))</f>
        <v>9.7515</v>
      </c>
      <c r="AE227" s="19" t="n">
        <f aca="false">IF(E227="ZAKUP",IF(L227&lt;&gt;"",L227,IF(K227&lt;&gt;"",Z227*K227,0)),0)</f>
        <v>6796.5</v>
      </c>
      <c r="AF227" s="19" t="n">
        <f aca="false">IF(E227="SPRZEDAŻ",IF(M227&lt;&gt;"",Z227*M227,0),0)</f>
        <v>0</v>
      </c>
      <c r="AG227" s="19" t="str">
        <f aca="false">IF(R227="","",IF(LOWER(R227)="brak","Brak",IF(OR(ISNUMBER(SEARCH("ric pl",LOWER(R227))),ISNUMBER(SEARCH("wojciechowski",LOWER(R227)))),"Własny","Zewnętrzny")))</f>
        <v/>
      </c>
      <c r="AH227" s="19" t="n">
        <f aca="false">Z227*Q227</f>
        <v>0</v>
      </c>
      <c r="AI227" s="19" t="str">
        <f aca="false">UPPER(TEXT(C227,"mmmm"))</f>
        <v>JULY</v>
      </c>
      <c r="AJ227" s="19" t="str">
        <f aca="false">IF(C227="","",TEXT(C227,"rrrr"))</f>
        <v>CE5786CE5786</v>
      </c>
      <c r="AK227" s="10"/>
      <c r="AL227" s="11" t="n">
        <v>0</v>
      </c>
      <c r="AM227" s="10" t="s">
        <v>453</v>
      </c>
      <c r="AN227" s="10" t="s">
        <v>59</v>
      </c>
      <c r="AO227" s="10"/>
      <c r="AP227" s="10"/>
      <c r="AQ227" s="10"/>
      <c r="AR227" s="10" t="s">
        <v>66</v>
      </c>
      <c r="AS227" s="10"/>
      <c r="AT227" s="15" t="n">
        <v>1</v>
      </c>
    </row>
    <row r="228" customFormat="false" ht="28.5" hidden="false" customHeight="true" outlineLevel="0" collapsed="false">
      <c r="A228" s="23" t="n">
        <v>46232</v>
      </c>
      <c r="B228" s="12"/>
      <c r="C228" s="12" t="n">
        <v>46232</v>
      </c>
      <c r="D228" s="10" t="s">
        <v>46</v>
      </c>
      <c r="E228" s="10" t="s">
        <v>63</v>
      </c>
      <c r="F228" s="20" t="s">
        <v>454</v>
      </c>
      <c r="G228" s="14" t="s">
        <v>49</v>
      </c>
      <c r="H228" s="10" t="s">
        <v>76</v>
      </c>
      <c r="I228" s="15" t="n">
        <v>30</v>
      </c>
      <c r="J228" s="10" t="s">
        <v>77</v>
      </c>
      <c r="K228" s="15" t="n">
        <v>230</v>
      </c>
      <c r="L228" s="11" t="n">
        <v>6900</v>
      </c>
      <c r="M228" s="11" t="n">
        <v>0</v>
      </c>
      <c r="N228" s="10" t="s">
        <v>64</v>
      </c>
      <c r="O228" s="10" t="s">
        <v>67</v>
      </c>
      <c r="P228" s="10"/>
      <c r="Q228" s="16" t="n">
        <v>0</v>
      </c>
      <c r="R228" s="10"/>
      <c r="S228" s="10"/>
      <c r="T228" s="10" t="n">
        <v>0</v>
      </c>
      <c r="U228" s="11" t="n">
        <f aca="false">IF(E228="TRANSPORT",IF(T228="","",T228*5),IF(AL228="","",AL228))</f>
        <v>0</v>
      </c>
      <c r="V228" s="10" t="s">
        <v>54</v>
      </c>
      <c r="W228" s="15" t="s">
        <v>242</v>
      </c>
      <c r="X228" s="15"/>
      <c r="Y228" s="17" t="n">
        <v>46237.4827893519</v>
      </c>
      <c r="Z228" s="18" t="n">
        <f aca="false">IF(I228="",0,IF(ISNUMBER(SEARCH("mp",LOWER(J228))),I228,IF(ISNUMBER(SEARCH("ton",LOWER(J228))),I228/0.33,IF(ISNUMBER(SEARCH("m3",LOWER(J228))),I228*4,I228))))</f>
        <v>120</v>
      </c>
      <c r="AA228" s="18" t="n">
        <f aca="false">IF(I228="",0,IF(ISNUMBER(SEARCH("mp",LOWER(J228))),I228*0.33,IF(ISNUMBER(SEARCH("ton",LOWER(J228))),I228,I228*0.33)))</f>
        <v>9.9</v>
      </c>
      <c r="AB228" s="18" t="n">
        <f aca="false">Tabela_dane[[#This Row],[Wolumen_t]]*8.5</f>
        <v>84.15</v>
      </c>
      <c r="AC228" s="18" t="n">
        <f aca="false">IF(G228&lt;&gt;"TAK",0,IF(OR(E228="ZAKUP",E228="PRODUKCJA"),Z228,IF(OR(E228="SPRZEDAŻ",E228="ZUŻYCIE"),-Z228,0)))</f>
        <v>120</v>
      </c>
      <c r="AD228" s="18" t="n">
        <f aca="false">IF(G228&lt;&gt;"TAK",0,IF(OR(E228="ZAKUP",E228="PRODUKCJA"),AA228,IF(OR(E228="SPRZEDAŻ",E228="ZUŻYCIE"),-AA228,0)))</f>
        <v>9.9</v>
      </c>
      <c r="AE228" s="19" t="n">
        <f aca="false">IF(E228="ZAKUP",IF(L228&lt;&gt;"",L228,IF(K228&lt;&gt;"",Z228*K228,0)),0)</f>
        <v>6900</v>
      </c>
      <c r="AF228" s="19" t="n">
        <f aca="false">IF(E228="SPRZEDAŻ",IF(M228&lt;&gt;"",Z228*M228,0),0)</f>
        <v>0</v>
      </c>
      <c r="AG228" s="19" t="str">
        <f aca="false">IF(R228="","",IF(LOWER(R228)="brak","Brak",IF(OR(ISNUMBER(SEARCH("ric pl",LOWER(R228))),ISNUMBER(SEARCH("wojciechowski",LOWER(R228)))),"Własny","Zewnętrzny")))</f>
        <v/>
      </c>
      <c r="AH228" s="19" t="n">
        <f aca="false">Z228*Q228</f>
        <v>0</v>
      </c>
      <c r="AI228" s="19" t="str">
        <f aca="false">UPPER(TEXT(C228,"mmmm"))</f>
        <v>JULY</v>
      </c>
      <c r="AJ228" s="19" t="str">
        <f aca="false">IF(C228="","",TEXT(C228,"rrrr"))</f>
        <v>CE5786CE5786</v>
      </c>
      <c r="AK228" s="10"/>
      <c r="AL228" s="11" t="n">
        <v>0</v>
      </c>
      <c r="AM228" s="10" t="s">
        <v>455</v>
      </c>
      <c r="AN228" s="10" t="s">
        <v>59</v>
      </c>
      <c r="AO228" s="10"/>
      <c r="AP228" s="10"/>
      <c r="AQ228" s="10"/>
      <c r="AR228" s="10" t="s">
        <v>66</v>
      </c>
      <c r="AS228" s="10"/>
      <c r="AT228" s="15" t="n">
        <v>1</v>
      </c>
    </row>
    <row r="229" customFormat="false" ht="28.5" hidden="false" customHeight="true" outlineLevel="0" collapsed="false">
      <c r="A229" s="23" t="n">
        <v>46232</v>
      </c>
      <c r="B229" s="12"/>
      <c r="C229" s="23" t="n">
        <v>46232</v>
      </c>
      <c r="D229" s="10" t="s">
        <v>436</v>
      </c>
      <c r="E229" s="10" t="s">
        <v>63</v>
      </c>
      <c r="F229" s="13" t="s">
        <v>456</v>
      </c>
      <c r="G229" s="14" t="s">
        <v>49</v>
      </c>
      <c r="H229" s="10" t="s">
        <v>50</v>
      </c>
      <c r="I229" s="15" t="n">
        <v>21.31</v>
      </c>
      <c r="J229" s="10" t="s">
        <v>77</v>
      </c>
      <c r="K229" s="15" t="n">
        <v>141</v>
      </c>
      <c r="L229" s="11" t="n">
        <v>3004.71</v>
      </c>
      <c r="M229" s="11" t="n">
        <v>0</v>
      </c>
      <c r="N229" s="10" t="s">
        <v>64</v>
      </c>
      <c r="O229" s="10" t="s">
        <v>67</v>
      </c>
      <c r="P229" s="10"/>
      <c r="Q229" s="16" t="n">
        <v>0</v>
      </c>
      <c r="R229" s="10"/>
      <c r="S229" s="10"/>
      <c r="T229" s="10" t="n">
        <v>0</v>
      </c>
      <c r="U229" s="11" t="n">
        <f aca="false">IF(E229="TRANSPORT",IF(T229="","",T229*5),IF(AL229="","",AL229))</f>
        <v>0</v>
      </c>
      <c r="V229" s="10" t="s">
        <v>54</v>
      </c>
      <c r="W229" s="15" t="s">
        <v>65</v>
      </c>
      <c r="X229" s="15"/>
      <c r="Y229" s="17" t="n">
        <v>46240.4081134259</v>
      </c>
      <c r="Z229" s="18" t="n">
        <f aca="false">IF(I229="",0,IF(ISNUMBER(SEARCH("mp",LOWER(J229))),I229,IF(ISNUMBER(SEARCH("ton",LOWER(J229))),I229/0.33,IF(ISNUMBER(SEARCH("m3",LOWER(J229))),I229*4,I229))))</f>
        <v>85.24</v>
      </c>
      <c r="AA229" s="18" t="n">
        <f aca="false">IF(I229="",0,IF(ISNUMBER(SEARCH("mp",LOWER(J229))),I229*0.33,IF(ISNUMBER(SEARCH("ton",LOWER(J229))),I229,I229*0.33)))</f>
        <v>7.0323</v>
      </c>
      <c r="AB229" s="18" t="n">
        <f aca="false">Tabela_dane[[#This Row],[Wolumen_t]]*8.5</f>
        <v>59.77455</v>
      </c>
      <c r="AC229" s="18" t="n">
        <f aca="false">IF(G229&lt;&gt;"TAK",0,IF(OR(E229="ZAKUP",E229="PRODUKCJA"),Z229,IF(OR(E229="SPRZEDAŻ",E229="ZUŻYCIE"),-Z229,0)))</f>
        <v>85.24</v>
      </c>
      <c r="AD229" s="18" t="n">
        <f aca="false">IF(G229&lt;&gt;"TAK",0,IF(OR(E229="ZAKUP",E229="PRODUKCJA"),AA229,IF(OR(E229="SPRZEDAŻ",E229="ZUŻYCIE"),-AA229,0)))</f>
        <v>7.0323</v>
      </c>
      <c r="AE229" s="19" t="n">
        <f aca="false">IF(E229="ZAKUP",IF(L229&lt;&gt;"",L229,IF(K229&lt;&gt;"",Z229*K229,0)),0)</f>
        <v>3004.71</v>
      </c>
      <c r="AF229" s="19" t="n">
        <f aca="false">IF(E229="SPRZEDAŻ",IF(M229&lt;&gt;"",Z229*M229,0),0)</f>
        <v>0</v>
      </c>
      <c r="AG229" s="19" t="str">
        <f aca="false">IF(R229="","",IF(LOWER(R229)="brak","Brak",IF(OR(ISNUMBER(SEARCH("ric pl",LOWER(R229))),ISNUMBER(SEARCH("wojciechowski",LOWER(R229)))),"Własny","Zewnętrzny")))</f>
        <v/>
      </c>
      <c r="AH229" s="19" t="n">
        <f aca="false">Z229*Q229</f>
        <v>0</v>
      </c>
      <c r="AI229" s="19" t="str">
        <f aca="false">UPPER(TEXT(C229,"mmmm"))</f>
        <v>JULY</v>
      </c>
      <c r="AJ229" s="19" t="str">
        <f aca="false">IF(C229="","",TEXT(C229,"rrrr"))</f>
        <v>CE5786CE5786</v>
      </c>
      <c r="AK229" s="10"/>
      <c r="AL229" s="11" t="n">
        <v>0</v>
      </c>
      <c r="AM229" s="10" t="s">
        <v>457</v>
      </c>
      <c r="AN229" s="10" t="s">
        <v>59</v>
      </c>
      <c r="AO229" s="10"/>
      <c r="AP229" s="10"/>
      <c r="AQ229" s="10"/>
      <c r="AR229" s="10" t="s">
        <v>66</v>
      </c>
      <c r="AS229" s="10"/>
      <c r="AT229" s="15" t="n">
        <v>1</v>
      </c>
    </row>
    <row r="230" customFormat="false" ht="28.5" hidden="false" customHeight="true" outlineLevel="0" collapsed="false">
      <c r="A230" s="23" t="n">
        <v>46232</v>
      </c>
      <c r="B230" s="12"/>
      <c r="C230" s="23" t="n">
        <v>46232</v>
      </c>
      <c r="D230" s="10" t="s">
        <v>54</v>
      </c>
      <c r="E230" s="10" t="s">
        <v>47</v>
      </c>
      <c r="F230" s="13" t="s">
        <v>456</v>
      </c>
      <c r="G230" s="14" t="s">
        <v>49</v>
      </c>
      <c r="H230" s="10" t="s">
        <v>50</v>
      </c>
      <c r="I230" s="15" t="n">
        <v>85.24</v>
      </c>
      <c r="J230" s="10" t="s">
        <v>51</v>
      </c>
      <c r="K230" s="15" t="n">
        <v>0</v>
      </c>
      <c r="L230" s="11" t="n">
        <v>0</v>
      </c>
      <c r="M230" s="11" t="n">
        <v>0</v>
      </c>
      <c r="N230" s="10" t="s">
        <v>52</v>
      </c>
      <c r="O230" s="10" t="s">
        <v>67</v>
      </c>
      <c r="P230" s="10" t="s">
        <v>53</v>
      </c>
      <c r="Q230" s="16" t="n">
        <v>10</v>
      </c>
      <c r="R230" s="10"/>
      <c r="S230" s="10"/>
      <c r="T230" s="10" t="n">
        <v>0</v>
      </c>
      <c r="U230" s="11" t="n">
        <f aca="false">IF(E230="TRANSPORT",IF(T230="","",T230*5),IF(AL230="","",AL230))</f>
        <v>0</v>
      </c>
      <c r="V230" s="10" t="s">
        <v>54</v>
      </c>
      <c r="W230" s="15" t="s">
        <v>70</v>
      </c>
      <c r="X230" s="15"/>
      <c r="Y230" s="17" t="n">
        <v>46240.4088194444</v>
      </c>
      <c r="Z230" s="18" t="n">
        <f aca="false">IF(I230="",0,IF(ISNUMBER(SEARCH("mp",LOWER(J230))),I230,IF(ISNUMBER(SEARCH("ton",LOWER(J230))),I230/0.33,IF(ISNUMBER(SEARCH("m3",LOWER(J230))),I230*4,I230))))</f>
        <v>85.24</v>
      </c>
      <c r="AA230" s="18" t="n">
        <f aca="false">IF(I230="",0,IF(ISNUMBER(SEARCH("mp",LOWER(J230))),I230*0.33,IF(ISNUMBER(SEARCH("ton",LOWER(J230))),I230,I230*0.33)))</f>
        <v>28.1292</v>
      </c>
      <c r="AB230" s="18" t="n">
        <f aca="false">Tabela_dane[[#This Row],[Wolumen_t]]*8.5</f>
        <v>239.0982</v>
      </c>
      <c r="AC230" s="18" t="n">
        <f aca="false">IF(G230&lt;&gt;"TAK",0,IF(OR(E230="ZAKUP",E230="PRODUKCJA"),Z230,IF(OR(E230="SPRZEDAŻ",E230="ZUŻYCIE"),-Z230,0)))</f>
        <v>85.24</v>
      </c>
      <c r="AD230" s="18" t="n">
        <f aca="false">IF(G230&lt;&gt;"TAK",0,IF(OR(E230="ZAKUP",E230="PRODUKCJA"),AA230,IF(OR(E230="SPRZEDAŻ",E230="ZUŻYCIE"),-AA230,0)))</f>
        <v>28.1292</v>
      </c>
      <c r="AE230" s="19" t="n">
        <f aca="false">IF(E230="ZAKUP",IF(L230&lt;&gt;"",L230,IF(K230&lt;&gt;"",Z230*K230,0)),0)</f>
        <v>0</v>
      </c>
      <c r="AF230" s="19" t="n">
        <f aca="false">IF(E230="SPRZEDAŻ",IF(M230&lt;&gt;"",Z230*M230,0),0)</f>
        <v>0</v>
      </c>
      <c r="AG230" s="19" t="str">
        <f aca="false">IF(R230="","",IF(LOWER(R230)="brak","Brak",IF(OR(ISNUMBER(SEARCH("ric pl",LOWER(R230))),ISNUMBER(SEARCH("wojciechowski",LOWER(R230)))),"Własny","Zewnętrzny")))</f>
        <v/>
      </c>
      <c r="AH230" s="19" t="n">
        <f aca="false">Z230*Q230</f>
        <v>852.4</v>
      </c>
      <c r="AI230" s="19" t="str">
        <f aca="false">UPPER(TEXT(C230,"mmmm"))</f>
        <v>JULY</v>
      </c>
      <c r="AJ230" s="19" t="str">
        <f aca="false">IF(C230="","",TEXT(C230,"rrrr"))</f>
        <v>CE5786CE5786</v>
      </c>
      <c r="AK230" s="10"/>
      <c r="AL230" s="11" t="n">
        <v>0</v>
      </c>
      <c r="AM230" s="10" t="s">
        <v>458</v>
      </c>
      <c r="AN230" s="10" t="s">
        <v>59</v>
      </c>
      <c r="AO230" s="10"/>
      <c r="AP230" s="10"/>
      <c r="AQ230" s="10"/>
      <c r="AR230" s="10" t="s">
        <v>66</v>
      </c>
      <c r="AS230" s="10"/>
      <c r="AT230" s="15" t="n">
        <v>1</v>
      </c>
    </row>
    <row r="231" customFormat="false" ht="28.5" hidden="false" customHeight="true" outlineLevel="0" collapsed="false">
      <c r="A231" s="23" t="n">
        <v>46232</v>
      </c>
      <c r="B231" s="12"/>
      <c r="C231" s="23" t="n">
        <v>46232</v>
      </c>
      <c r="D231" s="10" t="s">
        <v>54</v>
      </c>
      <c r="E231" s="10" t="s">
        <v>79</v>
      </c>
      <c r="F231" s="13" t="s">
        <v>456</v>
      </c>
      <c r="G231" s="14" t="s">
        <v>49</v>
      </c>
      <c r="H231" s="10" t="s">
        <v>50</v>
      </c>
      <c r="I231" s="15" t="n">
        <v>85.24</v>
      </c>
      <c r="J231" s="10" t="s">
        <v>51</v>
      </c>
      <c r="K231" s="15" t="n">
        <v>0</v>
      </c>
      <c r="L231" s="11" t="n">
        <v>0</v>
      </c>
      <c r="M231" s="11" t="n">
        <v>0</v>
      </c>
      <c r="N231" s="10" t="s">
        <v>52</v>
      </c>
      <c r="O231" s="10" t="s">
        <v>67</v>
      </c>
      <c r="P231" s="10" t="s">
        <v>53</v>
      </c>
      <c r="Q231" s="16" t="n">
        <v>10</v>
      </c>
      <c r="R231" s="10"/>
      <c r="S231" s="10"/>
      <c r="T231" s="10" t="n">
        <v>0</v>
      </c>
      <c r="U231" s="11" t="n">
        <f aca="false">IF(E231="TRANSPORT",IF(T231="","",T231*5),IF(AL231="","",AL231))</f>
        <v>0</v>
      </c>
      <c r="V231" s="10" t="s">
        <v>54</v>
      </c>
      <c r="W231" s="15" t="s">
        <v>260</v>
      </c>
      <c r="X231" s="15"/>
      <c r="Y231" s="17" t="n">
        <v>46240.4088194444</v>
      </c>
      <c r="Z231" s="18" t="n">
        <f aca="false">IF(I231="",0,IF(ISNUMBER(SEARCH("mp",LOWER(J231))),I231,IF(ISNUMBER(SEARCH("ton",LOWER(J231))),I231/0.33,IF(ISNUMBER(SEARCH("m3",LOWER(J231))),I231*4,I231))))</f>
        <v>85.24</v>
      </c>
      <c r="AA231" s="18" t="n">
        <f aca="false">IF(I231="",0,IF(ISNUMBER(SEARCH("mp",LOWER(J231))),I231*0.33,IF(ISNUMBER(SEARCH("ton",LOWER(J231))),I231,I231*0.33)))</f>
        <v>28.1292</v>
      </c>
      <c r="AB231" s="18" t="n">
        <f aca="false">Tabela_dane[[#This Row],[Wolumen_t]]*8.5</f>
        <v>239.0982</v>
      </c>
      <c r="AC231" s="18" t="n">
        <f aca="false">IF(G231&lt;&gt;"TAK",0,IF(OR(E231="ZAKUP",E231="PRODUKCJA"),Z231,IF(OR(E231="SPRZEDAŻ",E231="ZUŻYCIE"),-Z231,0)))</f>
        <v>-85.24</v>
      </c>
      <c r="AD231" s="18" t="n">
        <f aca="false">IF(G231&lt;&gt;"TAK",0,IF(OR(E231="ZAKUP",E231="PRODUKCJA"),AA231,IF(OR(E231="SPRZEDAŻ",E231="ZUŻYCIE"),-AA231,0)))</f>
        <v>-28.1292</v>
      </c>
      <c r="AE231" s="19" t="n">
        <f aca="false">IF(E231="ZAKUP",IF(L231&lt;&gt;"",L231,IF(K231&lt;&gt;"",Z231*K231,0)),0)</f>
        <v>0</v>
      </c>
      <c r="AF231" s="19" t="n">
        <f aca="false">IF(E231="SPRZEDAŻ",IF(M231&lt;&gt;"",Z231*M231,0),0)</f>
        <v>0</v>
      </c>
      <c r="AG231" s="19" t="str">
        <f aca="false">IF(R231="","",IF(LOWER(R231)="brak","Brak",IF(OR(ISNUMBER(SEARCH("ric pl",LOWER(R231))),ISNUMBER(SEARCH("wojciechowski",LOWER(R231)))),"Własny","Zewnętrzny")))</f>
        <v/>
      </c>
      <c r="AH231" s="19" t="n">
        <f aca="false">Z231*Q231</f>
        <v>852.4</v>
      </c>
      <c r="AI231" s="19" t="str">
        <f aca="false">UPPER(TEXT(C231,"mmmm"))</f>
        <v>JULY</v>
      </c>
      <c r="AJ231" s="19" t="str">
        <f aca="false">IF(C231="","",TEXT(C231,"rrrr"))</f>
        <v>CE5786CE5786</v>
      </c>
      <c r="AK231" s="10"/>
      <c r="AL231" s="11" t="n">
        <v>0</v>
      </c>
      <c r="AM231" s="10" t="s">
        <v>458</v>
      </c>
      <c r="AN231" s="10" t="s">
        <v>59</v>
      </c>
      <c r="AO231" s="10"/>
      <c r="AP231" s="10"/>
      <c r="AQ231" s="10"/>
      <c r="AR231" s="10" t="s">
        <v>81</v>
      </c>
      <c r="AS231" s="10"/>
      <c r="AT231" s="15" t="n">
        <v>1</v>
      </c>
    </row>
    <row r="232" customFormat="false" ht="28.5" hidden="false" customHeight="true" outlineLevel="0" collapsed="false">
      <c r="A232" s="23" t="n">
        <v>46232</v>
      </c>
      <c r="B232" s="12" t="s">
        <v>440</v>
      </c>
      <c r="C232" s="23" t="n">
        <v>46232</v>
      </c>
      <c r="D232" s="10" t="s">
        <v>54</v>
      </c>
      <c r="E232" s="10" t="s">
        <v>63</v>
      </c>
      <c r="F232" s="13" t="s">
        <v>459</v>
      </c>
      <c r="G232" s="14" t="s">
        <v>49</v>
      </c>
      <c r="H232" s="10" t="s">
        <v>50</v>
      </c>
      <c r="I232" s="15" t="n">
        <v>85.24</v>
      </c>
      <c r="J232" s="10" t="s">
        <v>51</v>
      </c>
      <c r="K232" s="15" t="n">
        <v>0</v>
      </c>
      <c r="L232" s="11" t="n">
        <v>0</v>
      </c>
      <c r="M232" s="11" t="n">
        <v>0</v>
      </c>
      <c r="N232" s="10" t="s">
        <v>52</v>
      </c>
      <c r="O232" s="10" t="s">
        <v>67</v>
      </c>
      <c r="P232" s="10"/>
      <c r="Q232" s="16" t="n">
        <v>0</v>
      </c>
      <c r="R232" s="10" t="s">
        <v>182</v>
      </c>
      <c r="S232" s="10" t="s">
        <v>460</v>
      </c>
      <c r="T232" s="10" t="n">
        <v>200</v>
      </c>
      <c r="U232" s="11" t="n">
        <f aca="false">IF(E232="TRANSPORT",IF(T232="","",T232*5),IF(AL232="","",AL232))</f>
        <v>1000</v>
      </c>
      <c r="V232" s="10" t="s">
        <v>54</v>
      </c>
      <c r="W232" s="15" t="s">
        <v>65</v>
      </c>
      <c r="X232" s="15"/>
      <c r="Y232" s="17" t="n">
        <v>46240.4173263889</v>
      </c>
      <c r="Z232" s="18" t="n">
        <f aca="false">IF(I232="",0,IF(ISNUMBER(SEARCH("mp",LOWER(J232))),I232,IF(ISNUMBER(SEARCH("ton",LOWER(J232))),I232/0.33,IF(ISNUMBER(SEARCH("m3",LOWER(J232))),I232*4,I232))))</f>
        <v>85.24</v>
      </c>
      <c r="AA232" s="18" t="n">
        <f aca="false">IF(I232="",0,IF(ISNUMBER(SEARCH("mp",LOWER(J232))),I232*0.33,IF(ISNUMBER(SEARCH("ton",LOWER(J232))),I232,I232*0.33)))</f>
        <v>28.1292</v>
      </c>
      <c r="AB232" s="18" t="n">
        <f aca="false">Tabela_dane[[#This Row],[Wolumen_t]]*8.5</f>
        <v>239.0982</v>
      </c>
      <c r="AC232" s="18" t="n">
        <f aca="false">IF(G232&lt;&gt;"TAK",0,IF(OR(E232="ZAKUP",E232="PRODUKCJA"),Z232,IF(OR(E232="SPRZEDAŻ",E232="ZUŻYCIE"),-Z232,0)))</f>
        <v>85.24</v>
      </c>
      <c r="AD232" s="18" t="n">
        <f aca="false">IF(G232&lt;&gt;"TAK",0,IF(OR(E232="ZAKUP",E232="PRODUKCJA"),AA232,IF(OR(E232="SPRZEDAŻ",E232="ZUŻYCIE"),-AA232,0)))</f>
        <v>28.1292</v>
      </c>
      <c r="AE232" s="19" t="n">
        <f aca="false">IF(E232="ZAKUP",IF(L232&lt;&gt;"",L232,IF(K232&lt;&gt;"",Z232*K232,0)),0)</f>
        <v>0</v>
      </c>
      <c r="AF232" s="19" t="n">
        <f aca="false">IF(E232="SPRZEDAŻ",IF(M232&lt;&gt;"",Z232*M232,0),0)</f>
        <v>0</v>
      </c>
      <c r="AG232" s="19" t="str">
        <f aca="false">IF(R232="","",IF(LOWER(R232)="brak","Brak",IF(OR(ISNUMBER(SEARCH("ric pl",LOWER(R232))),ISNUMBER(SEARCH("wojciechowski",LOWER(R232)))),"Własny","Zewnętrzny")))</f>
        <v>Zewnętrzny</v>
      </c>
      <c r="AH232" s="19" t="n">
        <f aca="false">Z232*Q232</f>
        <v>0</v>
      </c>
      <c r="AI232" s="19" t="str">
        <f aca="false">UPPER(TEXT(C232,"mmmm"))</f>
        <v>JULY</v>
      </c>
      <c r="AJ232" s="19" t="str">
        <f aca="false">IF(C232="","",TEXT(C232,"rrrr"))</f>
        <v>CE5786CE5786</v>
      </c>
      <c r="AK232" s="10"/>
      <c r="AL232" s="11" t="n">
        <v>1000</v>
      </c>
      <c r="AM232" s="10" t="s">
        <v>461</v>
      </c>
      <c r="AN232" s="10" t="s">
        <v>49</v>
      </c>
      <c r="AO232" s="10"/>
      <c r="AP232" s="10"/>
      <c r="AQ232" s="10"/>
      <c r="AR232" s="10" t="s">
        <v>66</v>
      </c>
      <c r="AS232" s="10"/>
      <c r="AT232" s="15" t="n">
        <v>1</v>
      </c>
    </row>
    <row r="233" customFormat="false" ht="28.5" hidden="false" customHeight="true" outlineLevel="0" collapsed="false">
      <c r="A233" s="23" t="n">
        <v>46233</v>
      </c>
      <c r="B233" s="12"/>
      <c r="C233" s="12" t="n">
        <v>46233</v>
      </c>
      <c r="D233" s="10" t="s">
        <v>462</v>
      </c>
      <c r="E233" s="10" t="s">
        <v>63</v>
      </c>
      <c r="F233" s="13" t="s">
        <v>463</v>
      </c>
      <c r="G233" s="14" t="s">
        <v>49</v>
      </c>
      <c r="H233" s="10" t="s">
        <v>50</v>
      </c>
      <c r="I233" s="15" t="n">
        <v>20.28</v>
      </c>
      <c r="J233" s="10" t="s">
        <v>77</v>
      </c>
      <c r="K233" s="15" t="n">
        <v>141</v>
      </c>
      <c r="L233" s="11" t="n">
        <v>2859.48</v>
      </c>
      <c r="M233" s="11" t="n">
        <v>0</v>
      </c>
      <c r="N233" s="10" t="s">
        <v>64</v>
      </c>
      <c r="O233" s="10" t="s">
        <v>67</v>
      </c>
      <c r="P233" s="10"/>
      <c r="Q233" s="16" t="n">
        <v>0</v>
      </c>
      <c r="R233" s="10"/>
      <c r="S233" s="10"/>
      <c r="T233" s="10" t="n">
        <v>0</v>
      </c>
      <c r="U233" s="11" t="n">
        <f aca="false">IF(E233="TRANSPORT",IF(T233="","",T233*5),IF(AL233="","",AL233))</f>
        <v>0</v>
      </c>
      <c r="V233" s="10" t="s">
        <v>54</v>
      </c>
      <c r="W233" s="15" t="s">
        <v>70</v>
      </c>
      <c r="X233" s="15"/>
      <c r="Y233" s="17" t="n">
        <v>46237.4635069444</v>
      </c>
      <c r="Z233" s="18" t="n">
        <f aca="false">IF(I233="",0,IF(ISNUMBER(SEARCH("mp",LOWER(J233))),I233,IF(ISNUMBER(SEARCH("ton",LOWER(J233))),I233/0.33,IF(ISNUMBER(SEARCH("m3",LOWER(J233))),I233*4,I233))))</f>
        <v>81.12</v>
      </c>
      <c r="AA233" s="18" t="n">
        <f aca="false">IF(I233="",0,IF(ISNUMBER(SEARCH("mp",LOWER(J233))),I233*0.33,IF(ISNUMBER(SEARCH("ton",LOWER(J233))),I233,I233*0.33)))</f>
        <v>6.6924</v>
      </c>
      <c r="AB233" s="18" t="n">
        <f aca="false">Tabela_dane[[#This Row],[Wolumen_t]]*8.5</f>
        <v>56.8854</v>
      </c>
      <c r="AC233" s="18" t="n">
        <f aca="false">IF(G233&lt;&gt;"TAK",0,IF(OR(E233="ZAKUP",E233="PRODUKCJA"),Z233,IF(OR(E233="SPRZEDAŻ",E233="ZUŻYCIE"),-Z233,0)))</f>
        <v>81.12</v>
      </c>
      <c r="AD233" s="18" t="n">
        <f aca="false">IF(G233&lt;&gt;"TAK",0,IF(OR(E233="ZAKUP",E233="PRODUKCJA"),AA233,IF(OR(E233="SPRZEDAŻ",E233="ZUŻYCIE"),-AA233,0)))</f>
        <v>6.6924</v>
      </c>
      <c r="AE233" s="19" t="n">
        <f aca="false">IF(E233="ZAKUP",IF(L233&lt;&gt;"",L233,IF(K233&lt;&gt;"",Z233*K233,0)),0)</f>
        <v>2859.48</v>
      </c>
      <c r="AF233" s="19" t="n">
        <f aca="false">IF(E233="SPRZEDAŻ",IF(M233&lt;&gt;"",Z233*M233,0),0)</f>
        <v>0</v>
      </c>
      <c r="AG233" s="19" t="str">
        <f aca="false">IF(R233="","",IF(LOWER(R233)="brak","Brak",IF(OR(ISNUMBER(SEARCH("ric pl",LOWER(R233))),ISNUMBER(SEARCH("wojciechowski",LOWER(R233)))),"Własny","Zewnętrzny")))</f>
        <v/>
      </c>
      <c r="AH233" s="19" t="n">
        <f aca="false">Z233*Q233</f>
        <v>0</v>
      </c>
      <c r="AI233" s="19" t="str">
        <f aca="false">UPPER(TEXT(C233,"mmmm"))</f>
        <v>JULY</v>
      </c>
      <c r="AJ233" s="19" t="str">
        <f aca="false">IF(C233="","",TEXT(C233,"rrrr"))</f>
        <v>CE5786CE5786</v>
      </c>
      <c r="AK233" s="10"/>
      <c r="AL233" s="11" t="n">
        <v>0</v>
      </c>
      <c r="AM233" s="10" t="s">
        <v>464</v>
      </c>
      <c r="AN233" s="10" t="s">
        <v>59</v>
      </c>
      <c r="AO233" s="10"/>
      <c r="AP233" s="10"/>
      <c r="AQ233" s="10"/>
      <c r="AR233" s="10" t="s">
        <v>66</v>
      </c>
      <c r="AS233" s="10"/>
      <c r="AT233" s="15" t="n">
        <v>1</v>
      </c>
    </row>
    <row r="234" customFormat="false" ht="28.5" hidden="false" customHeight="true" outlineLevel="0" collapsed="false">
      <c r="A234" s="23" t="n">
        <v>46233</v>
      </c>
      <c r="B234" s="12"/>
      <c r="C234" s="12" t="n">
        <v>46233</v>
      </c>
      <c r="D234" s="10" t="s">
        <v>54</v>
      </c>
      <c r="E234" s="10" t="s">
        <v>47</v>
      </c>
      <c r="F234" s="13" t="s">
        <v>463</v>
      </c>
      <c r="G234" s="14" t="s">
        <v>49</v>
      </c>
      <c r="H234" s="10" t="s">
        <v>50</v>
      </c>
      <c r="I234" s="15" t="n">
        <v>81</v>
      </c>
      <c r="J234" s="10" t="s">
        <v>51</v>
      </c>
      <c r="K234" s="15" t="n">
        <v>0</v>
      </c>
      <c r="L234" s="11" t="n">
        <v>0</v>
      </c>
      <c r="M234" s="11" t="n">
        <v>0</v>
      </c>
      <c r="N234" s="10" t="s">
        <v>52</v>
      </c>
      <c r="O234" s="10" t="s">
        <v>67</v>
      </c>
      <c r="P234" s="10" t="s">
        <v>53</v>
      </c>
      <c r="Q234" s="16" t="n">
        <v>10</v>
      </c>
      <c r="R234" s="10"/>
      <c r="S234" s="10"/>
      <c r="T234" s="10" t="n">
        <v>0</v>
      </c>
      <c r="U234" s="11" t="n">
        <f aca="false">IF(E234="TRANSPORT",IF(T234="","",T234*5),IF(AL234="","",AL234))</f>
        <v>0</v>
      </c>
      <c r="V234" s="10" t="s">
        <v>54</v>
      </c>
      <c r="W234" s="15" t="s">
        <v>70</v>
      </c>
      <c r="X234" s="15"/>
      <c r="Y234" s="17" t="n">
        <v>46237.4641782407</v>
      </c>
      <c r="Z234" s="18" t="n">
        <f aca="false">IF(I234="",0,IF(ISNUMBER(SEARCH("mp",LOWER(J234))),I234,IF(ISNUMBER(SEARCH("ton",LOWER(J234))),I234/0.33,IF(ISNUMBER(SEARCH("m3",LOWER(J234))),I234*4,I234))))</f>
        <v>81</v>
      </c>
      <c r="AA234" s="18" t="n">
        <f aca="false">IF(I234="",0,IF(ISNUMBER(SEARCH("mp",LOWER(J234))),I234*0.33,IF(ISNUMBER(SEARCH("ton",LOWER(J234))),I234,I234*0.33)))</f>
        <v>26.73</v>
      </c>
      <c r="AB234" s="18" t="n">
        <f aca="false">Tabela_dane[[#This Row],[Wolumen_t]]*8.5</f>
        <v>227.205</v>
      </c>
      <c r="AC234" s="18" t="n">
        <f aca="false">IF(G234&lt;&gt;"TAK",0,IF(OR(E234="ZAKUP",E234="PRODUKCJA"),Z234,IF(OR(E234="SPRZEDAŻ",E234="ZUŻYCIE"),-Z234,0)))</f>
        <v>81</v>
      </c>
      <c r="AD234" s="18" t="n">
        <f aca="false">IF(G234&lt;&gt;"TAK",0,IF(OR(E234="ZAKUP",E234="PRODUKCJA"),AA234,IF(OR(E234="SPRZEDAŻ",E234="ZUŻYCIE"),-AA234,0)))</f>
        <v>26.73</v>
      </c>
      <c r="AE234" s="19" t="n">
        <f aca="false">IF(E234="ZAKUP",IF(L234&lt;&gt;"",L234,IF(K234&lt;&gt;"",Z234*K234,0)),0)</f>
        <v>0</v>
      </c>
      <c r="AF234" s="19" t="n">
        <f aca="false">IF(E234="SPRZEDAŻ",IF(M234&lt;&gt;"",Z234*M234,0),0)</f>
        <v>0</v>
      </c>
      <c r="AG234" s="19" t="str">
        <f aca="false">IF(R234="","",IF(LOWER(R234)="brak","Brak",IF(OR(ISNUMBER(SEARCH("ric pl",LOWER(R234))),ISNUMBER(SEARCH("wojciechowski",LOWER(R234)))),"Własny","Zewnętrzny")))</f>
        <v/>
      </c>
      <c r="AH234" s="19" t="n">
        <f aca="false">Z234*Q234</f>
        <v>810</v>
      </c>
      <c r="AI234" s="19" t="str">
        <f aca="false">UPPER(TEXT(C234,"mmmm"))</f>
        <v>JULY</v>
      </c>
      <c r="AJ234" s="19" t="str">
        <f aca="false">IF(C234="","",TEXT(C234,"rrrr"))</f>
        <v>CE5786CE5786</v>
      </c>
      <c r="AK234" s="10"/>
      <c r="AL234" s="11" t="n">
        <v>0</v>
      </c>
      <c r="AM234" s="10" t="s">
        <v>465</v>
      </c>
      <c r="AN234" s="10" t="s">
        <v>59</v>
      </c>
      <c r="AO234" s="10"/>
      <c r="AP234" s="10"/>
      <c r="AQ234" s="10"/>
      <c r="AR234" s="10" t="s">
        <v>66</v>
      </c>
      <c r="AS234" s="10"/>
      <c r="AT234" s="15" t="n">
        <v>1</v>
      </c>
    </row>
    <row r="235" customFormat="false" ht="28.5" hidden="false" customHeight="true" outlineLevel="0" collapsed="false">
      <c r="A235" s="23" t="n">
        <v>46233</v>
      </c>
      <c r="B235" s="12"/>
      <c r="C235" s="12" t="n">
        <v>46233</v>
      </c>
      <c r="D235" s="10" t="s">
        <v>54</v>
      </c>
      <c r="E235" s="10" t="s">
        <v>79</v>
      </c>
      <c r="F235" s="13" t="s">
        <v>463</v>
      </c>
      <c r="G235" s="14" t="s">
        <v>49</v>
      </c>
      <c r="H235" s="10" t="s">
        <v>50</v>
      </c>
      <c r="I235" s="15" t="n">
        <v>81</v>
      </c>
      <c r="J235" s="10" t="s">
        <v>51</v>
      </c>
      <c r="K235" s="15" t="n">
        <v>0</v>
      </c>
      <c r="L235" s="11" t="n">
        <v>0</v>
      </c>
      <c r="M235" s="11" t="n">
        <v>0</v>
      </c>
      <c r="N235" s="10" t="s">
        <v>52</v>
      </c>
      <c r="O235" s="10" t="s">
        <v>67</v>
      </c>
      <c r="P235" s="10" t="s">
        <v>53</v>
      </c>
      <c r="Q235" s="16" t="n">
        <v>10</v>
      </c>
      <c r="R235" s="10"/>
      <c r="S235" s="10"/>
      <c r="T235" s="10" t="n">
        <v>0</v>
      </c>
      <c r="U235" s="11" t="n">
        <f aca="false">IF(E235="TRANSPORT",IF(T235="","",T235*5),IF(AL235="","",AL235))</f>
        <v>0</v>
      </c>
      <c r="V235" s="10" t="s">
        <v>54</v>
      </c>
      <c r="W235" s="15" t="s">
        <v>260</v>
      </c>
      <c r="X235" s="15"/>
      <c r="Y235" s="17" t="n">
        <v>46237.4641782407</v>
      </c>
      <c r="Z235" s="18" t="n">
        <f aca="false">IF(I235="",0,IF(ISNUMBER(SEARCH("mp",LOWER(J235))),I235,IF(ISNUMBER(SEARCH("ton",LOWER(J235))),I235/0.33,IF(ISNUMBER(SEARCH("m3",LOWER(J235))),I235*4,I235))))</f>
        <v>81</v>
      </c>
      <c r="AA235" s="18" t="n">
        <f aca="false">IF(I235="",0,IF(ISNUMBER(SEARCH("mp",LOWER(J235))),I235*0.33,IF(ISNUMBER(SEARCH("ton",LOWER(J235))),I235,I235*0.33)))</f>
        <v>26.73</v>
      </c>
      <c r="AB235" s="18" t="n">
        <f aca="false">Tabela_dane[[#This Row],[Wolumen_t]]*8.5</f>
        <v>227.205</v>
      </c>
      <c r="AC235" s="18" t="n">
        <f aca="false">IF(G235&lt;&gt;"TAK",0,IF(OR(E235="ZAKUP",E235="PRODUKCJA"),Z235,IF(OR(E235="SPRZEDAŻ",E235="ZUŻYCIE"),-Z235,0)))</f>
        <v>-81</v>
      </c>
      <c r="AD235" s="18" t="n">
        <f aca="false">IF(G235&lt;&gt;"TAK",0,IF(OR(E235="ZAKUP",E235="PRODUKCJA"),AA235,IF(OR(E235="SPRZEDAŻ",E235="ZUŻYCIE"),-AA235,0)))</f>
        <v>-26.73</v>
      </c>
      <c r="AE235" s="19" t="n">
        <f aca="false">IF(E235="ZAKUP",IF(L235&lt;&gt;"",L235,IF(K235&lt;&gt;"",Z235*K235,0)),0)</f>
        <v>0</v>
      </c>
      <c r="AF235" s="19" t="n">
        <f aca="false">IF(E235="SPRZEDAŻ",IF(M235&lt;&gt;"",Z235*M235,0),0)</f>
        <v>0</v>
      </c>
      <c r="AG235" s="19" t="str">
        <f aca="false">IF(R235="","",IF(LOWER(R235)="brak","Brak",IF(OR(ISNUMBER(SEARCH("ric pl",LOWER(R235))),ISNUMBER(SEARCH("wojciechowski",LOWER(R235)))),"Własny","Zewnętrzny")))</f>
        <v/>
      </c>
      <c r="AH235" s="19" t="n">
        <f aca="false">Z235*Q235</f>
        <v>810</v>
      </c>
      <c r="AI235" s="19" t="str">
        <f aca="false">UPPER(TEXT(C235,"mmmm"))</f>
        <v>JULY</v>
      </c>
      <c r="AJ235" s="19" t="str">
        <f aca="false">IF(C235="","",TEXT(C235,"rrrr"))</f>
        <v>CE5786CE5786</v>
      </c>
      <c r="AK235" s="10"/>
      <c r="AL235" s="11" t="n">
        <v>0</v>
      </c>
      <c r="AM235" s="10" t="s">
        <v>465</v>
      </c>
      <c r="AN235" s="10" t="s">
        <v>59</v>
      </c>
      <c r="AO235" s="10"/>
      <c r="AP235" s="10"/>
      <c r="AQ235" s="10"/>
      <c r="AR235" s="10" t="s">
        <v>81</v>
      </c>
      <c r="AS235" s="10"/>
      <c r="AT235" s="15" t="n">
        <v>1</v>
      </c>
    </row>
    <row r="236" customFormat="false" ht="28.5" hidden="false" customHeight="true" outlineLevel="0" collapsed="false">
      <c r="A236" s="23" t="n">
        <v>46233</v>
      </c>
      <c r="B236" s="12" t="s">
        <v>440</v>
      </c>
      <c r="C236" s="12" t="n">
        <v>46233</v>
      </c>
      <c r="D236" s="10" t="s">
        <v>54</v>
      </c>
      <c r="E236" s="10" t="s">
        <v>63</v>
      </c>
      <c r="F236" s="13" t="s">
        <v>466</v>
      </c>
      <c r="G236" s="14" t="s">
        <v>49</v>
      </c>
      <c r="H236" s="10" t="s">
        <v>50</v>
      </c>
      <c r="I236" s="15" t="n">
        <v>81</v>
      </c>
      <c r="J236" s="10" t="s">
        <v>51</v>
      </c>
      <c r="K236" s="15" t="n">
        <v>0</v>
      </c>
      <c r="L236" s="11" t="n">
        <v>0</v>
      </c>
      <c r="M236" s="11" t="n">
        <v>0</v>
      </c>
      <c r="N236" s="10" t="s">
        <v>52</v>
      </c>
      <c r="O236" s="10" t="s">
        <v>67</v>
      </c>
      <c r="P236" s="10"/>
      <c r="Q236" s="16" t="n">
        <v>0</v>
      </c>
      <c r="R236" s="10" t="s">
        <v>94</v>
      </c>
      <c r="S236" s="10" t="s">
        <v>95</v>
      </c>
      <c r="T236" s="10" t="n">
        <v>200</v>
      </c>
      <c r="U236" s="11" t="n">
        <f aca="false">IF(E236="TRANSPORT",IF(T236="","",T236*5),IF(AL236="","",AL236))</f>
        <v>1000</v>
      </c>
      <c r="V236" s="10" t="s">
        <v>54</v>
      </c>
      <c r="W236" s="15" t="s">
        <v>70</v>
      </c>
      <c r="X236" s="15"/>
      <c r="Y236" s="17" t="n">
        <v>46237.4654050926</v>
      </c>
      <c r="Z236" s="18" t="n">
        <f aca="false">IF(I236="",0,IF(ISNUMBER(SEARCH("mp",LOWER(J236))),I236,IF(ISNUMBER(SEARCH("ton",LOWER(J236))),I236/0.33,IF(ISNUMBER(SEARCH("m3",LOWER(J236))),I236*4,I236))))</f>
        <v>81</v>
      </c>
      <c r="AA236" s="18" t="n">
        <f aca="false">IF(I236="",0,IF(ISNUMBER(SEARCH("mp",LOWER(J236))),I236*0.33,IF(ISNUMBER(SEARCH("ton",LOWER(J236))),I236,I236*0.33)))</f>
        <v>26.73</v>
      </c>
      <c r="AB236" s="18" t="n">
        <f aca="false">Tabela_dane[[#This Row],[Wolumen_t]]*8.5</f>
        <v>227.205</v>
      </c>
      <c r="AC236" s="18" t="n">
        <f aca="false">IF(G236&lt;&gt;"TAK",0,IF(OR(E236="ZAKUP",E236="PRODUKCJA"),Z236,IF(OR(E236="SPRZEDAŻ",E236="ZUŻYCIE"),-Z236,0)))</f>
        <v>81</v>
      </c>
      <c r="AD236" s="18" t="n">
        <f aca="false">IF(G236&lt;&gt;"TAK",0,IF(OR(E236="ZAKUP",E236="PRODUKCJA"),AA236,IF(OR(E236="SPRZEDAŻ",E236="ZUŻYCIE"),-AA236,0)))</f>
        <v>26.73</v>
      </c>
      <c r="AE236" s="19" t="n">
        <f aca="false">IF(E236="ZAKUP",IF(L236&lt;&gt;"",L236,IF(K236&lt;&gt;"",Z236*K236,0)),0)</f>
        <v>0</v>
      </c>
      <c r="AF236" s="19" t="n">
        <f aca="false">IF(E236="SPRZEDAŻ",IF(M236&lt;&gt;"",Z236*M236,0),0)</f>
        <v>0</v>
      </c>
      <c r="AG236" s="19" t="str">
        <f aca="false">IF(R236="","",IF(LOWER(R236)="brak","Brak",IF(OR(ISNUMBER(SEARCH("ric pl",LOWER(R236))),ISNUMBER(SEARCH("wojciechowski",LOWER(R236)))),"Własny","Zewnętrzny")))</f>
        <v>Zewnętrzny</v>
      </c>
      <c r="AH236" s="19" t="n">
        <f aca="false">Z236*Q236</f>
        <v>0</v>
      </c>
      <c r="AI236" s="19" t="str">
        <f aca="false">UPPER(TEXT(C236,"mmmm"))</f>
        <v>JULY</v>
      </c>
      <c r="AJ236" s="19" t="str">
        <f aca="false">IF(C236="","",TEXT(C236,"rrrr"))</f>
        <v>CE5786CE5786</v>
      </c>
      <c r="AK236" s="10"/>
      <c r="AL236" s="11" t="n">
        <v>1000</v>
      </c>
      <c r="AM236" s="10" t="s">
        <v>467</v>
      </c>
      <c r="AN236" s="10" t="s">
        <v>49</v>
      </c>
      <c r="AO236" s="10"/>
      <c r="AP236" s="10"/>
      <c r="AQ236" s="10"/>
      <c r="AR236" s="10" t="s">
        <v>66</v>
      </c>
      <c r="AS236" s="10"/>
      <c r="AT236" s="15" t="n">
        <v>1</v>
      </c>
    </row>
    <row r="237" customFormat="false" ht="28.5" hidden="false" customHeight="true" outlineLevel="0" collapsed="false">
      <c r="A237" s="23" t="n">
        <v>46233</v>
      </c>
      <c r="B237" s="12"/>
      <c r="C237" s="12" t="n">
        <v>46233</v>
      </c>
      <c r="D237" s="10" t="s">
        <v>462</v>
      </c>
      <c r="E237" s="10" t="s">
        <v>63</v>
      </c>
      <c r="F237" s="13" t="s">
        <v>468</v>
      </c>
      <c r="G237" s="14" t="s">
        <v>49</v>
      </c>
      <c r="H237" s="10" t="s">
        <v>50</v>
      </c>
      <c r="I237" s="15" t="n">
        <v>20.28</v>
      </c>
      <c r="J237" s="10" t="s">
        <v>77</v>
      </c>
      <c r="K237" s="15" t="n">
        <v>141</v>
      </c>
      <c r="L237" s="11" t="n">
        <v>2859.48</v>
      </c>
      <c r="M237" s="11" t="n">
        <v>0</v>
      </c>
      <c r="N237" s="10" t="s">
        <v>64</v>
      </c>
      <c r="O237" s="10" t="s">
        <v>67</v>
      </c>
      <c r="P237" s="10"/>
      <c r="Q237" s="16" t="n">
        <v>0</v>
      </c>
      <c r="R237" s="10"/>
      <c r="S237" s="10"/>
      <c r="T237" s="10" t="n">
        <v>0</v>
      </c>
      <c r="U237" s="11" t="n">
        <f aca="false">IF(E237="TRANSPORT",IF(T237="","",T237*5),IF(AL237="","",AL237))</f>
        <v>0</v>
      </c>
      <c r="V237" s="10" t="s">
        <v>54</v>
      </c>
      <c r="W237" s="15" t="s">
        <v>65</v>
      </c>
      <c r="X237" s="15"/>
      <c r="Y237" s="17" t="n">
        <v>46237.475150463</v>
      </c>
      <c r="Z237" s="18" t="n">
        <f aca="false">IF(I237="",0,IF(ISNUMBER(SEARCH("mp",LOWER(J237))),I237,IF(ISNUMBER(SEARCH("ton",LOWER(J237))),I237/0.33,IF(ISNUMBER(SEARCH("m3",LOWER(J237))),I237*4,I237))))</f>
        <v>81.12</v>
      </c>
      <c r="AA237" s="18" t="n">
        <f aca="false">IF(I237="",0,IF(ISNUMBER(SEARCH("mp",LOWER(J237))),I237*0.33,IF(ISNUMBER(SEARCH("ton",LOWER(J237))),I237,I237*0.33)))</f>
        <v>6.6924</v>
      </c>
      <c r="AB237" s="18" t="n">
        <f aca="false">Tabela_dane[[#This Row],[Wolumen_t]]*8.5</f>
        <v>56.8854</v>
      </c>
      <c r="AC237" s="18" t="n">
        <f aca="false">IF(G237&lt;&gt;"TAK",0,IF(OR(E237="ZAKUP",E237="PRODUKCJA"),Z237,IF(OR(E237="SPRZEDAŻ",E237="ZUŻYCIE"),-Z237,0)))</f>
        <v>81.12</v>
      </c>
      <c r="AD237" s="18" t="n">
        <f aca="false">IF(G237&lt;&gt;"TAK",0,IF(OR(E237="ZAKUP",E237="PRODUKCJA"),AA237,IF(OR(E237="SPRZEDAŻ",E237="ZUŻYCIE"),-AA237,0)))</f>
        <v>6.6924</v>
      </c>
      <c r="AE237" s="19" t="n">
        <f aca="false">IF(E237="ZAKUP",IF(L237&lt;&gt;"",L237,IF(K237&lt;&gt;"",Z237*K237,0)),0)</f>
        <v>2859.48</v>
      </c>
      <c r="AF237" s="19" t="n">
        <f aca="false">IF(E237="SPRZEDAŻ",IF(M237&lt;&gt;"",Z237*M237,0),0)</f>
        <v>0</v>
      </c>
      <c r="AG237" s="19" t="str">
        <f aca="false">IF(R237="","",IF(LOWER(R237)="brak","Brak",IF(OR(ISNUMBER(SEARCH("ric pl",LOWER(R237))),ISNUMBER(SEARCH("wojciechowski",LOWER(R237)))),"Własny","Zewnętrzny")))</f>
        <v/>
      </c>
      <c r="AH237" s="19" t="n">
        <f aca="false">Z237*Q237</f>
        <v>0</v>
      </c>
      <c r="AI237" s="19" t="str">
        <f aca="false">UPPER(TEXT(C237,"mmmm"))</f>
        <v>JULY</v>
      </c>
      <c r="AJ237" s="19" t="str">
        <f aca="false">IF(C237="","",TEXT(C237,"rrrr"))</f>
        <v>CE5786CE5786</v>
      </c>
      <c r="AK237" s="10"/>
      <c r="AL237" s="11" t="n">
        <v>0</v>
      </c>
      <c r="AM237" s="10" t="s">
        <v>469</v>
      </c>
      <c r="AN237" s="10" t="s">
        <v>59</v>
      </c>
      <c r="AO237" s="10"/>
      <c r="AP237" s="10"/>
      <c r="AQ237" s="10"/>
      <c r="AR237" s="10" t="s">
        <v>66</v>
      </c>
      <c r="AS237" s="10"/>
      <c r="AT237" s="15" t="n">
        <v>1</v>
      </c>
    </row>
    <row r="238" customFormat="false" ht="28.5" hidden="false" customHeight="true" outlineLevel="0" collapsed="false">
      <c r="A238" s="23" t="n">
        <v>46233</v>
      </c>
      <c r="B238" s="12"/>
      <c r="C238" s="12" t="n">
        <v>46233</v>
      </c>
      <c r="D238" s="10" t="s">
        <v>54</v>
      </c>
      <c r="E238" s="10" t="s">
        <v>47</v>
      </c>
      <c r="F238" s="13" t="s">
        <v>468</v>
      </c>
      <c r="G238" s="14" t="s">
        <v>49</v>
      </c>
      <c r="H238" s="10" t="s">
        <v>50</v>
      </c>
      <c r="I238" s="15" t="n">
        <v>81.12</v>
      </c>
      <c r="J238" s="10" t="s">
        <v>51</v>
      </c>
      <c r="K238" s="15" t="n">
        <v>0</v>
      </c>
      <c r="L238" s="11" t="n">
        <v>0</v>
      </c>
      <c r="M238" s="11" t="n">
        <v>0</v>
      </c>
      <c r="N238" s="10" t="s">
        <v>52</v>
      </c>
      <c r="O238" s="10" t="s">
        <v>67</v>
      </c>
      <c r="P238" s="10" t="s">
        <v>53</v>
      </c>
      <c r="Q238" s="16" t="n">
        <v>10</v>
      </c>
      <c r="R238" s="10"/>
      <c r="S238" s="10"/>
      <c r="T238" s="10" t="n">
        <v>0</v>
      </c>
      <c r="U238" s="11" t="n">
        <f aca="false">IF(E238="TRANSPORT",IF(T238="","",T238*5),IF(AL238="","",AL238))</f>
        <v>0</v>
      </c>
      <c r="V238" s="10" t="s">
        <v>54</v>
      </c>
      <c r="W238" s="15" t="s">
        <v>65</v>
      </c>
      <c r="X238" s="15"/>
      <c r="Y238" s="17" t="n">
        <v>46237.4757638889</v>
      </c>
      <c r="Z238" s="18" t="n">
        <f aca="false">IF(I238="",0,IF(ISNUMBER(SEARCH("mp",LOWER(J238))),I238,IF(ISNUMBER(SEARCH("ton",LOWER(J238))),I238/0.33,IF(ISNUMBER(SEARCH("m3",LOWER(J238))),I238*4,I238))))</f>
        <v>81.12</v>
      </c>
      <c r="AA238" s="18" t="n">
        <f aca="false">IF(I238="",0,IF(ISNUMBER(SEARCH("mp",LOWER(J238))),I238*0.33,IF(ISNUMBER(SEARCH("ton",LOWER(J238))),I238,I238*0.33)))</f>
        <v>26.7696</v>
      </c>
      <c r="AB238" s="18" t="n">
        <f aca="false">Tabela_dane[[#This Row],[Wolumen_t]]*8.5</f>
        <v>227.5416</v>
      </c>
      <c r="AC238" s="18" t="n">
        <f aca="false">IF(G238&lt;&gt;"TAK",0,IF(OR(E238="ZAKUP",E238="PRODUKCJA"),Z238,IF(OR(E238="SPRZEDAŻ",E238="ZUŻYCIE"),-Z238,0)))</f>
        <v>81.12</v>
      </c>
      <c r="AD238" s="18" t="n">
        <f aca="false">IF(G238&lt;&gt;"TAK",0,IF(OR(E238="ZAKUP",E238="PRODUKCJA"),AA238,IF(OR(E238="SPRZEDAŻ",E238="ZUŻYCIE"),-AA238,0)))</f>
        <v>26.7696</v>
      </c>
      <c r="AE238" s="19" t="n">
        <f aca="false">IF(E238="ZAKUP",IF(L238&lt;&gt;"",L238,IF(K238&lt;&gt;"",Z238*K238,0)),0)</f>
        <v>0</v>
      </c>
      <c r="AF238" s="19" t="n">
        <f aca="false">IF(E238="SPRZEDAŻ",IF(M238&lt;&gt;"",Z238*M238,0),0)</f>
        <v>0</v>
      </c>
      <c r="AG238" s="19" t="str">
        <f aca="false">IF(R238="","",IF(LOWER(R238)="brak","Brak",IF(OR(ISNUMBER(SEARCH("ric pl",LOWER(R238))),ISNUMBER(SEARCH("wojciechowski",LOWER(R238)))),"Własny","Zewnętrzny")))</f>
        <v/>
      </c>
      <c r="AH238" s="19" t="n">
        <f aca="false">Z238*Q238</f>
        <v>811.2</v>
      </c>
      <c r="AI238" s="19" t="str">
        <f aca="false">UPPER(TEXT(C238,"mmmm"))</f>
        <v>JULY</v>
      </c>
      <c r="AJ238" s="19" t="str">
        <f aca="false">IF(C238="","",TEXT(C238,"rrrr"))</f>
        <v>CE5786CE5786</v>
      </c>
      <c r="AK238" s="10"/>
      <c r="AL238" s="11" t="n">
        <v>0</v>
      </c>
      <c r="AM238" s="10" t="s">
        <v>470</v>
      </c>
      <c r="AN238" s="10" t="s">
        <v>59</v>
      </c>
      <c r="AO238" s="10"/>
      <c r="AP238" s="10"/>
      <c r="AQ238" s="10"/>
      <c r="AR238" s="10" t="s">
        <v>66</v>
      </c>
      <c r="AS238" s="10"/>
      <c r="AT238" s="15" t="n">
        <v>1</v>
      </c>
    </row>
    <row r="239" customFormat="false" ht="28.5" hidden="false" customHeight="true" outlineLevel="0" collapsed="false">
      <c r="A239" s="23" t="n">
        <v>46233</v>
      </c>
      <c r="B239" s="12"/>
      <c r="C239" s="12" t="n">
        <v>46233</v>
      </c>
      <c r="D239" s="10" t="s">
        <v>54</v>
      </c>
      <c r="E239" s="10" t="s">
        <v>79</v>
      </c>
      <c r="F239" s="13" t="s">
        <v>468</v>
      </c>
      <c r="G239" s="14" t="s">
        <v>49</v>
      </c>
      <c r="H239" s="10" t="s">
        <v>50</v>
      </c>
      <c r="I239" s="15" t="n">
        <v>81.12</v>
      </c>
      <c r="J239" s="10" t="s">
        <v>51</v>
      </c>
      <c r="K239" s="15" t="n">
        <v>0</v>
      </c>
      <c r="L239" s="11" t="n">
        <v>0</v>
      </c>
      <c r="M239" s="11" t="n">
        <v>0</v>
      </c>
      <c r="N239" s="10" t="s">
        <v>52</v>
      </c>
      <c r="O239" s="10" t="s">
        <v>67</v>
      </c>
      <c r="P239" s="10" t="s">
        <v>53</v>
      </c>
      <c r="Q239" s="16" t="n">
        <v>10</v>
      </c>
      <c r="R239" s="10"/>
      <c r="S239" s="10"/>
      <c r="T239" s="10" t="n">
        <v>0</v>
      </c>
      <c r="U239" s="11" t="n">
        <f aca="false">IF(E239="TRANSPORT",IF(T239="","",T239*5),IF(AL239="","",AL239))</f>
        <v>0</v>
      </c>
      <c r="V239" s="10" t="s">
        <v>54</v>
      </c>
      <c r="W239" s="15" t="s">
        <v>260</v>
      </c>
      <c r="X239" s="15"/>
      <c r="Y239" s="17" t="n">
        <v>46237.4757638889</v>
      </c>
      <c r="Z239" s="18" t="n">
        <f aca="false">IF(I239="",0,IF(ISNUMBER(SEARCH("mp",LOWER(J239))),I239,IF(ISNUMBER(SEARCH("ton",LOWER(J239))),I239/0.33,IF(ISNUMBER(SEARCH("m3",LOWER(J239))),I239*4,I239))))</f>
        <v>81.12</v>
      </c>
      <c r="AA239" s="18" t="n">
        <f aca="false">IF(I239="",0,IF(ISNUMBER(SEARCH("mp",LOWER(J239))),I239*0.33,IF(ISNUMBER(SEARCH("ton",LOWER(J239))),I239,I239*0.33)))</f>
        <v>26.7696</v>
      </c>
      <c r="AB239" s="18" t="n">
        <f aca="false">Tabela_dane[[#This Row],[Wolumen_t]]*8.5</f>
        <v>227.5416</v>
      </c>
      <c r="AC239" s="18" t="n">
        <f aca="false">IF(G239&lt;&gt;"TAK",0,IF(OR(E239="ZAKUP",E239="PRODUKCJA"),Z239,IF(OR(E239="SPRZEDAŻ",E239="ZUŻYCIE"),-Z239,0)))</f>
        <v>-81.12</v>
      </c>
      <c r="AD239" s="18" t="n">
        <f aca="false">IF(G239&lt;&gt;"TAK",0,IF(OR(E239="ZAKUP",E239="PRODUKCJA"),AA239,IF(OR(E239="SPRZEDAŻ",E239="ZUŻYCIE"),-AA239,0)))</f>
        <v>-26.7696</v>
      </c>
      <c r="AE239" s="19" t="n">
        <f aca="false">IF(E239="ZAKUP",IF(L239&lt;&gt;"",L239,IF(K239&lt;&gt;"",Z239*K239,0)),0)</f>
        <v>0</v>
      </c>
      <c r="AF239" s="19" t="n">
        <f aca="false">IF(E239="SPRZEDAŻ",IF(M239&lt;&gt;"",Z239*M239,0),0)</f>
        <v>0</v>
      </c>
      <c r="AG239" s="19" t="str">
        <f aca="false">IF(R239="","",IF(LOWER(R239)="brak","Brak",IF(OR(ISNUMBER(SEARCH("ric pl",LOWER(R239))),ISNUMBER(SEARCH("wojciechowski",LOWER(R239)))),"Własny","Zewnętrzny")))</f>
        <v/>
      </c>
      <c r="AH239" s="19" t="n">
        <f aca="false">Z239*Q239</f>
        <v>811.2</v>
      </c>
      <c r="AI239" s="19" t="str">
        <f aca="false">UPPER(TEXT(C239,"mmmm"))</f>
        <v>JULY</v>
      </c>
      <c r="AJ239" s="19" t="str">
        <f aca="false">IF(C239="","",TEXT(C239,"rrrr"))</f>
        <v>CE5786CE5786</v>
      </c>
      <c r="AK239" s="10"/>
      <c r="AL239" s="11" t="n">
        <v>0</v>
      </c>
      <c r="AM239" s="10" t="s">
        <v>470</v>
      </c>
      <c r="AN239" s="10" t="s">
        <v>59</v>
      </c>
      <c r="AO239" s="10"/>
      <c r="AP239" s="10"/>
      <c r="AQ239" s="10"/>
      <c r="AR239" s="10" t="s">
        <v>81</v>
      </c>
      <c r="AS239" s="10"/>
      <c r="AT239" s="15" t="n">
        <v>1</v>
      </c>
    </row>
    <row r="240" customFormat="false" ht="28.5" hidden="false" customHeight="true" outlineLevel="0" collapsed="false">
      <c r="A240" s="23" t="n">
        <v>46233</v>
      </c>
      <c r="B240" s="12" t="s">
        <v>440</v>
      </c>
      <c r="C240" s="12" t="n">
        <v>46233</v>
      </c>
      <c r="D240" s="10" t="s">
        <v>54</v>
      </c>
      <c r="E240" s="10" t="s">
        <v>63</v>
      </c>
      <c r="F240" s="13" t="s">
        <v>471</v>
      </c>
      <c r="G240" s="14" t="s">
        <v>49</v>
      </c>
      <c r="H240" s="10" t="s">
        <v>50</v>
      </c>
      <c r="I240" s="15" t="n">
        <v>80.12</v>
      </c>
      <c r="J240" s="10" t="s">
        <v>51</v>
      </c>
      <c r="K240" s="15" t="n">
        <v>0</v>
      </c>
      <c r="L240" s="11" t="n">
        <v>0</v>
      </c>
      <c r="M240" s="11" t="n">
        <v>0</v>
      </c>
      <c r="N240" s="10" t="s">
        <v>52</v>
      </c>
      <c r="O240" s="10" t="s">
        <v>67</v>
      </c>
      <c r="P240" s="10"/>
      <c r="Q240" s="16" t="n">
        <v>0</v>
      </c>
      <c r="R240" s="10" t="s">
        <v>68</v>
      </c>
      <c r="S240" s="10" t="s">
        <v>69</v>
      </c>
      <c r="T240" s="10" t="n">
        <v>200</v>
      </c>
      <c r="U240" s="11" t="n">
        <f aca="false">IF(E240="TRANSPORT",IF(T240="","",T240*5),IF(AL240="","",AL240))</f>
        <v>1000</v>
      </c>
      <c r="V240" s="10" t="s">
        <v>54</v>
      </c>
      <c r="W240" s="15" t="s">
        <v>70</v>
      </c>
      <c r="X240" s="15"/>
      <c r="Y240" s="17" t="n">
        <v>46237.4765856481</v>
      </c>
      <c r="Z240" s="18" t="n">
        <f aca="false">IF(I240="",0,IF(ISNUMBER(SEARCH("mp",LOWER(J240))),I240,IF(ISNUMBER(SEARCH("ton",LOWER(J240))),I240/0.33,IF(ISNUMBER(SEARCH("m3",LOWER(J240))),I240*4,I240))))</f>
        <v>80.12</v>
      </c>
      <c r="AA240" s="18" t="n">
        <f aca="false">IF(I240="",0,IF(ISNUMBER(SEARCH("mp",LOWER(J240))),I240*0.33,IF(ISNUMBER(SEARCH("ton",LOWER(J240))),I240,I240*0.33)))</f>
        <v>26.4396</v>
      </c>
      <c r="AB240" s="18" t="n">
        <f aca="false">Tabela_dane[[#This Row],[Wolumen_t]]*8.5</f>
        <v>224.7366</v>
      </c>
      <c r="AC240" s="18" t="n">
        <f aca="false">IF(G240&lt;&gt;"TAK",0,IF(OR(E240="ZAKUP",E240="PRODUKCJA"),Z240,IF(OR(E240="SPRZEDAŻ",E240="ZUŻYCIE"),-Z240,0)))</f>
        <v>80.12</v>
      </c>
      <c r="AD240" s="18" t="n">
        <f aca="false">IF(G240&lt;&gt;"TAK",0,IF(OR(E240="ZAKUP",E240="PRODUKCJA"),AA240,IF(OR(E240="SPRZEDAŻ",E240="ZUŻYCIE"),-AA240,0)))</f>
        <v>26.4396</v>
      </c>
      <c r="AE240" s="19" t="n">
        <f aca="false">IF(E240="ZAKUP",IF(L240&lt;&gt;"",L240,IF(K240&lt;&gt;"",Z240*K240,0)),0)</f>
        <v>0</v>
      </c>
      <c r="AF240" s="19" t="n">
        <f aca="false">IF(E240="SPRZEDAŻ",IF(M240&lt;&gt;"",Z240*M240,0),0)</f>
        <v>0</v>
      </c>
      <c r="AG240" s="19" t="str">
        <f aca="false">IF(R240="","",IF(LOWER(R240)="brak","Brak",IF(OR(ISNUMBER(SEARCH("ric pl",LOWER(R240))),ISNUMBER(SEARCH("wojciechowski",LOWER(R240)))),"Własny","Zewnętrzny")))</f>
        <v>Zewnętrzny</v>
      </c>
      <c r="AH240" s="19" t="n">
        <f aca="false">Z240*Q240</f>
        <v>0</v>
      </c>
      <c r="AI240" s="19" t="str">
        <f aca="false">UPPER(TEXT(C240,"mmmm"))</f>
        <v>JULY</v>
      </c>
      <c r="AJ240" s="19" t="str">
        <f aca="false">IF(C240="","",TEXT(C240,"rrrr"))</f>
        <v>CE5786CE5786</v>
      </c>
      <c r="AK240" s="10"/>
      <c r="AL240" s="11" t="n">
        <v>1000</v>
      </c>
      <c r="AM240" s="10" t="s">
        <v>472</v>
      </c>
      <c r="AN240" s="10" t="s">
        <v>49</v>
      </c>
      <c r="AO240" s="10"/>
      <c r="AP240" s="10"/>
      <c r="AQ240" s="10"/>
      <c r="AR240" s="10" t="s">
        <v>66</v>
      </c>
      <c r="AS240" s="10"/>
      <c r="AT240" s="15" t="n">
        <v>1</v>
      </c>
    </row>
    <row r="241" customFormat="false" ht="28.5" hidden="false" customHeight="true" outlineLevel="0" collapsed="false">
      <c r="A241" s="23" t="n">
        <v>46233</v>
      </c>
      <c r="B241" s="12"/>
      <c r="C241" s="12" t="n">
        <v>46233</v>
      </c>
      <c r="D241" s="10" t="s">
        <v>462</v>
      </c>
      <c r="E241" s="10" t="s">
        <v>63</v>
      </c>
      <c r="F241" s="13" t="s">
        <v>473</v>
      </c>
      <c r="G241" s="14" t="s">
        <v>49</v>
      </c>
      <c r="H241" s="10" t="s">
        <v>50</v>
      </c>
      <c r="I241" s="15" t="n">
        <v>21.78</v>
      </c>
      <c r="J241" s="10" t="s">
        <v>77</v>
      </c>
      <c r="K241" s="15" t="n">
        <v>141</v>
      </c>
      <c r="L241" s="11" t="n">
        <v>3070.98</v>
      </c>
      <c r="M241" s="11" t="n">
        <v>0</v>
      </c>
      <c r="N241" s="10" t="s">
        <v>64</v>
      </c>
      <c r="O241" s="10" t="s">
        <v>67</v>
      </c>
      <c r="P241" s="10"/>
      <c r="Q241" s="16" t="n">
        <v>0</v>
      </c>
      <c r="R241" s="10"/>
      <c r="S241" s="10"/>
      <c r="T241" s="10" t="n">
        <v>0</v>
      </c>
      <c r="U241" s="11" t="n">
        <f aca="false">IF(E241="TRANSPORT",IF(T241="","",T241*5),IF(AL241="","",AL241))</f>
        <v>0</v>
      </c>
      <c r="V241" s="10" t="s">
        <v>54</v>
      </c>
      <c r="W241" s="15" t="s">
        <v>65</v>
      </c>
      <c r="X241" s="15"/>
      <c r="Y241" s="17" t="n">
        <v>46237.4871990741</v>
      </c>
      <c r="Z241" s="18" t="n">
        <f aca="false">IF(I241="",0,IF(ISNUMBER(SEARCH("mp",LOWER(J241))),I241,IF(ISNUMBER(SEARCH("ton",LOWER(J241))),I241/0.33,IF(ISNUMBER(SEARCH("m3",LOWER(J241))),I241*4,I241))))</f>
        <v>87.12</v>
      </c>
      <c r="AA241" s="18" t="n">
        <f aca="false">IF(I241="",0,IF(ISNUMBER(SEARCH("mp",LOWER(J241))),I241*0.33,IF(ISNUMBER(SEARCH("ton",LOWER(J241))),I241,I241*0.33)))</f>
        <v>7.1874</v>
      </c>
      <c r="AB241" s="18" t="n">
        <f aca="false">Tabela_dane[[#This Row],[Wolumen_t]]*8.5</f>
        <v>61.0929</v>
      </c>
      <c r="AC241" s="18" t="n">
        <f aca="false">IF(G241&lt;&gt;"TAK",0,IF(OR(E241="ZAKUP",E241="PRODUKCJA"),Z241,IF(OR(E241="SPRZEDAŻ",E241="ZUŻYCIE"),-Z241,0)))</f>
        <v>87.12</v>
      </c>
      <c r="AD241" s="18" t="n">
        <f aca="false">IF(G241&lt;&gt;"TAK",0,IF(OR(E241="ZAKUP",E241="PRODUKCJA"),AA241,IF(OR(E241="SPRZEDAŻ",E241="ZUŻYCIE"),-AA241,0)))</f>
        <v>7.1874</v>
      </c>
      <c r="AE241" s="19" t="n">
        <f aca="false">IF(E241="ZAKUP",IF(L241&lt;&gt;"",L241,IF(K241&lt;&gt;"",Z241*K241,0)),0)</f>
        <v>3070.98</v>
      </c>
      <c r="AF241" s="19" t="n">
        <f aca="false">IF(E241="SPRZEDAŻ",IF(M241&lt;&gt;"",Z241*M241,0),0)</f>
        <v>0</v>
      </c>
      <c r="AG241" s="19" t="str">
        <f aca="false">IF(R241="","",IF(LOWER(R241)="brak","Brak",IF(OR(ISNUMBER(SEARCH("ric pl",LOWER(R241))),ISNUMBER(SEARCH("wojciechowski",LOWER(R241)))),"Własny","Zewnętrzny")))</f>
        <v/>
      </c>
      <c r="AH241" s="19" t="n">
        <f aca="false">Z241*Q241</f>
        <v>0</v>
      </c>
      <c r="AI241" s="19" t="str">
        <f aca="false">UPPER(TEXT(C241,"mmmm"))</f>
        <v>JULY</v>
      </c>
      <c r="AJ241" s="19" t="str">
        <f aca="false">IF(C241="","",TEXT(C241,"rrrr"))</f>
        <v>CE5786CE5786</v>
      </c>
      <c r="AK241" s="10"/>
      <c r="AL241" s="11" t="n">
        <v>0</v>
      </c>
      <c r="AM241" s="10" t="s">
        <v>474</v>
      </c>
      <c r="AN241" s="10" t="s">
        <v>59</v>
      </c>
      <c r="AO241" s="10"/>
      <c r="AP241" s="10"/>
      <c r="AQ241" s="10"/>
      <c r="AR241" s="10" t="s">
        <v>66</v>
      </c>
      <c r="AS241" s="10"/>
      <c r="AT241" s="15" t="n">
        <v>1</v>
      </c>
    </row>
    <row r="242" customFormat="false" ht="28.5" hidden="false" customHeight="true" outlineLevel="0" collapsed="false">
      <c r="A242" s="23" t="n">
        <v>46233</v>
      </c>
      <c r="B242" s="12"/>
      <c r="C242" s="12" t="n">
        <v>46233</v>
      </c>
      <c r="D242" s="10" t="s">
        <v>54</v>
      </c>
      <c r="E242" s="10" t="s">
        <v>47</v>
      </c>
      <c r="F242" s="13" t="s">
        <v>473</v>
      </c>
      <c r="G242" s="14" t="s">
        <v>49</v>
      </c>
      <c r="H242" s="10" t="s">
        <v>50</v>
      </c>
      <c r="I242" s="15" t="n">
        <v>87.12</v>
      </c>
      <c r="J242" s="10" t="s">
        <v>51</v>
      </c>
      <c r="K242" s="15" t="n">
        <v>0</v>
      </c>
      <c r="L242" s="11" t="n">
        <v>0</v>
      </c>
      <c r="M242" s="11" t="n">
        <v>0</v>
      </c>
      <c r="N242" s="10" t="s">
        <v>52</v>
      </c>
      <c r="O242" s="10" t="s">
        <v>67</v>
      </c>
      <c r="P242" s="10" t="s">
        <v>53</v>
      </c>
      <c r="Q242" s="16" t="n">
        <v>10</v>
      </c>
      <c r="R242" s="10"/>
      <c r="S242" s="10"/>
      <c r="T242" s="10" t="n">
        <v>0</v>
      </c>
      <c r="U242" s="11" t="n">
        <f aca="false">IF(E242="TRANSPORT",IF(T242="","",T242*5),IF(AL242="","",AL242))</f>
        <v>0</v>
      </c>
      <c r="V242" s="10" t="s">
        <v>54</v>
      </c>
      <c r="W242" s="15" t="s">
        <v>70</v>
      </c>
      <c r="X242" s="15"/>
      <c r="Y242" s="17" t="n">
        <v>46237.4879050926</v>
      </c>
      <c r="Z242" s="18" t="n">
        <f aca="false">IF(I242="",0,IF(ISNUMBER(SEARCH("mp",LOWER(J242))),I242,IF(ISNUMBER(SEARCH("ton",LOWER(J242))),I242/0.33,IF(ISNUMBER(SEARCH("m3",LOWER(J242))),I242*4,I242))))</f>
        <v>87.12</v>
      </c>
      <c r="AA242" s="18" t="n">
        <f aca="false">IF(I242="",0,IF(ISNUMBER(SEARCH("mp",LOWER(J242))),I242*0.33,IF(ISNUMBER(SEARCH("ton",LOWER(J242))),I242,I242*0.33)))</f>
        <v>28.7496</v>
      </c>
      <c r="AB242" s="18" t="n">
        <f aca="false">Tabela_dane[[#This Row],[Wolumen_t]]*8.5</f>
        <v>244.3716</v>
      </c>
      <c r="AC242" s="18" t="n">
        <f aca="false">IF(G242&lt;&gt;"TAK",0,IF(OR(E242="ZAKUP",E242="PRODUKCJA"),Z242,IF(OR(E242="SPRZEDAŻ",E242="ZUŻYCIE"),-Z242,0)))</f>
        <v>87.12</v>
      </c>
      <c r="AD242" s="18" t="n">
        <f aca="false">IF(G242&lt;&gt;"TAK",0,IF(OR(E242="ZAKUP",E242="PRODUKCJA"),AA242,IF(OR(E242="SPRZEDAŻ",E242="ZUŻYCIE"),-AA242,0)))</f>
        <v>28.7496</v>
      </c>
      <c r="AE242" s="19" t="n">
        <f aca="false">IF(E242="ZAKUP",IF(L242&lt;&gt;"",L242,IF(K242&lt;&gt;"",Z242*K242,0)),0)</f>
        <v>0</v>
      </c>
      <c r="AF242" s="19" t="n">
        <f aca="false">IF(E242="SPRZEDAŻ",IF(M242&lt;&gt;"",Z242*M242,0),0)</f>
        <v>0</v>
      </c>
      <c r="AG242" s="19" t="str">
        <f aca="false">IF(R242="","",IF(LOWER(R242)="brak","Brak",IF(OR(ISNUMBER(SEARCH("ric pl",LOWER(R242))),ISNUMBER(SEARCH("wojciechowski",LOWER(R242)))),"Własny","Zewnętrzny")))</f>
        <v/>
      </c>
      <c r="AH242" s="19" t="n">
        <f aca="false">Z242*Q242</f>
        <v>871.2</v>
      </c>
      <c r="AI242" s="19" t="str">
        <f aca="false">UPPER(TEXT(C242,"mmmm"))</f>
        <v>JULY</v>
      </c>
      <c r="AJ242" s="19" t="str">
        <f aca="false">IF(C242="","",TEXT(C242,"rrrr"))</f>
        <v>CE5786CE5786</v>
      </c>
      <c r="AK242" s="10"/>
      <c r="AL242" s="11" t="n">
        <v>0</v>
      </c>
      <c r="AM242" s="10" t="s">
        <v>475</v>
      </c>
      <c r="AN242" s="10" t="s">
        <v>59</v>
      </c>
      <c r="AO242" s="10"/>
      <c r="AP242" s="10"/>
      <c r="AQ242" s="10"/>
      <c r="AR242" s="10" t="s">
        <v>66</v>
      </c>
      <c r="AS242" s="10"/>
      <c r="AT242" s="15" t="n">
        <v>1</v>
      </c>
    </row>
    <row r="243" customFormat="false" ht="28.5" hidden="false" customHeight="true" outlineLevel="0" collapsed="false">
      <c r="A243" s="23" t="n">
        <v>46233</v>
      </c>
      <c r="B243" s="12"/>
      <c r="C243" s="12" t="n">
        <v>46233</v>
      </c>
      <c r="D243" s="10" t="s">
        <v>54</v>
      </c>
      <c r="E243" s="10" t="s">
        <v>79</v>
      </c>
      <c r="F243" s="13" t="s">
        <v>473</v>
      </c>
      <c r="G243" s="14" t="s">
        <v>49</v>
      </c>
      <c r="H243" s="10" t="s">
        <v>50</v>
      </c>
      <c r="I243" s="15" t="n">
        <v>87.12</v>
      </c>
      <c r="J243" s="10" t="s">
        <v>51</v>
      </c>
      <c r="K243" s="15" t="n">
        <v>0</v>
      </c>
      <c r="L243" s="11" t="n">
        <v>0</v>
      </c>
      <c r="M243" s="11" t="n">
        <v>0</v>
      </c>
      <c r="N243" s="10" t="s">
        <v>52</v>
      </c>
      <c r="O243" s="10" t="s">
        <v>67</v>
      </c>
      <c r="P243" s="10" t="s">
        <v>53</v>
      </c>
      <c r="Q243" s="16" t="n">
        <v>10</v>
      </c>
      <c r="R243" s="10"/>
      <c r="S243" s="10"/>
      <c r="T243" s="10" t="n">
        <v>0</v>
      </c>
      <c r="U243" s="11" t="n">
        <f aca="false">IF(E243="TRANSPORT",IF(T243="","",T243*5),IF(AL243="","",AL243))</f>
        <v>0</v>
      </c>
      <c r="V243" s="10" t="s">
        <v>54</v>
      </c>
      <c r="W243" s="15" t="s">
        <v>260</v>
      </c>
      <c r="X243" s="15"/>
      <c r="Y243" s="17" t="n">
        <v>46237.4879050926</v>
      </c>
      <c r="Z243" s="18" t="n">
        <f aca="false">IF(I243="",0,IF(ISNUMBER(SEARCH("mp",LOWER(J243))),I243,IF(ISNUMBER(SEARCH("ton",LOWER(J243))),I243/0.33,IF(ISNUMBER(SEARCH("m3",LOWER(J243))),I243*4,I243))))</f>
        <v>87.12</v>
      </c>
      <c r="AA243" s="18" t="n">
        <f aca="false">IF(I243="",0,IF(ISNUMBER(SEARCH("mp",LOWER(J243))),I243*0.33,IF(ISNUMBER(SEARCH("ton",LOWER(J243))),I243,I243*0.33)))</f>
        <v>28.7496</v>
      </c>
      <c r="AB243" s="18" t="n">
        <f aca="false">Tabela_dane[[#This Row],[Wolumen_t]]*8.5</f>
        <v>244.3716</v>
      </c>
      <c r="AC243" s="18" t="n">
        <f aca="false">IF(G243&lt;&gt;"TAK",0,IF(OR(E243="ZAKUP",E243="PRODUKCJA"),Z243,IF(OR(E243="SPRZEDAŻ",E243="ZUŻYCIE"),-Z243,0)))</f>
        <v>-87.12</v>
      </c>
      <c r="AD243" s="18" t="n">
        <f aca="false">IF(G243&lt;&gt;"TAK",0,IF(OR(E243="ZAKUP",E243="PRODUKCJA"),AA243,IF(OR(E243="SPRZEDAŻ",E243="ZUŻYCIE"),-AA243,0)))</f>
        <v>-28.7496</v>
      </c>
      <c r="AE243" s="19" t="n">
        <f aca="false">IF(E243="ZAKUP",IF(L243&lt;&gt;"",L243,IF(K243&lt;&gt;"",Z243*K243,0)),0)</f>
        <v>0</v>
      </c>
      <c r="AF243" s="19" t="n">
        <f aca="false">IF(E243="SPRZEDAŻ",IF(M243&lt;&gt;"",Z243*M243,0),0)</f>
        <v>0</v>
      </c>
      <c r="AG243" s="19" t="str">
        <f aca="false">IF(R243="","",IF(LOWER(R243)="brak","Brak",IF(OR(ISNUMBER(SEARCH("ric pl",LOWER(R243))),ISNUMBER(SEARCH("wojciechowski",LOWER(R243)))),"Własny","Zewnętrzny")))</f>
        <v/>
      </c>
      <c r="AH243" s="19" t="n">
        <f aca="false">Z243*Q243</f>
        <v>871.2</v>
      </c>
      <c r="AI243" s="19" t="str">
        <f aca="false">UPPER(TEXT(C243,"mmmm"))</f>
        <v>JULY</v>
      </c>
      <c r="AJ243" s="19" t="str">
        <f aca="false">IF(C243="","",TEXT(C243,"rrrr"))</f>
        <v>CE5786CE5786</v>
      </c>
      <c r="AK243" s="10"/>
      <c r="AL243" s="11" t="n">
        <v>0</v>
      </c>
      <c r="AM243" s="10" t="s">
        <v>475</v>
      </c>
      <c r="AN243" s="10" t="s">
        <v>59</v>
      </c>
      <c r="AO243" s="10"/>
      <c r="AP243" s="10"/>
      <c r="AQ243" s="10"/>
      <c r="AR243" s="10" t="s">
        <v>81</v>
      </c>
      <c r="AS243" s="10"/>
      <c r="AT243" s="15" t="n">
        <v>1</v>
      </c>
    </row>
    <row r="244" customFormat="false" ht="28.5" hidden="false" customHeight="true" outlineLevel="0" collapsed="false">
      <c r="A244" s="23" t="n">
        <v>46233</v>
      </c>
      <c r="B244" s="12" t="s">
        <v>440</v>
      </c>
      <c r="C244" s="12" t="n">
        <v>46233</v>
      </c>
      <c r="D244" s="10" t="s">
        <v>54</v>
      </c>
      <c r="E244" s="10" t="s">
        <v>63</v>
      </c>
      <c r="F244" s="13" t="s">
        <v>476</v>
      </c>
      <c r="G244" s="14" t="s">
        <v>49</v>
      </c>
      <c r="H244" s="10" t="s">
        <v>76</v>
      </c>
      <c r="I244" s="15" t="n">
        <v>87.12</v>
      </c>
      <c r="J244" s="10" t="s">
        <v>51</v>
      </c>
      <c r="K244" s="15" t="n">
        <v>0</v>
      </c>
      <c r="L244" s="11" t="n">
        <v>0</v>
      </c>
      <c r="M244" s="11" t="n">
        <v>0</v>
      </c>
      <c r="N244" s="10" t="s">
        <v>52</v>
      </c>
      <c r="O244" s="10" t="s">
        <v>67</v>
      </c>
      <c r="P244" s="10"/>
      <c r="Q244" s="16" t="n">
        <v>0</v>
      </c>
      <c r="R244" s="10" t="s">
        <v>182</v>
      </c>
      <c r="S244" s="10" t="s">
        <v>460</v>
      </c>
      <c r="T244" s="10" t="n">
        <v>200</v>
      </c>
      <c r="U244" s="11" t="n">
        <f aca="false">IF(E244="TRANSPORT",IF(T244="","",T244*5),IF(AL244="","",AL244))</f>
        <v>1000</v>
      </c>
      <c r="V244" s="10" t="s">
        <v>54</v>
      </c>
      <c r="W244" s="15" t="s">
        <v>70</v>
      </c>
      <c r="X244" s="15"/>
      <c r="Y244" s="17" t="n">
        <v>46237.4889351852</v>
      </c>
      <c r="Z244" s="18" t="n">
        <f aca="false">IF(I244="",0,IF(ISNUMBER(SEARCH("mp",LOWER(J244))),I244,IF(ISNUMBER(SEARCH("ton",LOWER(J244))),I244/0.33,IF(ISNUMBER(SEARCH("m3",LOWER(J244))),I244*4,I244))))</f>
        <v>87.12</v>
      </c>
      <c r="AA244" s="18" t="n">
        <f aca="false">IF(I244="",0,IF(ISNUMBER(SEARCH("mp",LOWER(J244))),I244*0.33,IF(ISNUMBER(SEARCH("ton",LOWER(J244))),I244,I244*0.33)))</f>
        <v>28.7496</v>
      </c>
      <c r="AB244" s="18" t="n">
        <f aca="false">Tabela_dane[[#This Row],[Wolumen_t]]*8.5</f>
        <v>244.3716</v>
      </c>
      <c r="AC244" s="18" t="n">
        <f aca="false">IF(G244&lt;&gt;"TAK",0,IF(OR(E244="ZAKUP",E244="PRODUKCJA"),Z244,IF(OR(E244="SPRZEDAŻ",E244="ZUŻYCIE"),-Z244,0)))</f>
        <v>87.12</v>
      </c>
      <c r="AD244" s="18" t="n">
        <f aca="false">IF(G244&lt;&gt;"TAK",0,IF(OR(E244="ZAKUP",E244="PRODUKCJA"),AA244,IF(OR(E244="SPRZEDAŻ",E244="ZUŻYCIE"),-AA244,0)))</f>
        <v>28.7496</v>
      </c>
      <c r="AE244" s="19" t="n">
        <f aca="false">IF(E244="ZAKUP",IF(L244&lt;&gt;"",L244,IF(K244&lt;&gt;"",Z244*K244,0)),0)</f>
        <v>0</v>
      </c>
      <c r="AF244" s="19" t="n">
        <f aca="false">IF(E244="SPRZEDAŻ",IF(M244&lt;&gt;"",Z244*M244,0),0)</f>
        <v>0</v>
      </c>
      <c r="AG244" s="19" t="str">
        <f aca="false">IF(R244="","",IF(LOWER(R244)="brak","Brak",IF(OR(ISNUMBER(SEARCH("ric pl",LOWER(R244))),ISNUMBER(SEARCH("wojciechowski",LOWER(R244)))),"Własny","Zewnętrzny")))</f>
        <v>Zewnętrzny</v>
      </c>
      <c r="AH244" s="19" t="n">
        <f aca="false">Z244*Q244</f>
        <v>0</v>
      </c>
      <c r="AI244" s="19" t="str">
        <f aca="false">UPPER(TEXT(C244,"mmmm"))</f>
        <v>JULY</v>
      </c>
      <c r="AJ244" s="19" t="str">
        <f aca="false">IF(C244="","",TEXT(C244,"rrrr"))</f>
        <v>CE5786CE5786</v>
      </c>
      <c r="AK244" s="10"/>
      <c r="AL244" s="11" t="n">
        <v>1000</v>
      </c>
      <c r="AM244" s="10" t="s">
        <v>477</v>
      </c>
      <c r="AN244" s="10" t="s">
        <v>49</v>
      </c>
      <c r="AO244" s="10"/>
      <c r="AP244" s="10"/>
      <c r="AQ244" s="10"/>
      <c r="AR244" s="10" t="s">
        <v>66</v>
      </c>
      <c r="AS244" s="10"/>
      <c r="AT244" s="15" t="n">
        <v>1</v>
      </c>
    </row>
    <row r="245" customFormat="false" ht="35.25" hidden="false" customHeight="true" outlineLevel="0" collapsed="false">
      <c r="A245" s="23" t="n">
        <v>46233</v>
      </c>
      <c r="B245" s="12"/>
      <c r="C245" s="12" t="n">
        <v>46233</v>
      </c>
      <c r="D245" s="10" t="s">
        <v>462</v>
      </c>
      <c r="E245" s="10" t="s">
        <v>63</v>
      </c>
      <c r="F245" s="13" t="s">
        <v>478</v>
      </c>
      <c r="G245" s="14" t="s">
        <v>49</v>
      </c>
      <c r="H245" s="10" t="s">
        <v>50</v>
      </c>
      <c r="I245" s="15" t="n">
        <v>14</v>
      </c>
      <c r="J245" s="10" t="s">
        <v>77</v>
      </c>
      <c r="K245" s="15" t="n">
        <v>141</v>
      </c>
      <c r="L245" s="11" t="n">
        <v>1974</v>
      </c>
      <c r="M245" s="11" t="n">
        <v>0</v>
      </c>
      <c r="N245" s="10" t="s">
        <v>64</v>
      </c>
      <c r="O245" s="10" t="s">
        <v>67</v>
      </c>
      <c r="P245" s="10"/>
      <c r="Q245" s="16" t="n">
        <v>0</v>
      </c>
      <c r="R245" s="10"/>
      <c r="S245" s="10"/>
      <c r="T245" s="10" t="n">
        <v>0</v>
      </c>
      <c r="U245" s="11" t="n">
        <f aca="false">IF(E245="TRANSPORT",IF(T245="","",T245*5),IF(AL245="","",AL245))</f>
        <v>0</v>
      </c>
      <c r="V245" s="10" t="s">
        <v>54</v>
      </c>
      <c r="W245" s="15" t="s">
        <v>65</v>
      </c>
      <c r="X245" s="15"/>
      <c r="Y245" s="17" t="n">
        <v>46237.4932986111</v>
      </c>
      <c r="Z245" s="18" t="n">
        <f aca="false">IF(I245="",0,IF(ISNUMBER(SEARCH("mp",LOWER(J245))),I245,IF(ISNUMBER(SEARCH("ton",LOWER(J245))),I245/0.33,IF(ISNUMBER(SEARCH("m3",LOWER(J245))),I245*4,I245))))</f>
        <v>56</v>
      </c>
      <c r="AA245" s="18" t="n">
        <f aca="false">IF(I245="",0,IF(ISNUMBER(SEARCH("mp",LOWER(J245))),I245*0.33,IF(ISNUMBER(SEARCH("ton",LOWER(J245))),I245,I245*0.33)))</f>
        <v>4.62</v>
      </c>
      <c r="AB245" s="18" t="n">
        <f aca="false">Tabela_dane[[#This Row],[Wolumen_t]]*8.5</f>
        <v>39.27</v>
      </c>
      <c r="AC245" s="18" t="n">
        <f aca="false">IF(G245&lt;&gt;"TAK",0,IF(OR(E245="ZAKUP",E245="PRODUKCJA"),Z245,IF(OR(E245="SPRZEDAŻ",E245="ZUŻYCIE"),-Z245,0)))</f>
        <v>56</v>
      </c>
      <c r="AD245" s="18" t="n">
        <f aca="false">IF(G245&lt;&gt;"TAK",0,IF(OR(E245="ZAKUP",E245="PRODUKCJA"),AA245,IF(OR(E245="SPRZEDAŻ",E245="ZUŻYCIE"),-AA245,0)))</f>
        <v>4.62</v>
      </c>
      <c r="AE245" s="19" t="n">
        <f aca="false">IF(E245="ZAKUP",IF(L245&lt;&gt;"",L245,IF(K245&lt;&gt;"",Z245*K245,0)),0)</f>
        <v>1974</v>
      </c>
      <c r="AF245" s="19" t="n">
        <f aca="false">IF(E245="SPRZEDAŻ",IF(M245&lt;&gt;"",Z245*M245,0),0)</f>
        <v>0</v>
      </c>
      <c r="AG245" s="19" t="str">
        <f aca="false">IF(R245="","",IF(LOWER(R245)="brak","Brak",IF(OR(ISNUMBER(SEARCH("ric pl",LOWER(R245))),ISNUMBER(SEARCH("wojciechowski",LOWER(R245)))),"Własny","Zewnętrzny")))</f>
        <v/>
      </c>
      <c r="AH245" s="19" t="n">
        <f aca="false">Z245*Q245</f>
        <v>0</v>
      </c>
      <c r="AI245" s="19" t="str">
        <f aca="false">UPPER(TEXT(C245,"mmmm"))</f>
        <v>JULY</v>
      </c>
      <c r="AJ245" s="19" t="str">
        <f aca="false">IF(C245="","",TEXT(C245,"rrrr"))</f>
        <v>CE5786CE5786</v>
      </c>
      <c r="AK245" s="10"/>
      <c r="AL245" s="11" t="n">
        <v>0</v>
      </c>
      <c r="AM245" s="10" t="s">
        <v>479</v>
      </c>
      <c r="AN245" s="10" t="s">
        <v>59</v>
      </c>
      <c r="AO245" s="10"/>
      <c r="AP245" s="10"/>
      <c r="AQ245" s="10"/>
      <c r="AR245" s="10" t="s">
        <v>66</v>
      </c>
      <c r="AS245" s="10"/>
      <c r="AT245" s="15" t="n">
        <v>1</v>
      </c>
    </row>
    <row r="246" customFormat="false" ht="45.75" hidden="false" customHeight="true" outlineLevel="0" collapsed="false">
      <c r="A246" s="23" t="n">
        <v>46233</v>
      </c>
      <c r="B246" s="12"/>
      <c r="C246" s="12" t="n">
        <v>46233</v>
      </c>
      <c r="D246" s="10" t="s">
        <v>54</v>
      </c>
      <c r="E246" s="10" t="s">
        <v>47</v>
      </c>
      <c r="F246" s="13" t="s">
        <v>478</v>
      </c>
      <c r="G246" s="14" t="s">
        <v>49</v>
      </c>
      <c r="H246" s="10" t="s">
        <v>50</v>
      </c>
      <c r="I246" s="15" t="n">
        <v>56</v>
      </c>
      <c r="J246" s="10" t="s">
        <v>51</v>
      </c>
      <c r="K246" s="15" t="n">
        <v>0</v>
      </c>
      <c r="L246" s="11" t="n">
        <v>0</v>
      </c>
      <c r="M246" s="11" t="n">
        <v>0</v>
      </c>
      <c r="N246" s="10" t="s">
        <v>52</v>
      </c>
      <c r="O246" s="10" t="s">
        <v>67</v>
      </c>
      <c r="P246" s="10" t="s">
        <v>53</v>
      </c>
      <c r="Q246" s="16" t="n">
        <v>10</v>
      </c>
      <c r="R246" s="10"/>
      <c r="S246" s="10"/>
      <c r="T246" s="10" t="n">
        <v>0</v>
      </c>
      <c r="U246" s="11" t="n">
        <f aca="false">IF(E246="TRANSPORT",IF(T246="","",T246*5),IF(AL246="","",AL246))</f>
        <v>0</v>
      </c>
      <c r="V246" s="10" t="s">
        <v>54</v>
      </c>
      <c r="W246" s="15" t="s">
        <v>65</v>
      </c>
      <c r="X246" s="15"/>
      <c r="Y246" s="17" t="n">
        <v>46237.493912037</v>
      </c>
      <c r="Z246" s="18" t="n">
        <f aca="false">IF(I246="",0,IF(ISNUMBER(SEARCH("mp",LOWER(J246))),I246,IF(ISNUMBER(SEARCH("ton",LOWER(J246))),I246/0.33,IF(ISNUMBER(SEARCH("m3",LOWER(J246))),I246*4,I246))))</f>
        <v>56</v>
      </c>
      <c r="AA246" s="18" t="n">
        <f aca="false">IF(I246="",0,IF(ISNUMBER(SEARCH("mp",LOWER(J246))),I246*0.33,IF(ISNUMBER(SEARCH("ton",LOWER(J246))),I246,I246*0.33)))</f>
        <v>18.48</v>
      </c>
      <c r="AB246" s="18" t="n">
        <f aca="false">Tabela_dane[[#This Row],[Wolumen_t]]*8.5</f>
        <v>157.08</v>
      </c>
      <c r="AC246" s="18" t="n">
        <f aca="false">IF(G246&lt;&gt;"TAK",0,IF(OR(E246="ZAKUP",E246="PRODUKCJA"),Z246,IF(OR(E246="SPRZEDAŻ",E246="ZUŻYCIE"),-Z246,0)))</f>
        <v>56</v>
      </c>
      <c r="AD246" s="18" t="n">
        <f aca="false">IF(G246&lt;&gt;"TAK",0,IF(OR(E246="ZAKUP",E246="PRODUKCJA"),AA246,IF(OR(E246="SPRZEDAŻ",E246="ZUŻYCIE"),-AA246,0)))</f>
        <v>18.48</v>
      </c>
      <c r="AE246" s="19" t="n">
        <f aca="false">IF(E246="ZAKUP",IF(L246&lt;&gt;"",L246,IF(K246&lt;&gt;"",Z246*K246,0)),0)</f>
        <v>0</v>
      </c>
      <c r="AF246" s="19" t="n">
        <f aca="false">IF(E246="SPRZEDAŻ",IF(M246&lt;&gt;"",Z246*M246,0),0)</f>
        <v>0</v>
      </c>
      <c r="AG246" s="19" t="str">
        <f aca="false">IF(R246="","",IF(LOWER(R246)="brak","Brak",IF(OR(ISNUMBER(SEARCH("ric pl",LOWER(R246))),ISNUMBER(SEARCH("wojciechowski",LOWER(R246)))),"Własny","Zewnętrzny")))</f>
        <v/>
      </c>
      <c r="AH246" s="19" t="n">
        <f aca="false">Z246*Q246</f>
        <v>560</v>
      </c>
      <c r="AI246" s="19" t="str">
        <f aca="false">UPPER(TEXT(C246,"mmmm"))</f>
        <v>JULY</v>
      </c>
      <c r="AJ246" s="19" t="str">
        <f aca="false">IF(C246="","",TEXT(C246,"rrrr"))</f>
        <v>CE5786CE5786</v>
      </c>
      <c r="AK246" s="10"/>
      <c r="AL246" s="11" t="n">
        <v>0</v>
      </c>
      <c r="AM246" s="10" t="s">
        <v>480</v>
      </c>
      <c r="AN246" s="10" t="s">
        <v>59</v>
      </c>
      <c r="AO246" s="10"/>
      <c r="AP246" s="10"/>
      <c r="AQ246" s="10"/>
      <c r="AR246" s="10" t="s">
        <v>66</v>
      </c>
      <c r="AS246" s="10"/>
      <c r="AT246" s="15" t="n">
        <v>1</v>
      </c>
    </row>
    <row r="247" customFormat="false" ht="39" hidden="false" customHeight="true" outlineLevel="0" collapsed="false">
      <c r="A247" s="23" t="n">
        <v>46233</v>
      </c>
      <c r="B247" s="12"/>
      <c r="C247" s="12" t="n">
        <v>46233</v>
      </c>
      <c r="D247" s="10" t="s">
        <v>54</v>
      </c>
      <c r="E247" s="10" t="s">
        <v>79</v>
      </c>
      <c r="F247" s="13" t="s">
        <v>478</v>
      </c>
      <c r="G247" s="14" t="s">
        <v>49</v>
      </c>
      <c r="H247" s="10" t="s">
        <v>50</v>
      </c>
      <c r="I247" s="15" t="n">
        <v>56</v>
      </c>
      <c r="J247" s="10" t="s">
        <v>51</v>
      </c>
      <c r="K247" s="15" t="n">
        <v>0</v>
      </c>
      <c r="L247" s="11" t="n">
        <v>0</v>
      </c>
      <c r="M247" s="11" t="n">
        <v>0</v>
      </c>
      <c r="N247" s="10" t="s">
        <v>52</v>
      </c>
      <c r="O247" s="10" t="s">
        <v>67</v>
      </c>
      <c r="P247" s="10" t="s">
        <v>53</v>
      </c>
      <c r="Q247" s="16" t="n">
        <v>10</v>
      </c>
      <c r="R247" s="10"/>
      <c r="S247" s="10"/>
      <c r="T247" s="10" t="n">
        <v>0</v>
      </c>
      <c r="U247" s="11" t="n">
        <f aca="false">IF(E247="TRANSPORT",IF(T247="","",T247*5),IF(AL247="","",AL247))</f>
        <v>0</v>
      </c>
      <c r="V247" s="10" t="s">
        <v>54</v>
      </c>
      <c r="W247" s="15" t="s">
        <v>260</v>
      </c>
      <c r="X247" s="15"/>
      <c r="Y247" s="17" t="n">
        <v>46237.493912037</v>
      </c>
      <c r="Z247" s="18" t="n">
        <f aca="false">IF(I247="",0,IF(ISNUMBER(SEARCH("mp",LOWER(J247))),I247,IF(ISNUMBER(SEARCH("ton",LOWER(J247))),I247/0.33,IF(ISNUMBER(SEARCH("m3",LOWER(J247))),I247*4,I247))))</f>
        <v>56</v>
      </c>
      <c r="AA247" s="18" t="n">
        <f aca="false">IF(I247="",0,IF(ISNUMBER(SEARCH("mp",LOWER(J247))),I247*0.33,IF(ISNUMBER(SEARCH("ton",LOWER(J247))),I247,I247*0.33)))</f>
        <v>18.48</v>
      </c>
      <c r="AB247" s="18" t="n">
        <f aca="false">Tabela_dane[[#This Row],[Wolumen_t]]*8.5</f>
        <v>157.08</v>
      </c>
      <c r="AC247" s="18" t="n">
        <f aca="false">IF(G247&lt;&gt;"TAK",0,IF(OR(E247="ZAKUP",E247="PRODUKCJA"),Z247,IF(OR(E247="SPRZEDAŻ",E247="ZUŻYCIE"),-Z247,0)))</f>
        <v>-56</v>
      </c>
      <c r="AD247" s="18" t="n">
        <f aca="false">IF(G247&lt;&gt;"TAK",0,IF(OR(E247="ZAKUP",E247="PRODUKCJA"),AA247,IF(OR(E247="SPRZEDAŻ",E247="ZUŻYCIE"),-AA247,0)))</f>
        <v>-18.48</v>
      </c>
      <c r="AE247" s="19" t="n">
        <f aca="false">IF(E247="ZAKUP",IF(L247&lt;&gt;"",L247,IF(K247&lt;&gt;"",Z247*K247,0)),0)</f>
        <v>0</v>
      </c>
      <c r="AF247" s="19" t="n">
        <f aca="false">IF(E247="SPRZEDAŻ",IF(M247&lt;&gt;"",Z247*M247,0),0)</f>
        <v>0</v>
      </c>
      <c r="AG247" s="19" t="str">
        <f aca="false">IF(R247="","",IF(LOWER(R247)="brak","Brak",IF(OR(ISNUMBER(SEARCH("ric pl",LOWER(R247))),ISNUMBER(SEARCH("wojciechowski",LOWER(R247)))),"Własny","Zewnętrzny")))</f>
        <v/>
      </c>
      <c r="AH247" s="19" t="n">
        <f aca="false">Z247*Q247</f>
        <v>560</v>
      </c>
      <c r="AI247" s="19" t="str">
        <f aca="false">UPPER(TEXT(C247,"mmmm"))</f>
        <v>JULY</v>
      </c>
      <c r="AJ247" s="19" t="str">
        <f aca="false">IF(C247="","",TEXT(C247,"rrrr"))</f>
        <v>CE5786CE5786</v>
      </c>
      <c r="AK247" s="10"/>
      <c r="AL247" s="11" t="n">
        <v>0</v>
      </c>
      <c r="AM247" s="10" t="s">
        <v>480</v>
      </c>
      <c r="AN247" s="10" t="s">
        <v>59</v>
      </c>
      <c r="AO247" s="10"/>
      <c r="AP247" s="10"/>
      <c r="AQ247" s="10"/>
      <c r="AR247" s="10" t="s">
        <v>81</v>
      </c>
      <c r="AS247" s="10"/>
      <c r="AT247" s="15" t="n">
        <v>1</v>
      </c>
    </row>
    <row r="248" customFormat="false" ht="28.5" hidden="false" customHeight="true" outlineLevel="0" collapsed="false">
      <c r="A248" s="23" t="n">
        <v>46233</v>
      </c>
      <c r="B248" s="12" t="s">
        <v>440</v>
      </c>
      <c r="C248" s="12" t="n">
        <v>46233</v>
      </c>
      <c r="D248" s="10" t="s">
        <v>54</v>
      </c>
      <c r="E248" s="10" t="s">
        <v>63</v>
      </c>
      <c r="F248" s="13" t="s">
        <v>481</v>
      </c>
      <c r="G248" s="14" t="s">
        <v>49</v>
      </c>
      <c r="H248" s="10" t="s">
        <v>50</v>
      </c>
      <c r="I248" s="15" t="n">
        <v>56</v>
      </c>
      <c r="J248" s="10" t="s">
        <v>51</v>
      </c>
      <c r="K248" s="15" t="n">
        <v>0</v>
      </c>
      <c r="L248" s="11" t="n">
        <v>0</v>
      </c>
      <c r="M248" s="11" t="n">
        <v>0</v>
      </c>
      <c r="N248" s="10" t="s">
        <v>52</v>
      </c>
      <c r="O248" s="10" t="s">
        <v>67</v>
      </c>
      <c r="P248" s="10"/>
      <c r="Q248" s="16" t="n">
        <v>0</v>
      </c>
      <c r="R248" s="10" t="s">
        <v>72</v>
      </c>
      <c r="S248" s="10" t="s">
        <v>73</v>
      </c>
      <c r="T248" s="10" t="n">
        <v>200</v>
      </c>
      <c r="U248" s="11" t="n">
        <f aca="false">IF(E248="TRANSPORT",IF(T248="","",T248*5),IF(AL248="","",AL248))</f>
        <v>1200</v>
      </c>
      <c r="V248" s="10" t="s">
        <v>54</v>
      </c>
      <c r="W248" s="15" t="s">
        <v>70</v>
      </c>
      <c r="X248" s="15"/>
      <c r="Y248" s="17" t="n">
        <v>46237.4953819444</v>
      </c>
      <c r="Z248" s="18" t="n">
        <f aca="false">IF(I248="",0,IF(ISNUMBER(SEARCH("mp",LOWER(J248))),I248,IF(ISNUMBER(SEARCH("ton",LOWER(J248))),I248/0.33,IF(ISNUMBER(SEARCH("m3",LOWER(J248))),I248*4,I248))))</f>
        <v>56</v>
      </c>
      <c r="AA248" s="18" t="n">
        <f aca="false">IF(I248="",0,IF(ISNUMBER(SEARCH("mp",LOWER(J248))),I248*0.33,IF(ISNUMBER(SEARCH("ton",LOWER(J248))),I248,I248*0.33)))</f>
        <v>18.48</v>
      </c>
      <c r="AB248" s="18" t="n">
        <f aca="false">Tabela_dane[[#This Row],[Wolumen_t]]*8.5</f>
        <v>157.08</v>
      </c>
      <c r="AC248" s="18" t="n">
        <f aca="false">IF(G248&lt;&gt;"TAK",0,IF(OR(E248="ZAKUP",E248="PRODUKCJA"),Z248,IF(OR(E248="SPRZEDAŻ",E248="ZUŻYCIE"),-Z248,0)))</f>
        <v>56</v>
      </c>
      <c r="AD248" s="18" t="n">
        <f aca="false">IF(G248&lt;&gt;"TAK",0,IF(OR(E248="ZAKUP",E248="PRODUKCJA"),AA248,IF(OR(E248="SPRZEDAŻ",E248="ZUŻYCIE"),-AA248,0)))</f>
        <v>18.48</v>
      </c>
      <c r="AE248" s="19" t="n">
        <f aca="false">IF(E248="ZAKUP",IF(L248&lt;&gt;"",L248,IF(K248&lt;&gt;"",Z248*K248,0)),0)</f>
        <v>0</v>
      </c>
      <c r="AF248" s="19" t="n">
        <f aca="false">IF(E248="SPRZEDAŻ",IF(M248&lt;&gt;"",Z248*M248,0),0)</f>
        <v>0</v>
      </c>
      <c r="AG248" s="19" t="str">
        <f aca="false">IF(R248="","",IF(LOWER(R248)="brak","Brak",IF(OR(ISNUMBER(SEARCH("ric pl",LOWER(R248))),ISNUMBER(SEARCH("wojciechowski",LOWER(R248)))),"Własny","Zewnętrzny")))</f>
        <v>Zewnętrzny</v>
      </c>
      <c r="AH248" s="19" t="n">
        <f aca="false">Z248*Q248</f>
        <v>0</v>
      </c>
      <c r="AI248" s="19" t="str">
        <f aca="false">UPPER(TEXT(C248,"mmmm"))</f>
        <v>JULY</v>
      </c>
      <c r="AJ248" s="19" t="str">
        <f aca="false">IF(C248="","",TEXT(C248,"rrrr"))</f>
        <v>CE5786CE5786</v>
      </c>
      <c r="AK248" s="10"/>
      <c r="AL248" s="11" t="n">
        <v>1200</v>
      </c>
      <c r="AM248" s="10" t="s">
        <v>482</v>
      </c>
      <c r="AN248" s="10" t="s">
        <v>49</v>
      </c>
      <c r="AO248" s="10"/>
      <c r="AP248" s="10"/>
      <c r="AQ248" s="10"/>
      <c r="AR248" s="10" t="s">
        <v>66</v>
      </c>
      <c r="AS248" s="10"/>
      <c r="AT248" s="15" t="n">
        <v>1</v>
      </c>
    </row>
    <row r="249" customFormat="false" ht="28.5" hidden="false" customHeight="true" outlineLevel="0" collapsed="false">
      <c r="A249" s="23" t="n">
        <v>46233</v>
      </c>
      <c r="B249" s="12" t="s">
        <v>217</v>
      </c>
      <c r="C249" s="12" t="n">
        <v>46233</v>
      </c>
      <c r="D249" s="10" t="s">
        <v>218</v>
      </c>
      <c r="E249" s="10" t="s">
        <v>63</v>
      </c>
      <c r="F249" s="25" t="s">
        <v>483</v>
      </c>
      <c r="G249" s="14" t="s">
        <v>49</v>
      </c>
      <c r="H249" s="10" t="s">
        <v>76</v>
      </c>
      <c r="I249" s="15" t="n">
        <v>652.2</v>
      </c>
      <c r="J249" s="10" t="s">
        <v>103</v>
      </c>
      <c r="K249" s="15" t="n">
        <v>0</v>
      </c>
      <c r="L249" s="11" t="n">
        <v>0</v>
      </c>
      <c r="M249" s="11" t="n">
        <v>0</v>
      </c>
      <c r="N249" s="10" t="s">
        <v>220</v>
      </c>
      <c r="O249" s="10"/>
      <c r="P249" s="10"/>
      <c r="Q249" s="16" t="n">
        <v>0</v>
      </c>
      <c r="R249" s="10" t="s">
        <v>221</v>
      </c>
      <c r="S249" s="10"/>
      <c r="T249" s="10" t="n">
        <v>0</v>
      </c>
      <c r="U249" s="11" t="n">
        <f aca="false">IF(E249="TRANSPORT",IF(T249="","",T249*5),IF(AL249="","",AL249))</f>
        <v>0</v>
      </c>
      <c r="V249" s="10" t="s">
        <v>54</v>
      </c>
      <c r="W249" s="15" t="s">
        <v>484</v>
      </c>
      <c r="X249" s="15"/>
      <c r="Y249" s="17" t="n">
        <v>46238.2872569444</v>
      </c>
      <c r="Z249" s="18" t="n">
        <f aca="false">IF(I249="",0,IF(ISNUMBER(SEARCH("mp",LOWER(J249))),I249,IF(ISNUMBER(SEARCH("ton",LOWER(J249))),I249/0.33,IF(ISNUMBER(SEARCH("m3",LOWER(J249))),I249*4,I249))))</f>
        <v>1976.36363636364</v>
      </c>
      <c r="AA249" s="18" t="n">
        <f aca="false">IF(I249="",0,IF(ISNUMBER(SEARCH("mp",LOWER(J249))),I249*0.33,IF(ISNUMBER(SEARCH("ton",LOWER(J249))),I249,I249*0.33)))</f>
        <v>652.2</v>
      </c>
      <c r="AB249" s="18" t="n">
        <f aca="false">Tabela_dane[[#This Row],[Wolumen_t]]*8.5</f>
        <v>5543.7</v>
      </c>
      <c r="AC249" s="18" t="n">
        <f aca="false">IF(G249&lt;&gt;"TAK",0,IF(OR(E249="ZAKUP",E249="PRODUKCJA"),Z249,IF(OR(E249="SPRZEDAŻ",E249="ZUŻYCIE"),-Z249,0)))</f>
        <v>1976.36363636364</v>
      </c>
      <c r="AD249" s="18" t="n">
        <f aca="false">IF(G249&lt;&gt;"TAK",0,IF(OR(E249="ZAKUP",E249="PRODUKCJA"),AA249,IF(OR(E249="SPRZEDAŻ",E249="ZUŻYCIE"),-AA249,0)))</f>
        <v>652.2</v>
      </c>
      <c r="AE249" s="19" t="n">
        <f aca="false">IF(E249="ZAKUP",IF(L249&lt;&gt;"",L249,IF(K249&lt;&gt;"",Z249*K249,0)),0)</f>
        <v>0</v>
      </c>
      <c r="AF249" s="19" t="n">
        <f aca="false">IF(E249="SPRZEDAŻ",IF(M249&lt;&gt;"",Z249*M249,0),0)</f>
        <v>0</v>
      </c>
      <c r="AG249" s="19" t="str">
        <f aca="false">IF(R249="","",IF(LOWER(R249)="brak","Brak",IF(OR(ISNUMBER(SEARCH("ric pl",LOWER(R249))),ISNUMBER(SEARCH("wojciechowski",LOWER(R249)))),"Własny","Zewnętrzny")))</f>
        <v>Zewnętrzny</v>
      </c>
      <c r="AH249" s="19" t="n">
        <f aca="false">Z249*Q249</f>
        <v>0</v>
      </c>
      <c r="AI249" s="19" t="str">
        <f aca="false">UPPER(TEXT(C249,"mmmm"))</f>
        <v>JULY</v>
      </c>
      <c r="AJ249" s="19" t="str">
        <f aca="false">IF(C249="","",TEXT(C249,"rrrr"))</f>
        <v>CE5786CE5786</v>
      </c>
      <c r="AK249" s="10"/>
      <c r="AL249" s="11" t="n">
        <v>0</v>
      </c>
      <c r="AM249" s="10" t="s">
        <v>485</v>
      </c>
      <c r="AN249" s="10" t="s">
        <v>49</v>
      </c>
      <c r="AO249" s="10"/>
      <c r="AP249" s="10"/>
      <c r="AQ249" s="10"/>
      <c r="AR249" s="10" t="s">
        <v>66</v>
      </c>
      <c r="AS249" s="10"/>
      <c r="AT249" s="15" t="n">
        <v>1</v>
      </c>
    </row>
    <row r="250" customFormat="false" ht="52.5" hidden="false" customHeight="true" outlineLevel="0" collapsed="false">
      <c r="A250" s="23" t="n">
        <v>46233</v>
      </c>
      <c r="B250" s="12" t="s">
        <v>217</v>
      </c>
      <c r="C250" s="12" t="n">
        <v>46233</v>
      </c>
      <c r="D250" s="10" t="s">
        <v>218</v>
      </c>
      <c r="E250" s="10" t="s">
        <v>63</v>
      </c>
      <c r="F250" s="25" t="s">
        <v>483</v>
      </c>
      <c r="G250" s="14" t="s">
        <v>49</v>
      </c>
      <c r="H250" s="10" t="s">
        <v>76</v>
      </c>
      <c r="I250" s="15" t="n">
        <v>315.7</v>
      </c>
      <c r="J250" s="10" t="s">
        <v>103</v>
      </c>
      <c r="K250" s="15" t="n">
        <v>0</v>
      </c>
      <c r="L250" s="11" t="n">
        <v>0</v>
      </c>
      <c r="M250" s="11" t="n">
        <v>0</v>
      </c>
      <c r="N250" s="10" t="s">
        <v>486</v>
      </c>
      <c r="O250" s="10"/>
      <c r="P250" s="10"/>
      <c r="Q250" s="16" t="n">
        <v>0</v>
      </c>
      <c r="R250" s="10" t="s">
        <v>221</v>
      </c>
      <c r="S250" s="10"/>
      <c r="T250" s="10" t="n">
        <v>0</v>
      </c>
      <c r="U250" s="11" t="n">
        <f aca="false">IF(E250="TRANSPORT",IF(T250="","",T250*5),IF(AL250="","",AL250))</f>
        <v>0</v>
      </c>
      <c r="V250" s="10" t="s">
        <v>54</v>
      </c>
      <c r="W250" s="15" t="s">
        <v>487</v>
      </c>
      <c r="X250" s="15"/>
      <c r="Y250" s="17" t="n">
        <v>46238.2900578704</v>
      </c>
      <c r="Z250" s="18" t="n">
        <f aca="false">IF(I250="",0,IF(ISNUMBER(SEARCH("mp",LOWER(J250))),I250,IF(ISNUMBER(SEARCH("ton",LOWER(J250))),I250/0.33,IF(ISNUMBER(SEARCH("m3",LOWER(J250))),I250*4,I250))))</f>
        <v>956.666666666667</v>
      </c>
      <c r="AA250" s="18" t="n">
        <f aca="false">IF(I250="",0,IF(ISNUMBER(SEARCH("mp",LOWER(J250))),I250*0.33,IF(ISNUMBER(SEARCH("ton",LOWER(J250))),I250,I250*0.33)))</f>
        <v>315.7</v>
      </c>
      <c r="AB250" s="18" t="n">
        <f aca="false">Tabela_dane[[#This Row],[Wolumen_t]]*8.5</f>
        <v>2683.45</v>
      </c>
      <c r="AC250" s="18" t="n">
        <f aca="false">IF(G250&lt;&gt;"TAK",0,IF(OR(E250="ZAKUP",E250="PRODUKCJA"),Z250,IF(OR(E250="SPRZEDAŻ",E250="ZUŻYCIE"),-Z250,0)))</f>
        <v>956.666666666667</v>
      </c>
      <c r="AD250" s="18" t="n">
        <f aca="false">IF(G250&lt;&gt;"TAK",0,IF(OR(E250="ZAKUP",E250="PRODUKCJA"),AA250,IF(OR(E250="SPRZEDAŻ",E250="ZUŻYCIE"),-AA250,0)))</f>
        <v>315.7</v>
      </c>
      <c r="AE250" s="19" t="n">
        <f aca="false">IF(E250="ZAKUP",IF(L250&lt;&gt;"",L250,IF(K250&lt;&gt;"",Z250*K250,0)),0)</f>
        <v>0</v>
      </c>
      <c r="AF250" s="19" t="n">
        <f aca="false">IF(E250="SPRZEDAŻ",IF(M250&lt;&gt;"",Z250*M250,0),0)</f>
        <v>0</v>
      </c>
      <c r="AG250" s="19" t="str">
        <f aca="false">IF(R250="","",IF(LOWER(R250)="brak","Brak",IF(OR(ISNUMBER(SEARCH("ric pl",LOWER(R250))),ISNUMBER(SEARCH("wojciechowski",LOWER(R250)))),"Własny","Zewnętrzny")))</f>
        <v>Zewnętrzny</v>
      </c>
      <c r="AH250" s="19" t="n">
        <f aca="false">Z250*Q250</f>
        <v>0</v>
      </c>
      <c r="AI250" s="19" t="str">
        <f aca="false">UPPER(TEXT(C250,"mmmm"))</f>
        <v>JULY</v>
      </c>
      <c r="AJ250" s="19" t="str">
        <f aca="false">IF(C250="","",TEXT(C250,"rrrr"))</f>
        <v>CE5786CE5786</v>
      </c>
      <c r="AK250" s="10"/>
      <c r="AL250" s="11" t="n">
        <v>0</v>
      </c>
      <c r="AM250" s="10" t="s">
        <v>488</v>
      </c>
      <c r="AN250" s="10" t="s">
        <v>49</v>
      </c>
      <c r="AO250" s="10"/>
      <c r="AP250" s="10"/>
      <c r="AQ250" s="10"/>
      <c r="AR250" s="10" t="s">
        <v>66</v>
      </c>
      <c r="AS250" s="10"/>
      <c r="AT250" s="15" t="n">
        <v>1</v>
      </c>
    </row>
    <row r="251" customFormat="false" ht="28.5" hidden="false" customHeight="true" outlineLevel="0" collapsed="false">
      <c r="A251" s="23" t="n">
        <v>46233</v>
      </c>
      <c r="B251" s="12" t="s">
        <v>217</v>
      </c>
      <c r="C251" s="12" t="n">
        <v>46233</v>
      </c>
      <c r="D251" s="10" t="s">
        <v>218</v>
      </c>
      <c r="E251" s="10" t="s">
        <v>63</v>
      </c>
      <c r="F251" s="25" t="s">
        <v>483</v>
      </c>
      <c r="G251" s="14" t="s">
        <v>49</v>
      </c>
      <c r="H251" s="10" t="s">
        <v>76</v>
      </c>
      <c r="I251" s="15" t="n">
        <v>271.35</v>
      </c>
      <c r="J251" s="10" t="s">
        <v>103</v>
      </c>
      <c r="K251" s="15" t="n">
        <v>0</v>
      </c>
      <c r="L251" s="11" t="n">
        <v>0</v>
      </c>
      <c r="M251" s="11" t="n">
        <v>0</v>
      </c>
      <c r="N251" s="10" t="s">
        <v>489</v>
      </c>
      <c r="O251" s="10"/>
      <c r="P251" s="10"/>
      <c r="Q251" s="16" t="n">
        <v>0</v>
      </c>
      <c r="R251" s="10" t="s">
        <v>221</v>
      </c>
      <c r="S251" s="10"/>
      <c r="T251" s="10" t="n">
        <v>0</v>
      </c>
      <c r="U251" s="11" t="n">
        <f aca="false">IF(E251="TRANSPORT",IF(T251="","",T251*5),IF(AL251="","",AL251))</f>
        <v>0</v>
      </c>
      <c r="V251" s="10" t="s">
        <v>54</v>
      </c>
      <c r="W251" s="15" t="s">
        <v>490</v>
      </c>
      <c r="X251" s="15"/>
      <c r="Y251" s="17" t="n">
        <v>46238.2921412037</v>
      </c>
      <c r="Z251" s="18" t="n">
        <f aca="false">IF(I251="",0,IF(ISNUMBER(SEARCH("mp",LOWER(J251))),I251,IF(ISNUMBER(SEARCH("ton",LOWER(J251))),I251/0.33,IF(ISNUMBER(SEARCH("m3",LOWER(J251))),I251*4,I251))))</f>
        <v>822.272727272727</v>
      </c>
      <c r="AA251" s="18" t="n">
        <f aca="false">IF(I251="",0,IF(ISNUMBER(SEARCH("mp",LOWER(J251))),I251*0.33,IF(ISNUMBER(SEARCH("ton",LOWER(J251))),I251,I251*0.33)))</f>
        <v>271.35</v>
      </c>
      <c r="AB251" s="18" t="n">
        <f aca="false">Tabela_dane[[#This Row],[Wolumen_t]]*8.5</f>
        <v>2306.475</v>
      </c>
      <c r="AC251" s="18" t="n">
        <f aca="false">IF(G251&lt;&gt;"TAK",0,IF(OR(E251="ZAKUP",E251="PRODUKCJA"),Z251,IF(OR(E251="SPRZEDAŻ",E251="ZUŻYCIE"),-Z251,0)))</f>
        <v>822.272727272727</v>
      </c>
      <c r="AD251" s="18" t="n">
        <f aca="false">IF(G251&lt;&gt;"TAK",0,IF(OR(E251="ZAKUP",E251="PRODUKCJA"),AA251,IF(OR(E251="SPRZEDAŻ",E251="ZUŻYCIE"),-AA251,0)))</f>
        <v>271.35</v>
      </c>
      <c r="AE251" s="19" t="n">
        <f aca="false">IF(E251="ZAKUP",IF(L251&lt;&gt;"",L251,IF(K251&lt;&gt;"",Z251*K251,0)),0)</f>
        <v>0</v>
      </c>
      <c r="AF251" s="19" t="n">
        <f aca="false">IF(E251="SPRZEDAŻ",IF(M251&lt;&gt;"",Z251*M251,0),0)</f>
        <v>0</v>
      </c>
      <c r="AG251" s="19" t="str">
        <f aca="false">IF(R251="","",IF(LOWER(R251)="brak","Brak",IF(OR(ISNUMBER(SEARCH("ric pl",LOWER(R251))),ISNUMBER(SEARCH("wojciechowski",LOWER(R251)))),"Własny","Zewnętrzny")))</f>
        <v>Zewnętrzny</v>
      </c>
      <c r="AH251" s="19" t="n">
        <f aca="false">Z251*Q251</f>
        <v>0</v>
      </c>
      <c r="AI251" s="19" t="str">
        <f aca="false">UPPER(TEXT(C251,"mmmm"))</f>
        <v>JULY</v>
      </c>
      <c r="AJ251" s="19" t="str">
        <f aca="false">IF(C251="","",TEXT(C251,"rrrr"))</f>
        <v>CE5786CE5786</v>
      </c>
      <c r="AK251" s="10"/>
      <c r="AL251" s="11" t="n">
        <v>0</v>
      </c>
      <c r="AM251" s="10" t="s">
        <v>491</v>
      </c>
      <c r="AN251" s="10" t="s">
        <v>49</v>
      </c>
      <c r="AO251" s="10"/>
      <c r="AP251" s="10"/>
      <c r="AQ251" s="10"/>
      <c r="AR251" s="10" t="s">
        <v>66</v>
      </c>
      <c r="AS251" s="10"/>
      <c r="AT251" s="15" t="n">
        <v>1</v>
      </c>
    </row>
    <row r="252" customFormat="false" ht="28.5" hidden="false" customHeight="true" outlineLevel="0" collapsed="false">
      <c r="A252" s="23" t="n">
        <v>46234</v>
      </c>
      <c r="B252" s="12"/>
      <c r="C252" s="12" t="n">
        <v>46234</v>
      </c>
      <c r="D252" s="10" t="s">
        <v>46</v>
      </c>
      <c r="E252" s="10" t="s">
        <v>63</v>
      </c>
      <c r="F252" s="20" t="s">
        <v>492</v>
      </c>
      <c r="G252" s="14" t="s">
        <v>49</v>
      </c>
      <c r="H252" s="10" t="s">
        <v>76</v>
      </c>
      <c r="I252" s="15" t="n">
        <v>6.44</v>
      </c>
      <c r="J252" s="10" t="s">
        <v>77</v>
      </c>
      <c r="K252" s="15" t="n">
        <v>230</v>
      </c>
      <c r="L252" s="11" t="n">
        <v>1481.2</v>
      </c>
      <c r="M252" s="11" t="n">
        <v>0</v>
      </c>
      <c r="N252" s="10" t="s">
        <v>64</v>
      </c>
      <c r="O252" s="10"/>
      <c r="P252" s="10"/>
      <c r="Q252" s="16" t="n">
        <v>0</v>
      </c>
      <c r="R252" s="10"/>
      <c r="S252" s="10"/>
      <c r="T252" s="10" t="n">
        <v>0</v>
      </c>
      <c r="U252" s="11" t="n">
        <f aca="false">IF(E252="TRANSPORT",IF(T252="","",T252*5),IF(AL252="","",AL252))</f>
        <v>0</v>
      </c>
      <c r="V252" s="10" t="s">
        <v>54</v>
      </c>
      <c r="W252" s="15" t="s">
        <v>242</v>
      </c>
      <c r="X252" s="15"/>
      <c r="Y252" s="17" t="n">
        <v>46234.4477430556</v>
      </c>
      <c r="Z252" s="18" t="n">
        <f aca="false">IF(I252="",0,IF(ISNUMBER(SEARCH("mp",LOWER(J252))),I252,IF(ISNUMBER(SEARCH("ton",LOWER(J252))),I252/0.33,IF(ISNUMBER(SEARCH("m3",LOWER(J252))),I252*4,I252))))</f>
        <v>25.76</v>
      </c>
      <c r="AA252" s="18" t="n">
        <f aca="false">IF(I252="",0,IF(ISNUMBER(SEARCH("mp",LOWER(J252))),I252*0.33,IF(ISNUMBER(SEARCH("ton",LOWER(J252))),I252,I252*0.33)))</f>
        <v>2.1252</v>
      </c>
      <c r="AB252" s="18" t="n">
        <f aca="false">Tabela_dane[[#This Row],[Wolumen_t]]*8.5</f>
        <v>18.0642</v>
      </c>
      <c r="AC252" s="18" t="n">
        <f aca="false">IF(G252&lt;&gt;"TAK",0,IF(OR(E252="ZAKUP",E252="PRODUKCJA"),Z252,IF(OR(E252="SPRZEDAŻ",E252="ZUŻYCIE"),-Z252,0)))</f>
        <v>25.76</v>
      </c>
      <c r="AD252" s="18" t="n">
        <f aca="false">IF(G252&lt;&gt;"TAK",0,IF(OR(E252="ZAKUP",E252="PRODUKCJA"),AA252,IF(OR(E252="SPRZEDAŻ",E252="ZUŻYCIE"),-AA252,0)))</f>
        <v>2.1252</v>
      </c>
      <c r="AE252" s="19" t="n">
        <f aca="false">IF(E252="ZAKUP",IF(L252&lt;&gt;"",L252,IF(K252&lt;&gt;"",Z252*K252,0)),0)</f>
        <v>1481.2</v>
      </c>
      <c r="AF252" s="19" t="n">
        <f aca="false">IF(E252="SPRZEDAŻ",IF(M252&lt;&gt;"",Z252*M252,0),0)</f>
        <v>0</v>
      </c>
      <c r="AG252" s="19" t="str">
        <f aca="false">IF(R252="","",IF(LOWER(R252)="brak","Brak",IF(OR(ISNUMBER(SEARCH("ric pl",LOWER(R252))),ISNUMBER(SEARCH("wojciechowski",LOWER(R252)))),"Własny","Zewnętrzny")))</f>
        <v/>
      </c>
      <c r="AH252" s="19" t="n">
        <f aca="false">Z252*Q252</f>
        <v>0</v>
      </c>
      <c r="AI252" s="19" t="str">
        <f aca="false">UPPER(TEXT(C252,"mmmm"))</f>
        <v>JULY</v>
      </c>
      <c r="AJ252" s="19" t="str">
        <f aca="false">IF(C252="","",TEXT(C252,"rrrr"))</f>
        <v>CE5786CE5786</v>
      </c>
      <c r="AK252" s="10"/>
      <c r="AL252" s="11" t="n">
        <v>0</v>
      </c>
      <c r="AM252" s="10" t="s">
        <v>493</v>
      </c>
      <c r="AN252" s="10" t="s">
        <v>59</v>
      </c>
      <c r="AO252" s="10"/>
      <c r="AP252" s="10"/>
      <c r="AQ252" s="10"/>
      <c r="AR252" s="10" t="s">
        <v>66</v>
      </c>
      <c r="AS252" s="10"/>
      <c r="AT252" s="15" t="n">
        <v>1</v>
      </c>
    </row>
    <row r="253" customFormat="false" ht="28.5" hidden="false" customHeight="true" outlineLevel="0" collapsed="false">
      <c r="A253" s="23" t="n">
        <v>46237</v>
      </c>
      <c r="B253" s="12" t="s">
        <v>106</v>
      </c>
      <c r="C253" s="12" t="n">
        <v>46237</v>
      </c>
      <c r="D253" s="10" t="s">
        <v>106</v>
      </c>
      <c r="E253" s="10" t="s">
        <v>107</v>
      </c>
      <c r="F253" s="22" t="s">
        <v>494</v>
      </c>
      <c r="G253" s="14" t="s">
        <v>49</v>
      </c>
      <c r="H253" s="10"/>
      <c r="I253" s="15" t="n">
        <v>23</v>
      </c>
      <c r="J253" s="10" t="s">
        <v>51</v>
      </c>
      <c r="K253" s="15" t="n">
        <v>0</v>
      </c>
      <c r="L253" s="11" t="n">
        <v>0</v>
      </c>
      <c r="M253" s="11" t="n">
        <v>0</v>
      </c>
      <c r="N253" s="10" t="s">
        <v>52</v>
      </c>
      <c r="O253" s="10" t="s">
        <v>67</v>
      </c>
      <c r="P253" s="10"/>
      <c r="Q253" s="16" t="n">
        <v>0</v>
      </c>
      <c r="R253" s="10" t="s">
        <v>72</v>
      </c>
      <c r="S253" s="10" t="s">
        <v>73</v>
      </c>
      <c r="T253" s="10" t="n">
        <v>40</v>
      </c>
      <c r="U253" s="11" t="n">
        <f aca="false">IF(E253="TRANSPORT",IF(T253="","",T253*5),IF(AL253="","",AL253))</f>
        <v>240</v>
      </c>
      <c r="V253" s="10" t="s">
        <v>54</v>
      </c>
      <c r="W253" s="15" t="s">
        <v>65</v>
      </c>
      <c r="X253" s="15" t="s">
        <v>106</v>
      </c>
      <c r="Y253" s="17" t="n">
        <v>46237.5042939815</v>
      </c>
      <c r="Z253" s="18" t="n">
        <f aca="false">IF(I253="",0,IF(ISNUMBER(SEARCH("mp",LOWER(J253))),I253,IF(ISNUMBER(SEARCH("ton",LOWER(J253))),I253/0.33,IF(ISNUMBER(SEARCH("m3",LOWER(J253))),I253*4,I253))))</f>
        <v>23</v>
      </c>
      <c r="AA253" s="18" t="n">
        <f aca="false">IF(I253="",0,IF(ISNUMBER(SEARCH("mp",LOWER(J253))),I253*0.33,IF(ISNUMBER(SEARCH("ton",LOWER(J253))),I253,I253*0.33)))</f>
        <v>7.59</v>
      </c>
      <c r="AB253" s="18" t="n">
        <f aca="false">Tabela_dane[[#This Row],[Wolumen_t]]*8.5</f>
        <v>64.515</v>
      </c>
      <c r="AC253" s="18" t="n">
        <f aca="false">IF(G253&lt;&gt;"TAK",0,IF(OR(E253="ZAKUP",E253="PRODUKCJA"),Z253,IF(OR(E253="SPRZEDAŻ",E253="ZUŻYCIE"),-Z253,0)))</f>
        <v>0</v>
      </c>
      <c r="AD253" s="18" t="n">
        <f aca="false">IF(G253&lt;&gt;"TAK",0,IF(OR(E253="ZAKUP",E253="PRODUKCJA"),AA253,IF(OR(E253="SPRZEDAŻ",E253="ZUŻYCIE"),-AA253,0)))</f>
        <v>0</v>
      </c>
      <c r="AE253" s="19" t="n">
        <f aca="false">IF(E253="ZAKUP",IF(L253&lt;&gt;"",L253,IF(K253&lt;&gt;"",Z253*K253,0)),0)</f>
        <v>0</v>
      </c>
      <c r="AF253" s="19" t="n">
        <f aca="false">IF(E253="SPRZEDAŻ",IF(M253&lt;&gt;"",Z253*M253,0),0)</f>
        <v>0</v>
      </c>
      <c r="AG253" s="19" t="str">
        <f aca="false">IF(R253="","",IF(LOWER(R253)="brak","Brak",IF(OR(ISNUMBER(SEARCH("ric pl",LOWER(R253))),ISNUMBER(SEARCH("wojciechowski",LOWER(R253)))),"Własny","Zewnętrzny")))</f>
        <v>Zewnętrzny</v>
      </c>
      <c r="AH253" s="19" t="n">
        <f aca="false">Z253*Q253</f>
        <v>0</v>
      </c>
      <c r="AI253" s="19" t="str">
        <f aca="false">UPPER(TEXT(C253,"mmmm"))</f>
        <v>AUGUST</v>
      </c>
      <c r="AJ253" s="19" t="str">
        <f aca="false">IF(C253="","",TEXT(C253,"rrrr"))</f>
        <v>CE5786CE5786</v>
      </c>
      <c r="AK253" s="10"/>
      <c r="AL253" s="11" t="n">
        <v>240</v>
      </c>
      <c r="AM253" s="10" t="s">
        <v>495</v>
      </c>
      <c r="AN253" s="10" t="s">
        <v>49</v>
      </c>
      <c r="AO253" s="10"/>
      <c r="AP253" s="10"/>
      <c r="AQ253" s="10"/>
      <c r="AR253" s="10" t="s">
        <v>66</v>
      </c>
      <c r="AS253" s="10"/>
      <c r="AT253" s="15" t="n">
        <v>1</v>
      </c>
    </row>
    <row r="254" customFormat="false" ht="28.5" hidden="false" customHeight="true" outlineLevel="0" collapsed="false">
      <c r="A254" s="23" t="n">
        <v>46237</v>
      </c>
      <c r="B254" s="12"/>
      <c r="C254" s="23" t="n">
        <v>46237</v>
      </c>
      <c r="D254" s="10" t="s">
        <v>462</v>
      </c>
      <c r="E254" s="10" t="s">
        <v>63</v>
      </c>
      <c r="F254" s="46" t="s">
        <v>496</v>
      </c>
      <c r="G254" s="14" t="s">
        <v>49</v>
      </c>
      <c r="H254" s="10" t="s">
        <v>50</v>
      </c>
      <c r="I254" s="15" t="n">
        <v>20.28</v>
      </c>
      <c r="J254" s="10" t="s">
        <v>77</v>
      </c>
      <c r="K254" s="15" t="n">
        <v>141</v>
      </c>
      <c r="L254" s="11" t="n">
        <v>2859.48</v>
      </c>
      <c r="M254" s="11" t="n">
        <v>0</v>
      </c>
      <c r="N254" s="10" t="s">
        <v>64</v>
      </c>
      <c r="O254" s="10" t="s">
        <v>67</v>
      </c>
      <c r="P254" s="10"/>
      <c r="Q254" s="16" t="n">
        <v>0</v>
      </c>
      <c r="R254" s="10"/>
      <c r="S254" s="10"/>
      <c r="T254" s="10" t="n">
        <v>0</v>
      </c>
      <c r="U254" s="11" t="n">
        <f aca="false">IF(E254="TRANSPORT",IF(T254="","",T254*5),IF(AL254="","",AL254))</f>
        <v>0</v>
      </c>
      <c r="V254" s="10" t="s">
        <v>54</v>
      </c>
      <c r="W254" s="15" t="s">
        <v>70</v>
      </c>
      <c r="X254" s="15"/>
      <c r="Y254" s="17" t="n">
        <v>46244.3861226852</v>
      </c>
      <c r="Z254" s="18" t="n">
        <f aca="false">IF(I254="",0,IF(ISNUMBER(SEARCH("mp",LOWER(J254))),I254,IF(ISNUMBER(SEARCH("ton",LOWER(J254))),I254/0.33,IF(ISNUMBER(SEARCH("m3",LOWER(J254))),I254*4,I254))))</f>
        <v>81.12</v>
      </c>
      <c r="AA254" s="18" t="n">
        <f aca="false">IF(I254="",0,IF(ISNUMBER(SEARCH("mp",LOWER(J254))),I254*0.33,IF(ISNUMBER(SEARCH("ton",LOWER(J254))),I254,I254*0.33)))</f>
        <v>6.6924</v>
      </c>
      <c r="AB254" s="18" t="n">
        <f aca="false">Tabela_dane[[#This Row],[Wolumen_t]]*8.5</f>
        <v>56.8854</v>
      </c>
      <c r="AC254" s="18" t="n">
        <f aca="false">IF(G254&lt;&gt;"TAK",0,IF(OR(E254="ZAKUP",E254="PRODUKCJA"),Z254,IF(OR(E254="SPRZEDAŻ",E254="ZUŻYCIE"),-Z254,0)))</f>
        <v>81.12</v>
      </c>
      <c r="AD254" s="18" t="n">
        <f aca="false">IF(G254&lt;&gt;"TAK",0,IF(OR(E254="ZAKUP",E254="PRODUKCJA"),AA254,IF(OR(E254="SPRZEDAŻ",E254="ZUŻYCIE"),-AA254,0)))</f>
        <v>6.6924</v>
      </c>
      <c r="AE254" s="19" t="n">
        <f aca="false">IF(E254="ZAKUP",IF(L254&lt;&gt;"",L254,IF(K254&lt;&gt;"",Z254*K254,0)),0)</f>
        <v>2859.48</v>
      </c>
      <c r="AF254" s="19" t="n">
        <f aca="false">IF(E254="SPRZEDAŻ",IF(M254&lt;&gt;"",Z254*M254,0),0)</f>
        <v>0</v>
      </c>
      <c r="AG254" s="19" t="str">
        <f aca="false">IF(R254="","",IF(LOWER(R254)="brak","Brak",IF(OR(ISNUMBER(SEARCH("ric pl",LOWER(R254))),ISNUMBER(SEARCH("wojciechowski",LOWER(R254)))),"Własny","Zewnętrzny")))</f>
        <v/>
      </c>
      <c r="AH254" s="19" t="n">
        <f aca="false">Z254*Q254</f>
        <v>0</v>
      </c>
      <c r="AI254" s="19" t="str">
        <f aca="false">UPPER(TEXT(C254,"mmmm"))</f>
        <v>AUGUST</v>
      </c>
      <c r="AJ254" s="19" t="str">
        <f aca="false">IF(C254="","",TEXT(C254,"rrrr"))</f>
        <v>CE5786CE5786</v>
      </c>
      <c r="AK254" s="10"/>
      <c r="AL254" s="11" t="n">
        <v>0</v>
      </c>
      <c r="AM254" s="10" t="s">
        <v>497</v>
      </c>
      <c r="AN254" s="10" t="s">
        <v>59</v>
      </c>
      <c r="AO254" s="10"/>
      <c r="AP254" s="10"/>
      <c r="AQ254" s="10"/>
      <c r="AR254" s="10" t="s">
        <v>66</v>
      </c>
      <c r="AS254" s="10"/>
      <c r="AT254" s="15" t="n">
        <v>1</v>
      </c>
    </row>
    <row r="255" customFormat="false" ht="28.5" hidden="false" customHeight="true" outlineLevel="0" collapsed="false">
      <c r="A255" s="23" t="n">
        <v>46237</v>
      </c>
      <c r="B255" s="12"/>
      <c r="C255" s="23" t="n">
        <v>46237</v>
      </c>
      <c r="D255" s="10" t="s">
        <v>54</v>
      </c>
      <c r="E255" s="10" t="s">
        <v>47</v>
      </c>
      <c r="F255" s="13" t="s">
        <v>498</v>
      </c>
      <c r="G255" s="14" t="s">
        <v>49</v>
      </c>
      <c r="H255" s="10" t="s">
        <v>50</v>
      </c>
      <c r="I255" s="15" t="n">
        <v>81.12</v>
      </c>
      <c r="J255" s="10" t="s">
        <v>51</v>
      </c>
      <c r="K255" s="15" t="n">
        <v>0</v>
      </c>
      <c r="L255" s="11" t="n">
        <v>0</v>
      </c>
      <c r="M255" s="11" t="n">
        <v>0</v>
      </c>
      <c r="N255" s="10" t="s">
        <v>52</v>
      </c>
      <c r="O255" s="10" t="s">
        <v>67</v>
      </c>
      <c r="P255" s="10" t="s">
        <v>53</v>
      </c>
      <c r="Q255" s="16" t="n">
        <v>10</v>
      </c>
      <c r="R255" s="10"/>
      <c r="S255" s="10"/>
      <c r="T255" s="10" t="n">
        <v>0</v>
      </c>
      <c r="U255" s="11" t="n">
        <f aca="false">IF(E255="TRANSPORT",IF(T255="","",T255*5),IF(AL255="","",AL255))</f>
        <v>0</v>
      </c>
      <c r="V255" s="10" t="s">
        <v>54</v>
      </c>
      <c r="W255" s="15" t="s">
        <v>70</v>
      </c>
      <c r="X255" s="15"/>
      <c r="Y255" s="17" t="n">
        <v>46244.3867939815</v>
      </c>
      <c r="Z255" s="18" t="n">
        <f aca="false">IF(I255="",0,IF(ISNUMBER(SEARCH("mp",LOWER(J255))),I255,IF(ISNUMBER(SEARCH("ton",LOWER(J255))),I255/0.33,IF(ISNUMBER(SEARCH("m3",LOWER(J255))),I255*4,I255))))</f>
        <v>81.12</v>
      </c>
      <c r="AA255" s="18" t="n">
        <f aca="false">IF(I255="",0,IF(ISNUMBER(SEARCH("mp",LOWER(J255))),I255*0.33,IF(ISNUMBER(SEARCH("ton",LOWER(J255))),I255,I255*0.33)))</f>
        <v>26.7696</v>
      </c>
      <c r="AB255" s="18" t="n">
        <f aca="false">Tabela_dane[[#This Row],[Wolumen_t]]*8.5</f>
        <v>227.5416</v>
      </c>
      <c r="AC255" s="18" t="n">
        <f aca="false">IF(G255&lt;&gt;"TAK",0,IF(OR(E255="ZAKUP",E255="PRODUKCJA"),Z255,IF(OR(E255="SPRZEDAŻ",E255="ZUŻYCIE"),-Z255,0)))</f>
        <v>81.12</v>
      </c>
      <c r="AD255" s="18" t="n">
        <f aca="false">IF(G255&lt;&gt;"TAK",0,IF(OR(E255="ZAKUP",E255="PRODUKCJA"),AA255,IF(OR(E255="SPRZEDAŻ",E255="ZUŻYCIE"),-AA255,0)))</f>
        <v>26.7696</v>
      </c>
      <c r="AE255" s="19" t="n">
        <f aca="false">IF(E255="ZAKUP",IF(L255&lt;&gt;"",L255,IF(K255&lt;&gt;"",Z255*K255,0)),0)</f>
        <v>0</v>
      </c>
      <c r="AF255" s="19" t="n">
        <f aca="false">IF(E255="SPRZEDAŻ",IF(M255&lt;&gt;"",Z255*M255,0),0)</f>
        <v>0</v>
      </c>
      <c r="AG255" s="19" t="str">
        <f aca="false">IF(R255="","",IF(LOWER(R255)="brak","Brak",IF(OR(ISNUMBER(SEARCH("ric pl",LOWER(R255))),ISNUMBER(SEARCH("wojciechowski",LOWER(R255)))),"Własny","Zewnętrzny")))</f>
        <v/>
      </c>
      <c r="AH255" s="19" t="n">
        <f aca="false">Z255*Q255</f>
        <v>811.2</v>
      </c>
      <c r="AI255" s="19" t="str">
        <f aca="false">UPPER(TEXT(C255,"mmmm"))</f>
        <v>AUGUST</v>
      </c>
      <c r="AJ255" s="19" t="str">
        <f aca="false">IF(C255="","",TEXT(C255,"rrrr"))</f>
        <v>CE5786CE5786</v>
      </c>
      <c r="AK255" s="10"/>
      <c r="AL255" s="11" t="n">
        <v>0</v>
      </c>
      <c r="AM255" s="10" t="s">
        <v>499</v>
      </c>
      <c r="AN255" s="10" t="s">
        <v>59</v>
      </c>
      <c r="AO255" s="10"/>
      <c r="AP255" s="10"/>
      <c r="AQ255" s="10"/>
      <c r="AR255" s="10" t="s">
        <v>66</v>
      </c>
      <c r="AS255" s="10"/>
      <c r="AT255" s="15" t="n">
        <v>1</v>
      </c>
    </row>
    <row r="256" customFormat="false" ht="28.5" hidden="false" customHeight="true" outlineLevel="0" collapsed="false">
      <c r="A256" s="23" t="n">
        <v>46237</v>
      </c>
      <c r="B256" s="12"/>
      <c r="C256" s="23" t="n">
        <v>46237</v>
      </c>
      <c r="D256" s="10" t="s">
        <v>54</v>
      </c>
      <c r="E256" s="10" t="s">
        <v>79</v>
      </c>
      <c r="F256" s="13" t="s">
        <v>498</v>
      </c>
      <c r="G256" s="14" t="s">
        <v>49</v>
      </c>
      <c r="H256" s="10" t="s">
        <v>50</v>
      </c>
      <c r="I256" s="15" t="n">
        <v>81.12</v>
      </c>
      <c r="J256" s="10" t="s">
        <v>51</v>
      </c>
      <c r="K256" s="15" t="n">
        <v>0</v>
      </c>
      <c r="L256" s="11" t="n">
        <v>0</v>
      </c>
      <c r="M256" s="11" t="n">
        <v>0</v>
      </c>
      <c r="N256" s="10" t="s">
        <v>52</v>
      </c>
      <c r="O256" s="10" t="s">
        <v>67</v>
      </c>
      <c r="P256" s="10" t="s">
        <v>53</v>
      </c>
      <c r="Q256" s="16" t="n">
        <v>10</v>
      </c>
      <c r="R256" s="10"/>
      <c r="S256" s="10"/>
      <c r="T256" s="10" t="n">
        <v>0</v>
      </c>
      <c r="U256" s="11" t="n">
        <f aca="false">IF(E256="TRANSPORT",IF(T256="","",T256*5),IF(AL256="","",AL256))</f>
        <v>0</v>
      </c>
      <c r="V256" s="10" t="s">
        <v>54</v>
      </c>
      <c r="W256" s="15" t="s">
        <v>260</v>
      </c>
      <c r="X256" s="15"/>
      <c r="Y256" s="17" t="n">
        <v>46244.3867939815</v>
      </c>
      <c r="Z256" s="18" t="n">
        <f aca="false">IF(I256="",0,IF(ISNUMBER(SEARCH("mp",LOWER(J256))),I256,IF(ISNUMBER(SEARCH("ton",LOWER(J256))),I256/0.33,IF(ISNUMBER(SEARCH("m3",LOWER(J256))),I256*4,I256))))</f>
        <v>81.12</v>
      </c>
      <c r="AA256" s="18" t="n">
        <f aca="false">IF(I256="",0,IF(ISNUMBER(SEARCH("mp",LOWER(J256))),I256*0.33,IF(ISNUMBER(SEARCH("ton",LOWER(J256))),I256,I256*0.33)))</f>
        <v>26.7696</v>
      </c>
      <c r="AB256" s="18" t="n">
        <f aca="false">Tabela_dane[[#This Row],[Wolumen_t]]*8.5</f>
        <v>227.5416</v>
      </c>
      <c r="AC256" s="18" t="n">
        <f aca="false">IF(G256&lt;&gt;"TAK",0,IF(OR(E256="ZAKUP",E256="PRODUKCJA"),Z256,IF(OR(E256="SPRZEDAŻ",E256="ZUŻYCIE"),-Z256,0)))</f>
        <v>-81.12</v>
      </c>
      <c r="AD256" s="18" t="n">
        <f aca="false">IF(G256&lt;&gt;"TAK",0,IF(OR(E256="ZAKUP",E256="PRODUKCJA"),AA256,IF(OR(E256="SPRZEDAŻ",E256="ZUŻYCIE"),-AA256,0)))</f>
        <v>-26.7696</v>
      </c>
      <c r="AE256" s="19" t="n">
        <f aca="false">IF(E256="ZAKUP",IF(L256&lt;&gt;"",L256,IF(K256&lt;&gt;"",Z256*K256,0)),0)</f>
        <v>0</v>
      </c>
      <c r="AF256" s="19" t="n">
        <f aca="false">IF(E256="SPRZEDAŻ",IF(M256&lt;&gt;"",Z256*M256,0),0)</f>
        <v>0</v>
      </c>
      <c r="AG256" s="19" t="str">
        <f aca="false">IF(R256="","",IF(LOWER(R256)="brak","Brak",IF(OR(ISNUMBER(SEARCH("ric pl",LOWER(R256))),ISNUMBER(SEARCH("wojciechowski",LOWER(R256)))),"Własny","Zewnętrzny")))</f>
        <v/>
      </c>
      <c r="AH256" s="19" t="n">
        <f aca="false">Z256*Q256</f>
        <v>811.2</v>
      </c>
      <c r="AI256" s="19" t="str">
        <f aca="false">UPPER(TEXT(C256,"mmmm"))</f>
        <v>AUGUST</v>
      </c>
      <c r="AJ256" s="19" t="str">
        <f aca="false">IF(C256="","",TEXT(C256,"rrrr"))</f>
        <v>CE5786CE5786</v>
      </c>
      <c r="AK256" s="10"/>
      <c r="AL256" s="11" t="n">
        <v>0</v>
      </c>
      <c r="AM256" s="10" t="s">
        <v>499</v>
      </c>
      <c r="AN256" s="10" t="s">
        <v>59</v>
      </c>
      <c r="AO256" s="10"/>
      <c r="AP256" s="10"/>
      <c r="AQ256" s="10"/>
      <c r="AR256" s="10" t="s">
        <v>81</v>
      </c>
      <c r="AS256" s="10"/>
      <c r="AT256" s="15" t="n">
        <v>1</v>
      </c>
    </row>
    <row r="257" customFormat="false" ht="28.5" hidden="false" customHeight="true" outlineLevel="0" collapsed="false">
      <c r="A257" s="23" t="n">
        <v>46237</v>
      </c>
      <c r="B257" s="12" t="s">
        <v>440</v>
      </c>
      <c r="C257" s="23" t="n">
        <v>46237</v>
      </c>
      <c r="D257" s="10" t="s">
        <v>54</v>
      </c>
      <c r="E257" s="10" t="s">
        <v>63</v>
      </c>
      <c r="F257" s="13" t="s">
        <v>498</v>
      </c>
      <c r="G257" s="14" t="s">
        <v>49</v>
      </c>
      <c r="H257" s="10" t="s">
        <v>50</v>
      </c>
      <c r="I257" s="15" t="n">
        <v>81.12</v>
      </c>
      <c r="J257" s="10" t="s">
        <v>51</v>
      </c>
      <c r="K257" s="15" t="n">
        <v>0</v>
      </c>
      <c r="L257" s="11" t="n">
        <v>0</v>
      </c>
      <c r="M257" s="11" t="n">
        <v>0</v>
      </c>
      <c r="N257" s="10" t="s">
        <v>52</v>
      </c>
      <c r="O257" s="10" t="s">
        <v>67</v>
      </c>
      <c r="P257" s="10"/>
      <c r="Q257" s="16" t="n">
        <v>0</v>
      </c>
      <c r="R257" s="10" t="s">
        <v>68</v>
      </c>
      <c r="S257" s="10" t="s">
        <v>69</v>
      </c>
      <c r="T257" s="10" t="n">
        <v>200</v>
      </c>
      <c r="U257" s="11" t="n">
        <f aca="false">IF(E257="TRANSPORT",IF(T257="","",T257*5),IF(AL257="","",AL257))</f>
        <v>1000</v>
      </c>
      <c r="V257" s="10" t="s">
        <v>54</v>
      </c>
      <c r="W257" s="15" t="s">
        <v>70</v>
      </c>
      <c r="X257" s="15"/>
      <c r="Y257" s="17" t="n">
        <v>46244.387650463</v>
      </c>
      <c r="Z257" s="18" t="n">
        <f aca="false">IF(I257="",0,IF(ISNUMBER(SEARCH("mp",LOWER(J257))),I257,IF(ISNUMBER(SEARCH("ton",LOWER(J257))),I257/0.33,IF(ISNUMBER(SEARCH("m3",LOWER(J257))),I257*4,I257))))</f>
        <v>81.12</v>
      </c>
      <c r="AA257" s="18" t="n">
        <f aca="false">IF(I257="",0,IF(ISNUMBER(SEARCH("mp",LOWER(J257))),I257*0.33,IF(ISNUMBER(SEARCH("ton",LOWER(J257))),I257,I257*0.33)))</f>
        <v>26.7696</v>
      </c>
      <c r="AB257" s="18" t="n">
        <f aca="false">Tabela_dane[[#This Row],[Wolumen_t]]*8.5</f>
        <v>227.5416</v>
      </c>
      <c r="AC257" s="18" t="n">
        <f aca="false">IF(G257&lt;&gt;"TAK",0,IF(OR(E257="ZAKUP",E257="PRODUKCJA"),Z257,IF(OR(E257="SPRZEDAŻ",E257="ZUŻYCIE"),-Z257,0)))</f>
        <v>81.12</v>
      </c>
      <c r="AD257" s="18" t="n">
        <f aca="false">IF(G257&lt;&gt;"TAK",0,IF(OR(E257="ZAKUP",E257="PRODUKCJA"),AA257,IF(OR(E257="SPRZEDAŻ",E257="ZUŻYCIE"),-AA257,0)))</f>
        <v>26.7696</v>
      </c>
      <c r="AE257" s="19" t="n">
        <f aca="false">IF(E257="ZAKUP",IF(L257&lt;&gt;"",L257,IF(K257&lt;&gt;"",Z257*K257,0)),0)</f>
        <v>0</v>
      </c>
      <c r="AF257" s="19" t="n">
        <f aca="false">IF(E257="SPRZEDAŻ",IF(M257&lt;&gt;"",Z257*M257,0),0)</f>
        <v>0</v>
      </c>
      <c r="AG257" s="19" t="str">
        <f aca="false">IF(R257="","",IF(LOWER(R257)="brak","Brak",IF(OR(ISNUMBER(SEARCH("ric pl",LOWER(R257))),ISNUMBER(SEARCH("wojciechowski",LOWER(R257)))),"Własny","Zewnętrzny")))</f>
        <v>Zewnętrzny</v>
      </c>
      <c r="AH257" s="19" t="n">
        <f aca="false">Z257*Q257</f>
        <v>0</v>
      </c>
      <c r="AI257" s="19" t="str">
        <f aca="false">UPPER(TEXT(C257,"mmmm"))</f>
        <v>AUGUST</v>
      </c>
      <c r="AJ257" s="19" t="str">
        <f aca="false">IF(C257="","",TEXT(C257,"rrrr"))</f>
        <v>CE5786CE5786</v>
      </c>
      <c r="AK257" s="10"/>
      <c r="AL257" s="11" t="n">
        <v>1000</v>
      </c>
      <c r="AM257" s="10" t="s">
        <v>500</v>
      </c>
      <c r="AN257" s="10" t="s">
        <v>49</v>
      </c>
      <c r="AO257" s="10"/>
      <c r="AP257" s="10"/>
      <c r="AQ257" s="10"/>
      <c r="AR257" s="10" t="s">
        <v>66</v>
      </c>
      <c r="AS257" s="10"/>
      <c r="AT257" s="15" t="n">
        <v>1</v>
      </c>
    </row>
    <row r="258" customFormat="false" ht="28.5" hidden="false" customHeight="true" outlineLevel="0" collapsed="false">
      <c r="A258" s="23" t="n">
        <v>46237</v>
      </c>
      <c r="B258" s="12"/>
      <c r="C258" s="23" t="n">
        <v>46237</v>
      </c>
      <c r="D258" s="10" t="s">
        <v>462</v>
      </c>
      <c r="E258" s="10" t="s">
        <v>63</v>
      </c>
      <c r="F258" s="46" t="s">
        <v>501</v>
      </c>
      <c r="G258" s="14" t="s">
        <v>49</v>
      </c>
      <c r="H258" s="10" t="s">
        <v>50</v>
      </c>
      <c r="I258" s="15" t="n">
        <v>20.28</v>
      </c>
      <c r="J258" s="10" t="s">
        <v>77</v>
      </c>
      <c r="K258" s="15" t="n">
        <v>141</v>
      </c>
      <c r="L258" s="11" t="n">
        <v>2859.48</v>
      </c>
      <c r="M258" s="11" t="n">
        <v>0</v>
      </c>
      <c r="N258" s="10" t="s">
        <v>64</v>
      </c>
      <c r="O258" s="10" t="s">
        <v>67</v>
      </c>
      <c r="P258" s="10"/>
      <c r="Q258" s="16" t="n">
        <v>0</v>
      </c>
      <c r="R258" s="10"/>
      <c r="S258" s="10"/>
      <c r="T258" s="10" t="n">
        <v>0</v>
      </c>
      <c r="U258" s="11" t="n">
        <f aca="false">IF(E258="TRANSPORT",IF(T258="","",T258*5),IF(AL258="","",AL258))</f>
        <v>0</v>
      </c>
      <c r="V258" s="10" t="s">
        <v>54</v>
      </c>
      <c r="W258" s="15" t="s">
        <v>65</v>
      </c>
      <c r="X258" s="15"/>
      <c r="Y258" s="17" t="n">
        <v>46244.3898842593</v>
      </c>
      <c r="Z258" s="18" t="n">
        <f aca="false">IF(I258="",0,IF(ISNUMBER(SEARCH("mp",LOWER(J258))),I258,IF(ISNUMBER(SEARCH("ton",LOWER(J258))),I258/0.33,IF(ISNUMBER(SEARCH("m3",LOWER(J258))),I258*4,I258))))</f>
        <v>81.12</v>
      </c>
      <c r="AA258" s="18" t="n">
        <f aca="false">IF(I258="",0,IF(ISNUMBER(SEARCH("mp",LOWER(J258))),I258*0.33,IF(ISNUMBER(SEARCH("ton",LOWER(J258))),I258,I258*0.33)))</f>
        <v>6.6924</v>
      </c>
      <c r="AB258" s="18" t="n">
        <f aca="false">Tabela_dane[[#This Row],[Wolumen_t]]*8.5</f>
        <v>56.8854</v>
      </c>
      <c r="AC258" s="18" t="n">
        <f aca="false">IF(G258&lt;&gt;"TAK",0,IF(OR(E258="ZAKUP",E258="PRODUKCJA"),Z258,IF(OR(E258="SPRZEDAŻ",E258="ZUŻYCIE"),-Z258,0)))</f>
        <v>81.12</v>
      </c>
      <c r="AD258" s="18" t="n">
        <f aca="false">IF(G258&lt;&gt;"TAK",0,IF(OR(E258="ZAKUP",E258="PRODUKCJA"),AA258,IF(OR(E258="SPRZEDAŻ",E258="ZUŻYCIE"),-AA258,0)))</f>
        <v>6.6924</v>
      </c>
      <c r="AE258" s="19" t="n">
        <f aca="false">IF(E258="ZAKUP",IF(L258&lt;&gt;"",L258,IF(K258&lt;&gt;"",Z258*K258,0)),0)</f>
        <v>2859.48</v>
      </c>
      <c r="AF258" s="19" t="n">
        <f aca="false">IF(E258="SPRZEDAŻ",IF(M258&lt;&gt;"",Z258*M258,0),0)</f>
        <v>0</v>
      </c>
      <c r="AG258" s="19" t="str">
        <f aca="false">IF(R258="","",IF(LOWER(R258)="brak","Brak",IF(OR(ISNUMBER(SEARCH("ric pl",LOWER(R258))),ISNUMBER(SEARCH("wojciechowski",LOWER(R258)))),"Własny","Zewnętrzny")))</f>
        <v/>
      </c>
      <c r="AH258" s="19" t="n">
        <f aca="false">Z258*Q258</f>
        <v>0</v>
      </c>
      <c r="AI258" s="19" t="str">
        <f aca="false">UPPER(TEXT(C258,"mmmm"))</f>
        <v>AUGUST</v>
      </c>
      <c r="AJ258" s="19" t="str">
        <f aca="false">IF(C258="","",TEXT(C258,"rrrr"))</f>
        <v>CE5786CE5786</v>
      </c>
      <c r="AK258" s="10"/>
      <c r="AL258" s="11" t="n">
        <v>0</v>
      </c>
      <c r="AM258" s="10" t="s">
        <v>502</v>
      </c>
      <c r="AN258" s="10" t="s">
        <v>59</v>
      </c>
      <c r="AO258" s="10"/>
      <c r="AP258" s="10"/>
      <c r="AQ258" s="10"/>
      <c r="AR258" s="10" t="s">
        <v>66</v>
      </c>
      <c r="AS258" s="10"/>
      <c r="AT258" s="15" t="n">
        <v>1</v>
      </c>
    </row>
    <row r="259" customFormat="false" ht="28.5" hidden="false" customHeight="true" outlineLevel="0" collapsed="false">
      <c r="A259" s="23" t="n">
        <v>46237</v>
      </c>
      <c r="B259" s="12"/>
      <c r="C259" s="23" t="n">
        <v>46237</v>
      </c>
      <c r="D259" s="10" t="s">
        <v>54</v>
      </c>
      <c r="E259" s="10" t="s">
        <v>47</v>
      </c>
      <c r="F259" s="13" t="s">
        <v>503</v>
      </c>
      <c r="G259" s="14" t="s">
        <v>49</v>
      </c>
      <c r="H259" s="10" t="s">
        <v>50</v>
      </c>
      <c r="I259" s="15" t="n">
        <v>81.12</v>
      </c>
      <c r="J259" s="10" t="s">
        <v>51</v>
      </c>
      <c r="K259" s="15" t="n">
        <v>0</v>
      </c>
      <c r="L259" s="11" t="n">
        <v>0</v>
      </c>
      <c r="M259" s="11" t="n">
        <v>0</v>
      </c>
      <c r="N259" s="10" t="s">
        <v>52</v>
      </c>
      <c r="O259" s="10" t="s">
        <v>67</v>
      </c>
      <c r="P259" s="10" t="s">
        <v>53</v>
      </c>
      <c r="Q259" s="16" t="n">
        <v>10</v>
      </c>
      <c r="R259" s="10"/>
      <c r="S259" s="10"/>
      <c r="T259" s="10" t="n">
        <v>0</v>
      </c>
      <c r="U259" s="11" t="n">
        <f aca="false">IF(E259="TRANSPORT",IF(T259="","",T259*5),IF(AL259="","",AL259))</f>
        <v>0</v>
      </c>
      <c r="V259" s="10" t="s">
        <v>54</v>
      </c>
      <c r="W259" s="15" t="s">
        <v>70</v>
      </c>
      <c r="X259" s="15"/>
      <c r="Y259" s="17" t="n">
        <v>46244.3905092593</v>
      </c>
      <c r="Z259" s="18" t="n">
        <f aca="false">IF(I259="",0,IF(ISNUMBER(SEARCH("mp",LOWER(J259))),I259,IF(ISNUMBER(SEARCH("ton",LOWER(J259))),I259/0.33,IF(ISNUMBER(SEARCH("m3",LOWER(J259))),I259*4,I259))))</f>
        <v>81.12</v>
      </c>
      <c r="AA259" s="18" t="n">
        <f aca="false">IF(I259="",0,IF(ISNUMBER(SEARCH("mp",LOWER(J259))),I259*0.33,IF(ISNUMBER(SEARCH("ton",LOWER(J259))),I259,I259*0.33)))</f>
        <v>26.7696</v>
      </c>
      <c r="AB259" s="18" t="n">
        <f aca="false">Tabela_dane[[#This Row],[Wolumen_t]]*8.5</f>
        <v>227.5416</v>
      </c>
      <c r="AC259" s="18" t="n">
        <f aca="false">IF(G259&lt;&gt;"TAK",0,IF(OR(E259="ZAKUP",E259="PRODUKCJA"),Z259,IF(OR(E259="SPRZEDAŻ",E259="ZUŻYCIE"),-Z259,0)))</f>
        <v>81.12</v>
      </c>
      <c r="AD259" s="18" t="n">
        <f aca="false">IF(G259&lt;&gt;"TAK",0,IF(OR(E259="ZAKUP",E259="PRODUKCJA"),AA259,IF(OR(E259="SPRZEDAŻ",E259="ZUŻYCIE"),-AA259,0)))</f>
        <v>26.7696</v>
      </c>
      <c r="AE259" s="19" t="n">
        <f aca="false">IF(E259="ZAKUP",IF(L259&lt;&gt;"",L259,IF(K259&lt;&gt;"",Z259*K259,0)),0)</f>
        <v>0</v>
      </c>
      <c r="AF259" s="19" t="n">
        <f aca="false">IF(E259="SPRZEDAŻ",IF(M259&lt;&gt;"",Z259*M259,0),0)</f>
        <v>0</v>
      </c>
      <c r="AG259" s="19" t="str">
        <f aca="false">IF(R259="","",IF(LOWER(R259)="brak","Brak",IF(OR(ISNUMBER(SEARCH("ric pl",LOWER(R259))),ISNUMBER(SEARCH("wojciechowski",LOWER(R259)))),"Własny","Zewnętrzny")))</f>
        <v/>
      </c>
      <c r="AH259" s="19" t="n">
        <f aca="false">Z259*Q259</f>
        <v>811.2</v>
      </c>
      <c r="AI259" s="19" t="str">
        <f aca="false">UPPER(TEXT(C259,"mmmm"))</f>
        <v>AUGUST</v>
      </c>
      <c r="AJ259" s="19" t="str">
        <f aca="false">IF(C259="","",TEXT(C259,"rrrr"))</f>
        <v>CE5786CE5786</v>
      </c>
      <c r="AK259" s="10"/>
      <c r="AL259" s="11" t="n">
        <v>0</v>
      </c>
      <c r="AM259" s="10" t="s">
        <v>504</v>
      </c>
      <c r="AN259" s="10" t="s">
        <v>59</v>
      </c>
      <c r="AO259" s="10"/>
      <c r="AP259" s="10"/>
      <c r="AQ259" s="10"/>
      <c r="AR259" s="10" t="s">
        <v>66</v>
      </c>
      <c r="AS259" s="10"/>
      <c r="AT259" s="15" t="n">
        <v>1</v>
      </c>
    </row>
    <row r="260" customFormat="false" ht="28.5" hidden="false" customHeight="true" outlineLevel="0" collapsed="false">
      <c r="A260" s="23" t="n">
        <v>46237</v>
      </c>
      <c r="B260" s="12"/>
      <c r="C260" s="23" t="n">
        <v>46237</v>
      </c>
      <c r="D260" s="10" t="s">
        <v>54</v>
      </c>
      <c r="E260" s="10" t="s">
        <v>79</v>
      </c>
      <c r="F260" s="13" t="s">
        <v>503</v>
      </c>
      <c r="G260" s="14" t="s">
        <v>49</v>
      </c>
      <c r="H260" s="10" t="s">
        <v>50</v>
      </c>
      <c r="I260" s="15" t="n">
        <v>81.12</v>
      </c>
      <c r="J260" s="10" t="s">
        <v>51</v>
      </c>
      <c r="K260" s="15" t="n">
        <v>0</v>
      </c>
      <c r="L260" s="11" t="n">
        <v>0</v>
      </c>
      <c r="M260" s="11" t="n">
        <v>0</v>
      </c>
      <c r="N260" s="10" t="s">
        <v>52</v>
      </c>
      <c r="O260" s="10" t="s">
        <v>67</v>
      </c>
      <c r="P260" s="10" t="s">
        <v>53</v>
      </c>
      <c r="Q260" s="16" t="n">
        <v>10</v>
      </c>
      <c r="R260" s="10"/>
      <c r="S260" s="10"/>
      <c r="T260" s="10" t="n">
        <v>0</v>
      </c>
      <c r="U260" s="11" t="n">
        <f aca="false">IF(E260="TRANSPORT",IF(T260="","",T260*5),IF(AL260="","",AL260))</f>
        <v>0</v>
      </c>
      <c r="V260" s="10" t="s">
        <v>54</v>
      </c>
      <c r="W260" s="15" t="s">
        <v>260</v>
      </c>
      <c r="X260" s="15"/>
      <c r="Y260" s="17" t="n">
        <v>46244.3905092593</v>
      </c>
      <c r="Z260" s="18" t="n">
        <f aca="false">IF(I260="",0,IF(ISNUMBER(SEARCH("mp",LOWER(J260))),I260,IF(ISNUMBER(SEARCH("ton",LOWER(J260))),I260/0.33,IF(ISNUMBER(SEARCH("m3",LOWER(J260))),I260*4,I260))))</f>
        <v>81.12</v>
      </c>
      <c r="AA260" s="18" t="n">
        <f aca="false">IF(I260="",0,IF(ISNUMBER(SEARCH("mp",LOWER(J260))),I260*0.33,IF(ISNUMBER(SEARCH("ton",LOWER(J260))),I260,I260*0.33)))</f>
        <v>26.7696</v>
      </c>
      <c r="AB260" s="18" t="n">
        <f aca="false">Tabela_dane[[#This Row],[Wolumen_t]]*8.5</f>
        <v>227.5416</v>
      </c>
      <c r="AC260" s="18" t="n">
        <f aca="false">IF(G260&lt;&gt;"TAK",0,IF(OR(E260="ZAKUP",E260="PRODUKCJA"),Z260,IF(OR(E260="SPRZEDAŻ",E260="ZUŻYCIE"),-Z260,0)))</f>
        <v>-81.12</v>
      </c>
      <c r="AD260" s="18" t="n">
        <f aca="false">IF(G260&lt;&gt;"TAK",0,IF(OR(E260="ZAKUP",E260="PRODUKCJA"),AA260,IF(OR(E260="SPRZEDAŻ",E260="ZUŻYCIE"),-AA260,0)))</f>
        <v>-26.7696</v>
      </c>
      <c r="AE260" s="19" t="n">
        <f aca="false">IF(E260="ZAKUP",IF(L260&lt;&gt;"",L260,IF(K260&lt;&gt;"",Z260*K260,0)),0)</f>
        <v>0</v>
      </c>
      <c r="AF260" s="19" t="n">
        <f aca="false">IF(E260="SPRZEDAŻ",IF(M260&lt;&gt;"",Z260*M260,0),0)</f>
        <v>0</v>
      </c>
      <c r="AG260" s="19" t="str">
        <f aca="false">IF(R260="","",IF(LOWER(R260)="brak","Brak",IF(OR(ISNUMBER(SEARCH("ric pl",LOWER(R260))),ISNUMBER(SEARCH("wojciechowski",LOWER(R260)))),"Własny","Zewnętrzny")))</f>
        <v/>
      </c>
      <c r="AH260" s="19" t="n">
        <f aca="false">Z260*Q260</f>
        <v>811.2</v>
      </c>
      <c r="AI260" s="19" t="str">
        <f aca="false">UPPER(TEXT(C260,"mmmm"))</f>
        <v>AUGUST</v>
      </c>
      <c r="AJ260" s="19" t="str">
        <f aca="false">IF(C260="","",TEXT(C260,"rrrr"))</f>
        <v>CE5786CE5786</v>
      </c>
      <c r="AK260" s="10"/>
      <c r="AL260" s="11" t="n">
        <v>0</v>
      </c>
      <c r="AM260" s="10" t="s">
        <v>504</v>
      </c>
      <c r="AN260" s="10" t="s">
        <v>59</v>
      </c>
      <c r="AO260" s="10"/>
      <c r="AP260" s="10"/>
      <c r="AQ260" s="10"/>
      <c r="AR260" s="10" t="s">
        <v>81</v>
      </c>
      <c r="AS260" s="10"/>
      <c r="AT260" s="15" t="n">
        <v>1</v>
      </c>
    </row>
    <row r="261" customFormat="false" ht="28.5" hidden="false" customHeight="true" outlineLevel="0" collapsed="false">
      <c r="A261" s="23" t="n">
        <v>46237</v>
      </c>
      <c r="B261" s="12" t="s">
        <v>440</v>
      </c>
      <c r="C261" s="23" t="n">
        <v>46237</v>
      </c>
      <c r="D261" s="10" t="s">
        <v>54</v>
      </c>
      <c r="E261" s="10" t="s">
        <v>63</v>
      </c>
      <c r="F261" s="13" t="s">
        <v>503</v>
      </c>
      <c r="G261" s="14" t="s">
        <v>49</v>
      </c>
      <c r="H261" s="10" t="s">
        <v>50</v>
      </c>
      <c r="I261" s="15" t="n">
        <v>81.12</v>
      </c>
      <c r="J261" s="10" t="s">
        <v>51</v>
      </c>
      <c r="K261" s="15" t="n">
        <v>0</v>
      </c>
      <c r="L261" s="11" t="n">
        <v>0</v>
      </c>
      <c r="M261" s="11" t="n">
        <v>0</v>
      </c>
      <c r="N261" s="10" t="s">
        <v>52</v>
      </c>
      <c r="O261" s="10" t="s">
        <v>67</v>
      </c>
      <c r="P261" s="10"/>
      <c r="Q261" s="16" t="n">
        <v>0</v>
      </c>
      <c r="R261" s="10" t="s">
        <v>94</v>
      </c>
      <c r="S261" s="10" t="s">
        <v>95</v>
      </c>
      <c r="T261" s="10" t="n">
        <v>200</v>
      </c>
      <c r="U261" s="11" t="n">
        <f aca="false">IF(E261="TRANSPORT",IF(T261="","",T261*5),IF(AL261="","",AL261))</f>
        <v>1000</v>
      </c>
      <c r="V261" s="10" t="s">
        <v>54</v>
      </c>
      <c r="W261" s="15" t="s">
        <v>70</v>
      </c>
      <c r="X261" s="15"/>
      <c r="Y261" s="17" t="n">
        <v>46244.3910300926</v>
      </c>
      <c r="Z261" s="18" t="n">
        <f aca="false">IF(I261="",0,IF(ISNUMBER(SEARCH("mp",LOWER(J261))),I261,IF(ISNUMBER(SEARCH("ton",LOWER(J261))),I261/0.33,IF(ISNUMBER(SEARCH("m3",LOWER(J261))),I261*4,I261))))</f>
        <v>81.12</v>
      </c>
      <c r="AA261" s="18" t="n">
        <f aca="false">IF(I261="",0,IF(ISNUMBER(SEARCH("mp",LOWER(J261))),I261*0.33,IF(ISNUMBER(SEARCH("ton",LOWER(J261))),I261,I261*0.33)))</f>
        <v>26.7696</v>
      </c>
      <c r="AB261" s="18" t="n">
        <f aca="false">Tabela_dane[[#This Row],[Wolumen_t]]*8.5</f>
        <v>227.5416</v>
      </c>
      <c r="AC261" s="18" t="n">
        <f aca="false">IF(G261&lt;&gt;"TAK",0,IF(OR(E261="ZAKUP",E261="PRODUKCJA"),Z261,IF(OR(E261="SPRZEDAŻ",E261="ZUŻYCIE"),-Z261,0)))</f>
        <v>81.12</v>
      </c>
      <c r="AD261" s="18" t="n">
        <f aca="false">IF(G261&lt;&gt;"TAK",0,IF(OR(E261="ZAKUP",E261="PRODUKCJA"),AA261,IF(OR(E261="SPRZEDAŻ",E261="ZUŻYCIE"),-AA261,0)))</f>
        <v>26.7696</v>
      </c>
      <c r="AE261" s="19" t="n">
        <f aca="false">IF(E261="ZAKUP",IF(L261&lt;&gt;"",L261,IF(K261&lt;&gt;"",Z261*K261,0)),0)</f>
        <v>0</v>
      </c>
      <c r="AF261" s="19" t="n">
        <f aca="false">IF(E261="SPRZEDAŻ",IF(M261&lt;&gt;"",Z261*M261,0),0)</f>
        <v>0</v>
      </c>
      <c r="AG261" s="19" t="str">
        <f aca="false">IF(R261="","",IF(LOWER(R261)="brak","Brak",IF(OR(ISNUMBER(SEARCH("ric pl",LOWER(R261))),ISNUMBER(SEARCH("wojciechowski",LOWER(R261)))),"Własny","Zewnętrzny")))</f>
        <v>Zewnętrzny</v>
      </c>
      <c r="AH261" s="19" t="n">
        <f aca="false">Z261*Q261</f>
        <v>0</v>
      </c>
      <c r="AI261" s="19" t="str">
        <f aca="false">UPPER(TEXT(C261,"mmmm"))</f>
        <v>AUGUST</v>
      </c>
      <c r="AJ261" s="19" t="str">
        <f aca="false">IF(C261="","",TEXT(C261,"rrrr"))</f>
        <v>CE5786CE5786</v>
      </c>
      <c r="AK261" s="10"/>
      <c r="AL261" s="11" t="n">
        <v>1000</v>
      </c>
      <c r="AM261" s="10" t="s">
        <v>505</v>
      </c>
      <c r="AN261" s="10" t="s">
        <v>49</v>
      </c>
      <c r="AO261" s="10"/>
      <c r="AP261" s="10"/>
      <c r="AQ261" s="10"/>
      <c r="AR261" s="10" t="s">
        <v>66</v>
      </c>
      <c r="AS261" s="10"/>
      <c r="AT261" s="15" t="n">
        <v>1</v>
      </c>
    </row>
    <row r="262" customFormat="false" ht="28.5" hidden="false" customHeight="true" outlineLevel="0" collapsed="false">
      <c r="A262" s="23" t="n">
        <v>46237</v>
      </c>
      <c r="B262" s="12"/>
      <c r="C262" s="23" t="n">
        <v>46237</v>
      </c>
      <c r="D262" s="10" t="s">
        <v>462</v>
      </c>
      <c r="E262" s="10" t="s">
        <v>63</v>
      </c>
      <c r="F262" s="46" t="s">
        <v>506</v>
      </c>
      <c r="G262" s="14" t="s">
        <v>49</v>
      </c>
      <c r="H262" s="10" t="s">
        <v>50</v>
      </c>
      <c r="I262" s="15" t="n">
        <v>17</v>
      </c>
      <c r="J262" s="10" t="s">
        <v>77</v>
      </c>
      <c r="K262" s="15" t="n">
        <v>141</v>
      </c>
      <c r="L262" s="11" t="n">
        <v>2397</v>
      </c>
      <c r="M262" s="11" t="n">
        <v>0</v>
      </c>
      <c r="N262" s="10" t="s">
        <v>64</v>
      </c>
      <c r="O262" s="10" t="s">
        <v>67</v>
      </c>
      <c r="P262" s="10"/>
      <c r="Q262" s="16" t="n">
        <v>0</v>
      </c>
      <c r="R262" s="10"/>
      <c r="S262" s="10"/>
      <c r="T262" s="10" t="n">
        <v>0</v>
      </c>
      <c r="U262" s="11" t="n">
        <f aca="false">IF(E262="TRANSPORT",IF(T262="","",T262*5),IF(AL262="","",AL262))</f>
        <v>0</v>
      </c>
      <c r="V262" s="10" t="s">
        <v>54</v>
      </c>
      <c r="W262" s="15" t="s">
        <v>70</v>
      </c>
      <c r="X262" s="15"/>
      <c r="Y262" s="17" t="n">
        <v>46244.3929861111</v>
      </c>
      <c r="Z262" s="18" t="n">
        <f aca="false">IF(I262="",0,IF(ISNUMBER(SEARCH("mp",LOWER(J262))),I262,IF(ISNUMBER(SEARCH("ton",LOWER(J262))),I262/0.33,IF(ISNUMBER(SEARCH("m3",LOWER(J262))),I262*4,I262))))</f>
        <v>68</v>
      </c>
      <c r="AA262" s="18" t="n">
        <f aca="false">IF(I262="",0,IF(ISNUMBER(SEARCH("mp",LOWER(J262))),I262*0.33,IF(ISNUMBER(SEARCH("ton",LOWER(J262))),I262,I262*0.33)))</f>
        <v>5.61</v>
      </c>
      <c r="AB262" s="18" t="n">
        <f aca="false">Tabela_dane[[#This Row],[Wolumen_t]]*8.5</f>
        <v>47.685</v>
      </c>
      <c r="AC262" s="18" t="n">
        <f aca="false">IF(G262&lt;&gt;"TAK",0,IF(OR(E262="ZAKUP",E262="PRODUKCJA"),Z262,IF(OR(E262="SPRZEDAŻ",E262="ZUŻYCIE"),-Z262,0)))</f>
        <v>68</v>
      </c>
      <c r="AD262" s="18" t="n">
        <f aca="false">IF(G262&lt;&gt;"TAK",0,IF(OR(E262="ZAKUP",E262="PRODUKCJA"),AA262,IF(OR(E262="SPRZEDAŻ",E262="ZUŻYCIE"),-AA262,0)))</f>
        <v>5.61</v>
      </c>
      <c r="AE262" s="19" t="n">
        <f aca="false">IF(E262="ZAKUP",IF(L262&lt;&gt;"",L262,IF(K262&lt;&gt;"",Z262*K262,0)),0)</f>
        <v>2397</v>
      </c>
      <c r="AF262" s="19" t="n">
        <f aca="false">IF(E262="SPRZEDAŻ",IF(M262&lt;&gt;"",Z262*M262,0),0)</f>
        <v>0</v>
      </c>
      <c r="AG262" s="19" t="str">
        <f aca="false">IF(R262="","",IF(LOWER(R262)="brak","Brak",IF(OR(ISNUMBER(SEARCH("ric pl",LOWER(R262))),ISNUMBER(SEARCH("wojciechowski",LOWER(R262)))),"Własny","Zewnętrzny")))</f>
        <v/>
      </c>
      <c r="AH262" s="19" t="n">
        <f aca="false">Z262*Q262</f>
        <v>0</v>
      </c>
      <c r="AI262" s="19" t="str">
        <f aca="false">UPPER(TEXT(C262,"mmmm"))</f>
        <v>AUGUST</v>
      </c>
      <c r="AJ262" s="19" t="str">
        <f aca="false">IF(C262="","",TEXT(C262,"rrrr"))</f>
        <v>CE5786CE5786</v>
      </c>
      <c r="AK262" s="10"/>
      <c r="AL262" s="11" t="n">
        <v>0</v>
      </c>
      <c r="AM262" s="10" t="s">
        <v>507</v>
      </c>
      <c r="AN262" s="10" t="s">
        <v>59</v>
      </c>
      <c r="AO262" s="10"/>
      <c r="AP262" s="10"/>
      <c r="AQ262" s="10"/>
      <c r="AR262" s="10" t="s">
        <v>66</v>
      </c>
      <c r="AS262" s="10"/>
      <c r="AT262" s="15" t="n">
        <v>1</v>
      </c>
    </row>
    <row r="263" customFormat="false" ht="28.5" hidden="false" customHeight="true" outlineLevel="0" collapsed="false">
      <c r="A263" s="23" t="n">
        <v>46237</v>
      </c>
      <c r="B263" s="12"/>
      <c r="C263" s="23" t="n">
        <v>46237</v>
      </c>
      <c r="D263" s="10" t="s">
        <v>54</v>
      </c>
      <c r="E263" s="10" t="s">
        <v>47</v>
      </c>
      <c r="F263" s="13" t="s">
        <v>506</v>
      </c>
      <c r="G263" s="14" t="s">
        <v>49</v>
      </c>
      <c r="H263" s="10" t="s">
        <v>50</v>
      </c>
      <c r="I263" s="15" t="n">
        <v>68</v>
      </c>
      <c r="J263" s="10" t="s">
        <v>51</v>
      </c>
      <c r="K263" s="15" t="n">
        <v>0</v>
      </c>
      <c r="L263" s="11" t="n">
        <v>0</v>
      </c>
      <c r="M263" s="11" t="n">
        <v>0</v>
      </c>
      <c r="N263" s="10" t="s">
        <v>52</v>
      </c>
      <c r="O263" s="10" t="s">
        <v>67</v>
      </c>
      <c r="P263" s="10" t="s">
        <v>53</v>
      </c>
      <c r="Q263" s="16" t="n">
        <v>10</v>
      </c>
      <c r="R263" s="10"/>
      <c r="S263" s="10"/>
      <c r="T263" s="10" t="n">
        <v>0</v>
      </c>
      <c r="U263" s="11" t="n">
        <f aca="false">IF(E263="TRANSPORT",IF(T263="","",T263*5),IF(AL263="","",AL263))</f>
        <v>0</v>
      </c>
      <c r="V263" s="10" t="s">
        <v>54</v>
      </c>
      <c r="W263" s="15" t="s">
        <v>70</v>
      </c>
      <c r="X263" s="15"/>
      <c r="Y263" s="17" t="n">
        <v>46244.3935069444</v>
      </c>
      <c r="Z263" s="18" t="n">
        <f aca="false">IF(I263="",0,IF(ISNUMBER(SEARCH("mp",LOWER(J263))),I263,IF(ISNUMBER(SEARCH("ton",LOWER(J263))),I263/0.33,IF(ISNUMBER(SEARCH("m3",LOWER(J263))),I263*4,I263))))</f>
        <v>68</v>
      </c>
      <c r="AA263" s="18" t="n">
        <f aca="false">IF(I263="",0,IF(ISNUMBER(SEARCH("mp",LOWER(J263))),I263*0.33,IF(ISNUMBER(SEARCH("ton",LOWER(J263))),I263,I263*0.33)))</f>
        <v>22.44</v>
      </c>
      <c r="AB263" s="18" t="n">
        <f aca="false">Tabela_dane[[#This Row],[Wolumen_t]]*8.5</f>
        <v>190.74</v>
      </c>
      <c r="AC263" s="18" t="n">
        <f aca="false">IF(G263&lt;&gt;"TAK",0,IF(OR(E263="ZAKUP",E263="PRODUKCJA"),Z263,IF(OR(E263="SPRZEDAŻ",E263="ZUŻYCIE"),-Z263,0)))</f>
        <v>68</v>
      </c>
      <c r="AD263" s="18" t="n">
        <f aca="false">IF(G263&lt;&gt;"TAK",0,IF(OR(E263="ZAKUP",E263="PRODUKCJA"),AA263,IF(OR(E263="SPRZEDAŻ",E263="ZUŻYCIE"),-AA263,0)))</f>
        <v>22.44</v>
      </c>
      <c r="AE263" s="19" t="n">
        <f aca="false">IF(E263="ZAKUP",IF(L263&lt;&gt;"",L263,IF(K263&lt;&gt;"",Z263*K263,0)),0)</f>
        <v>0</v>
      </c>
      <c r="AF263" s="19" t="n">
        <f aca="false">IF(E263="SPRZEDAŻ",IF(M263&lt;&gt;"",Z263*M263,0),0)</f>
        <v>0</v>
      </c>
      <c r="AG263" s="19" t="str">
        <f aca="false">IF(R263="","",IF(LOWER(R263)="brak","Brak",IF(OR(ISNUMBER(SEARCH("ric pl",LOWER(R263))),ISNUMBER(SEARCH("wojciechowski",LOWER(R263)))),"Własny","Zewnętrzny")))</f>
        <v/>
      </c>
      <c r="AH263" s="19" t="n">
        <f aca="false">Z263*Q263</f>
        <v>680</v>
      </c>
      <c r="AI263" s="19" t="str">
        <f aca="false">UPPER(TEXT(C263,"mmmm"))</f>
        <v>AUGUST</v>
      </c>
      <c r="AJ263" s="19" t="str">
        <f aca="false">IF(C263="","",TEXT(C263,"rrrr"))</f>
        <v>CE5786CE5786</v>
      </c>
      <c r="AK263" s="10"/>
      <c r="AL263" s="11" t="n">
        <v>0</v>
      </c>
      <c r="AM263" s="10" t="s">
        <v>508</v>
      </c>
      <c r="AN263" s="10" t="s">
        <v>59</v>
      </c>
      <c r="AO263" s="10"/>
      <c r="AP263" s="10"/>
      <c r="AQ263" s="10"/>
      <c r="AR263" s="10" t="s">
        <v>66</v>
      </c>
      <c r="AS263" s="10"/>
      <c r="AT263" s="15" t="n">
        <v>1</v>
      </c>
    </row>
    <row r="264" customFormat="false" ht="28.5" hidden="false" customHeight="true" outlineLevel="0" collapsed="false">
      <c r="A264" s="23" t="n">
        <v>46237</v>
      </c>
      <c r="B264" s="12"/>
      <c r="C264" s="23" t="n">
        <v>46237</v>
      </c>
      <c r="D264" s="10" t="s">
        <v>54</v>
      </c>
      <c r="E264" s="10" t="s">
        <v>79</v>
      </c>
      <c r="F264" s="13" t="s">
        <v>506</v>
      </c>
      <c r="G264" s="14" t="s">
        <v>49</v>
      </c>
      <c r="H264" s="10" t="s">
        <v>50</v>
      </c>
      <c r="I264" s="15" t="n">
        <v>68</v>
      </c>
      <c r="J264" s="10" t="s">
        <v>51</v>
      </c>
      <c r="K264" s="15" t="n">
        <v>0</v>
      </c>
      <c r="L264" s="11" t="n">
        <v>0</v>
      </c>
      <c r="M264" s="11" t="n">
        <v>0</v>
      </c>
      <c r="N264" s="10" t="s">
        <v>52</v>
      </c>
      <c r="O264" s="10" t="s">
        <v>67</v>
      </c>
      <c r="P264" s="10" t="s">
        <v>53</v>
      </c>
      <c r="Q264" s="16" t="n">
        <v>10</v>
      </c>
      <c r="R264" s="10"/>
      <c r="S264" s="10"/>
      <c r="T264" s="10" t="n">
        <v>0</v>
      </c>
      <c r="U264" s="11" t="n">
        <f aca="false">IF(E264="TRANSPORT",IF(T264="","",T264*5),IF(AL264="","",AL264))</f>
        <v>0</v>
      </c>
      <c r="V264" s="10" t="s">
        <v>54</v>
      </c>
      <c r="W264" s="15" t="s">
        <v>260</v>
      </c>
      <c r="X264" s="15"/>
      <c r="Y264" s="17" t="n">
        <v>46244.3935185185</v>
      </c>
      <c r="Z264" s="18" t="n">
        <f aca="false">IF(I264="",0,IF(ISNUMBER(SEARCH("mp",LOWER(J264))),I264,IF(ISNUMBER(SEARCH("ton",LOWER(J264))),I264/0.33,IF(ISNUMBER(SEARCH("m3",LOWER(J264))),I264*4,I264))))</f>
        <v>68</v>
      </c>
      <c r="AA264" s="18" t="n">
        <f aca="false">IF(I264="",0,IF(ISNUMBER(SEARCH("mp",LOWER(J264))),I264*0.33,IF(ISNUMBER(SEARCH("ton",LOWER(J264))),I264,I264*0.33)))</f>
        <v>22.44</v>
      </c>
      <c r="AB264" s="18" t="n">
        <f aca="false">Tabela_dane[[#This Row],[Wolumen_t]]*8.5</f>
        <v>190.74</v>
      </c>
      <c r="AC264" s="18" t="n">
        <f aca="false">IF(G264&lt;&gt;"TAK",0,IF(OR(E264="ZAKUP",E264="PRODUKCJA"),Z264,IF(OR(E264="SPRZEDAŻ",E264="ZUŻYCIE"),-Z264,0)))</f>
        <v>-68</v>
      </c>
      <c r="AD264" s="18" t="n">
        <f aca="false">IF(G264&lt;&gt;"TAK",0,IF(OR(E264="ZAKUP",E264="PRODUKCJA"),AA264,IF(OR(E264="SPRZEDAŻ",E264="ZUŻYCIE"),-AA264,0)))</f>
        <v>-22.44</v>
      </c>
      <c r="AE264" s="19" t="n">
        <f aca="false">IF(E264="ZAKUP",IF(L264&lt;&gt;"",L264,IF(K264&lt;&gt;"",Z264*K264,0)),0)</f>
        <v>0</v>
      </c>
      <c r="AF264" s="19" t="n">
        <f aca="false">IF(E264="SPRZEDAŻ",IF(M264&lt;&gt;"",Z264*M264,0),0)</f>
        <v>0</v>
      </c>
      <c r="AG264" s="19" t="str">
        <f aca="false">IF(R264="","",IF(LOWER(R264)="brak","Brak",IF(OR(ISNUMBER(SEARCH("ric pl",LOWER(R264))),ISNUMBER(SEARCH("wojciechowski",LOWER(R264)))),"Własny","Zewnętrzny")))</f>
        <v/>
      </c>
      <c r="AH264" s="19" t="n">
        <f aca="false">Z264*Q264</f>
        <v>680</v>
      </c>
      <c r="AI264" s="19" t="str">
        <f aca="false">UPPER(TEXT(C264,"mmmm"))</f>
        <v>AUGUST</v>
      </c>
      <c r="AJ264" s="19" t="str">
        <f aca="false">IF(C264="","",TEXT(C264,"rrrr"))</f>
        <v>CE5786CE5786</v>
      </c>
      <c r="AK264" s="10"/>
      <c r="AL264" s="11" t="n">
        <v>0</v>
      </c>
      <c r="AM264" s="10" t="s">
        <v>508</v>
      </c>
      <c r="AN264" s="10" t="s">
        <v>59</v>
      </c>
      <c r="AO264" s="10"/>
      <c r="AP264" s="10"/>
      <c r="AQ264" s="10"/>
      <c r="AR264" s="10" t="s">
        <v>81</v>
      </c>
      <c r="AS264" s="10"/>
      <c r="AT264" s="15" t="n">
        <v>1</v>
      </c>
    </row>
    <row r="265" customFormat="false" ht="28.5" hidden="false" customHeight="true" outlineLevel="0" collapsed="false">
      <c r="A265" s="23" t="n">
        <v>46237</v>
      </c>
      <c r="B265" s="12" t="s">
        <v>440</v>
      </c>
      <c r="C265" s="23" t="n">
        <v>46237</v>
      </c>
      <c r="D265" s="10" t="s">
        <v>54</v>
      </c>
      <c r="E265" s="10" t="s">
        <v>63</v>
      </c>
      <c r="F265" s="13" t="s">
        <v>506</v>
      </c>
      <c r="G265" s="14" t="s">
        <v>49</v>
      </c>
      <c r="H265" s="10" t="s">
        <v>50</v>
      </c>
      <c r="I265" s="15" t="n">
        <v>68</v>
      </c>
      <c r="J265" s="10" t="s">
        <v>51</v>
      </c>
      <c r="K265" s="15" t="n">
        <v>0</v>
      </c>
      <c r="L265" s="11" t="n">
        <v>0</v>
      </c>
      <c r="M265" s="11" t="n">
        <v>0</v>
      </c>
      <c r="N265" s="10" t="s">
        <v>52</v>
      </c>
      <c r="O265" s="10" t="s">
        <v>67</v>
      </c>
      <c r="P265" s="10"/>
      <c r="Q265" s="16" t="n">
        <v>0</v>
      </c>
      <c r="R265" s="10" t="s">
        <v>182</v>
      </c>
      <c r="S265" s="10" t="s">
        <v>509</v>
      </c>
      <c r="T265" s="10" t="n">
        <v>200</v>
      </c>
      <c r="U265" s="11" t="n">
        <f aca="false">IF(E265="TRANSPORT",IF(T265="","",T265*5),IF(AL265="","",AL265))</f>
        <v>1000</v>
      </c>
      <c r="V265" s="10" t="s">
        <v>54</v>
      </c>
      <c r="W265" s="15" t="s">
        <v>70</v>
      </c>
      <c r="X265" s="15"/>
      <c r="Y265" s="17" t="n">
        <v>46244.3941435185</v>
      </c>
      <c r="Z265" s="18" t="n">
        <f aca="false">IF(I265="",0,IF(ISNUMBER(SEARCH("mp",LOWER(J265))),I265,IF(ISNUMBER(SEARCH("ton",LOWER(J265))),I265/0.33,IF(ISNUMBER(SEARCH("m3",LOWER(J265))),I265*4,I265))))</f>
        <v>68</v>
      </c>
      <c r="AA265" s="18" t="n">
        <f aca="false">IF(I265="",0,IF(ISNUMBER(SEARCH("mp",LOWER(J265))),I265*0.33,IF(ISNUMBER(SEARCH("ton",LOWER(J265))),I265,I265*0.33)))</f>
        <v>22.44</v>
      </c>
      <c r="AB265" s="18" t="n">
        <f aca="false">Tabela_dane[[#This Row],[Wolumen_t]]*8.5</f>
        <v>190.74</v>
      </c>
      <c r="AC265" s="18" t="n">
        <f aca="false">IF(G265&lt;&gt;"TAK",0,IF(OR(E265="ZAKUP",E265="PRODUKCJA"),Z265,IF(OR(E265="SPRZEDAŻ",E265="ZUŻYCIE"),-Z265,0)))</f>
        <v>68</v>
      </c>
      <c r="AD265" s="18" t="n">
        <f aca="false">IF(G265&lt;&gt;"TAK",0,IF(OR(E265="ZAKUP",E265="PRODUKCJA"),AA265,IF(OR(E265="SPRZEDAŻ",E265="ZUŻYCIE"),-AA265,0)))</f>
        <v>22.44</v>
      </c>
      <c r="AE265" s="19" t="n">
        <f aca="false">IF(E265="ZAKUP",IF(L265&lt;&gt;"",L265,IF(K265&lt;&gt;"",Z265*K265,0)),0)</f>
        <v>0</v>
      </c>
      <c r="AF265" s="19" t="n">
        <f aca="false">IF(E265="SPRZEDAŻ",IF(M265&lt;&gt;"",Z265*M265,0),0)</f>
        <v>0</v>
      </c>
      <c r="AG265" s="19" t="str">
        <f aca="false">IF(R265="","",IF(LOWER(R265)="brak","Brak",IF(OR(ISNUMBER(SEARCH("ric pl",LOWER(R265))),ISNUMBER(SEARCH("wojciechowski",LOWER(R265)))),"Własny","Zewnętrzny")))</f>
        <v>Zewnętrzny</v>
      </c>
      <c r="AH265" s="19" t="n">
        <f aca="false">Z265*Q265</f>
        <v>0</v>
      </c>
      <c r="AI265" s="19" t="str">
        <f aca="false">UPPER(TEXT(C265,"mmmm"))</f>
        <v>AUGUST</v>
      </c>
      <c r="AJ265" s="19" t="str">
        <f aca="false">IF(C265="","",TEXT(C265,"rrrr"))</f>
        <v>CE5786CE5786</v>
      </c>
      <c r="AK265" s="10"/>
      <c r="AL265" s="11" t="n">
        <v>1000</v>
      </c>
      <c r="AM265" s="10" t="s">
        <v>510</v>
      </c>
      <c r="AN265" s="10" t="s">
        <v>49</v>
      </c>
      <c r="AO265" s="10"/>
      <c r="AP265" s="10"/>
      <c r="AQ265" s="10"/>
      <c r="AR265" s="10" t="s">
        <v>66</v>
      </c>
      <c r="AS265" s="10"/>
      <c r="AT265" s="15" t="n">
        <v>1</v>
      </c>
    </row>
    <row r="266" customFormat="false" ht="28.5" hidden="false" customHeight="true" outlineLevel="0" collapsed="false">
      <c r="A266" s="12" t="n">
        <v>46238</v>
      </c>
      <c r="B266" s="12"/>
      <c r="C266" s="12" t="n">
        <v>46238</v>
      </c>
      <c r="D266" s="10" t="s">
        <v>511</v>
      </c>
      <c r="E266" s="10" t="s">
        <v>63</v>
      </c>
      <c r="F266" s="46" t="s">
        <v>512</v>
      </c>
      <c r="G266" s="14" t="s">
        <v>49</v>
      </c>
      <c r="H266" s="10" t="s">
        <v>50</v>
      </c>
      <c r="I266" s="15" t="n">
        <v>16.96</v>
      </c>
      <c r="J266" s="10" t="s">
        <v>77</v>
      </c>
      <c r="K266" s="15" t="n">
        <v>141</v>
      </c>
      <c r="L266" s="11" t="n">
        <v>2391.36</v>
      </c>
      <c r="M266" s="11" t="n">
        <v>0</v>
      </c>
      <c r="N266" s="10" t="s">
        <v>64</v>
      </c>
      <c r="O266" s="10" t="s">
        <v>67</v>
      </c>
      <c r="P266" s="10"/>
      <c r="Q266" s="16" t="n">
        <v>0</v>
      </c>
      <c r="R266" s="10"/>
      <c r="S266" s="10"/>
      <c r="T266" s="10" t="n">
        <v>0</v>
      </c>
      <c r="U266" s="11" t="n">
        <f aca="false">IF(E266="TRANSPORT",IF(T266="","",T266*5),IF(AL266="","",AL266))</f>
        <v>0</v>
      </c>
      <c r="V266" s="10" t="s">
        <v>54</v>
      </c>
      <c r="W266" s="15" t="s">
        <v>70</v>
      </c>
      <c r="X266" s="15"/>
      <c r="Y266" s="17" t="n">
        <v>46244.3958912037</v>
      </c>
      <c r="Z266" s="18" t="n">
        <f aca="false">IF(I266="",0,IF(ISNUMBER(SEARCH("mp",LOWER(J266))),I266,IF(ISNUMBER(SEARCH("ton",LOWER(J266))),I266/0.33,IF(ISNUMBER(SEARCH("m3",LOWER(J266))),I266*4,I266))))</f>
        <v>67.84</v>
      </c>
      <c r="AA266" s="18" t="n">
        <f aca="false">IF(I266="",0,IF(ISNUMBER(SEARCH("mp",LOWER(J266))),I266*0.33,IF(ISNUMBER(SEARCH("ton",LOWER(J266))),I266,I266*0.33)))</f>
        <v>5.5968</v>
      </c>
      <c r="AB266" s="18" t="n">
        <f aca="false">Tabela_dane[[#This Row],[Wolumen_t]]*8.5</f>
        <v>47.5728</v>
      </c>
      <c r="AC266" s="18" t="n">
        <f aca="false">IF(G266&lt;&gt;"TAK",0,IF(OR(E266="ZAKUP",E266="PRODUKCJA"),Z266,IF(OR(E266="SPRZEDAŻ",E266="ZUŻYCIE"),-Z266,0)))</f>
        <v>67.84</v>
      </c>
      <c r="AD266" s="18" t="n">
        <f aca="false">IF(G266&lt;&gt;"TAK",0,IF(OR(E266="ZAKUP",E266="PRODUKCJA"),AA266,IF(OR(E266="SPRZEDAŻ",E266="ZUŻYCIE"),-AA266,0)))</f>
        <v>5.5968</v>
      </c>
      <c r="AE266" s="19" t="n">
        <f aca="false">IF(E266="ZAKUP",IF(L266&lt;&gt;"",L266,IF(K266&lt;&gt;"",Z266*K266,0)),0)</f>
        <v>2391.36</v>
      </c>
      <c r="AF266" s="19" t="n">
        <f aca="false">IF(E266="SPRZEDAŻ",IF(M266&lt;&gt;"",Z266*M266,0),0)</f>
        <v>0</v>
      </c>
      <c r="AG266" s="19" t="str">
        <f aca="false">IF(R266="","",IF(LOWER(R266)="brak","Brak",IF(OR(ISNUMBER(SEARCH("ric pl",LOWER(R266))),ISNUMBER(SEARCH("wojciechowski",LOWER(R266)))),"Własny","Zewnętrzny")))</f>
        <v/>
      </c>
      <c r="AH266" s="19" t="n">
        <f aca="false">Z266*Q266</f>
        <v>0</v>
      </c>
      <c r="AI266" s="19" t="str">
        <f aca="false">UPPER(TEXT(C266,"mmmm"))</f>
        <v>AUGUST</v>
      </c>
      <c r="AJ266" s="19" t="str">
        <f aca="false">IF(C266="","",TEXT(C266,"rrrr"))</f>
        <v>CE5786CE5786</v>
      </c>
      <c r="AK266" s="10"/>
      <c r="AL266" s="11" t="n">
        <v>0</v>
      </c>
      <c r="AM266" s="10" t="s">
        <v>513</v>
      </c>
      <c r="AN266" s="10" t="s">
        <v>59</v>
      </c>
      <c r="AO266" s="10"/>
      <c r="AP266" s="10"/>
      <c r="AQ266" s="10"/>
      <c r="AR266" s="10" t="s">
        <v>66</v>
      </c>
      <c r="AS266" s="10"/>
      <c r="AT266" s="15" t="n">
        <v>1</v>
      </c>
    </row>
    <row r="267" customFormat="false" ht="28.5" hidden="false" customHeight="true" outlineLevel="0" collapsed="false">
      <c r="A267" s="12" t="n">
        <v>46238</v>
      </c>
      <c r="B267" s="12"/>
      <c r="C267" s="12" t="n">
        <v>46238</v>
      </c>
      <c r="D267" s="10" t="s">
        <v>54</v>
      </c>
      <c r="E267" s="10" t="s">
        <v>47</v>
      </c>
      <c r="F267" s="13" t="s">
        <v>514</v>
      </c>
      <c r="G267" s="14" t="s">
        <v>49</v>
      </c>
      <c r="H267" s="10" t="s">
        <v>50</v>
      </c>
      <c r="I267" s="15" t="n">
        <v>67.84</v>
      </c>
      <c r="J267" s="10" t="s">
        <v>51</v>
      </c>
      <c r="K267" s="15" t="n">
        <v>0</v>
      </c>
      <c r="L267" s="11" t="n">
        <v>0</v>
      </c>
      <c r="M267" s="11" t="n">
        <v>0</v>
      </c>
      <c r="N267" s="10" t="s">
        <v>52</v>
      </c>
      <c r="O267" s="10" t="s">
        <v>67</v>
      </c>
      <c r="P267" s="10" t="s">
        <v>53</v>
      </c>
      <c r="Q267" s="16" t="n">
        <v>10</v>
      </c>
      <c r="R267" s="10"/>
      <c r="S267" s="10"/>
      <c r="T267" s="10" t="n">
        <v>0</v>
      </c>
      <c r="U267" s="11" t="n">
        <f aca="false">IF(E267="TRANSPORT",IF(T267="","",T267*5),IF(AL267="","",AL267))</f>
        <v>0</v>
      </c>
      <c r="V267" s="10" t="s">
        <v>54</v>
      </c>
      <c r="W267" s="15" t="s">
        <v>70</v>
      </c>
      <c r="X267" s="15"/>
      <c r="Y267" s="17" t="n">
        <v>46244.3964930556</v>
      </c>
      <c r="Z267" s="18" t="n">
        <f aca="false">IF(I267="",0,IF(ISNUMBER(SEARCH("mp",LOWER(J267))),I267,IF(ISNUMBER(SEARCH("ton",LOWER(J267))),I267/0.33,IF(ISNUMBER(SEARCH("m3",LOWER(J267))),I267*4,I267))))</f>
        <v>67.84</v>
      </c>
      <c r="AA267" s="18" t="n">
        <f aca="false">IF(I267="",0,IF(ISNUMBER(SEARCH("mp",LOWER(J267))),I267*0.33,IF(ISNUMBER(SEARCH("ton",LOWER(J267))),I267,I267*0.33)))</f>
        <v>22.3872</v>
      </c>
      <c r="AB267" s="18" t="n">
        <f aca="false">Tabela_dane[[#This Row],[Wolumen_t]]*8.5</f>
        <v>190.2912</v>
      </c>
      <c r="AC267" s="18" t="n">
        <f aca="false">IF(G267&lt;&gt;"TAK",0,IF(OR(E267="ZAKUP",E267="PRODUKCJA"),Z267,IF(OR(E267="SPRZEDAŻ",E267="ZUŻYCIE"),-Z267,0)))</f>
        <v>67.84</v>
      </c>
      <c r="AD267" s="18" t="n">
        <f aca="false">IF(G267&lt;&gt;"TAK",0,IF(OR(E267="ZAKUP",E267="PRODUKCJA"),AA267,IF(OR(E267="SPRZEDAŻ",E267="ZUŻYCIE"),-AA267,0)))</f>
        <v>22.3872</v>
      </c>
      <c r="AE267" s="19" t="n">
        <f aca="false">IF(E267="ZAKUP",IF(L267&lt;&gt;"",L267,IF(K267&lt;&gt;"",Z267*K267,0)),0)</f>
        <v>0</v>
      </c>
      <c r="AF267" s="19" t="n">
        <f aca="false">IF(E267="SPRZEDAŻ",IF(M267&lt;&gt;"",Z267*M267,0),0)</f>
        <v>0</v>
      </c>
      <c r="AG267" s="19" t="str">
        <f aca="false">IF(R267="","",IF(LOWER(R267)="brak","Brak",IF(OR(ISNUMBER(SEARCH("ric pl",LOWER(R267))),ISNUMBER(SEARCH("wojciechowski",LOWER(R267)))),"Własny","Zewnętrzny")))</f>
        <v/>
      </c>
      <c r="AH267" s="19" t="n">
        <f aca="false">Z267*Q267</f>
        <v>678.4</v>
      </c>
      <c r="AI267" s="19" t="str">
        <f aca="false">UPPER(TEXT(C267,"mmmm"))</f>
        <v>AUGUST</v>
      </c>
      <c r="AJ267" s="19" t="str">
        <f aca="false">IF(C267="","",TEXT(C267,"rrrr"))</f>
        <v>CE5786CE5786</v>
      </c>
      <c r="AK267" s="10"/>
      <c r="AL267" s="11" t="n">
        <v>0</v>
      </c>
      <c r="AM267" s="10" t="s">
        <v>515</v>
      </c>
      <c r="AN267" s="10" t="s">
        <v>59</v>
      </c>
      <c r="AO267" s="10"/>
      <c r="AP267" s="10"/>
      <c r="AQ267" s="10"/>
      <c r="AR267" s="10" t="s">
        <v>66</v>
      </c>
      <c r="AS267" s="10"/>
      <c r="AT267" s="15" t="n">
        <v>1</v>
      </c>
    </row>
    <row r="268" customFormat="false" ht="28.5" hidden="false" customHeight="true" outlineLevel="0" collapsed="false">
      <c r="A268" s="12" t="n">
        <v>46238</v>
      </c>
      <c r="B268" s="12"/>
      <c r="C268" s="12" t="n">
        <v>46238</v>
      </c>
      <c r="D268" s="10" t="s">
        <v>54</v>
      </c>
      <c r="E268" s="10" t="s">
        <v>79</v>
      </c>
      <c r="F268" s="13" t="s">
        <v>514</v>
      </c>
      <c r="G268" s="14" t="s">
        <v>49</v>
      </c>
      <c r="H268" s="10" t="s">
        <v>50</v>
      </c>
      <c r="I268" s="15" t="n">
        <v>67.84</v>
      </c>
      <c r="J268" s="10" t="s">
        <v>51</v>
      </c>
      <c r="K268" s="15" t="n">
        <v>0</v>
      </c>
      <c r="L268" s="11" t="n">
        <v>0</v>
      </c>
      <c r="M268" s="11" t="n">
        <v>0</v>
      </c>
      <c r="N268" s="10" t="s">
        <v>52</v>
      </c>
      <c r="O268" s="10" t="s">
        <v>67</v>
      </c>
      <c r="P268" s="10" t="s">
        <v>53</v>
      </c>
      <c r="Q268" s="16" t="n">
        <v>10</v>
      </c>
      <c r="R268" s="10"/>
      <c r="S268" s="10"/>
      <c r="T268" s="10" t="n">
        <v>0</v>
      </c>
      <c r="U268" s="11" t="n">
        <f aca="false">IF(E268="TRANSPORT",IF(T268="","",T268*5),IF(AL268="","",AL268))</f>
        <v>0</v>
      </c>
      <c r="V268" s="10" t="s">
        <v>54</v>
      </c>
      <c r="W268" s="15" t="s">
        <v>260</v>
      </c>
      <c r="X268" s="15"/>
      <c r="Y268" s="17" t="n">
        <v>46244.3964930556</v>
      </c>
      <c r="Z268" s="18" t="n">
        <f aca="false">IF(I268="",0,IF(ISNUMBER(SEARCH("mp",LOWER(J268))),I268,IF(ISNUMBER(SEARCH("ton",LOWER(J268))),I268/0.33,IF(ISNUMBER(SEARCH("m3",LOWER(J268))),I268*4,I268))))</f>
        <v>67.84</v>
      </c>
      <c r="AA268" s="18" t="n">
        <f aca="false">IF(I268="",0,IF(ISNUMBER(SEARCH("mp",LOWER(J268))),I268*0.33,IF(ISNUMBER(SEARCH("ton",LOWER(J268))),I268,I268*0.33)))</f>
        <v>22.3872</v>
      </c>
      <c r="AB268" s="18" t="n">
        <f aca="false">Tabela_dane[[#This Row],[Wolumen_t]]*8.5</f>
        <v>190.2912</v>
      </c>
      <c r="AC268" s="18" t="n">
        <f aca="false">IF(G268&lt;&gt;"TAK",0,IF(OR(E268="ZAKUP",E268="PRODUKCJA"),Z268,IF(OR(E268="SPRZEDAŻ",E268="ZUŻYCIE"),-Z268,0)))</f>
        <v>-67.84</v>
      </c>
      <c r="AD268" s="18" t="n">
        <f aca="false">IF(G268&lt;&gt;"TAK",0,IF(OR(E268="ZAKUP",E268="PRODUKCJA"),AA268,IF(OR(E268="SPRZEDAŻ",E268="ZUŻYCIE"),-AA268,0)))</f>
        <v>-22.3872</v>
      </c>
      <c r="AE268" s="19" t="n">
        <f aca="false">IF(E268="ZAKUP",IF(L268&lt;&gt;"",L268,IF(K268&lt;&gt;"",Z268*K268,0)),0)</f>
        <v>0</v>
      </c>
      <c r="AF268" s="19" t="n">
        <f aca="false">IF(E268="SPRZEDAŻ",IF(M268&lt;&gt;"",Z268*M268,0),0)</f>
        <v>0</v>
      </c>
      <c r="AG268" s="19" t="str">
        <f aca="false">IF(R268="","",IF(LOWER(R268)="brak","Brak",IF(OR(ISNUMBER(SEARCH("ric pl",LOWER(R268))),ISNUMBER(SEARCH("wojciechowski",LOWER(R268)))),"Własny","Zewnętrzny")))</f>
        <v/>
      </c>
      <c r="AH268" s="19" t="n">
        <f aca="false">Z268*Q268</f>
        <v>678.4</v>
      </c>
      <c r="AI268" s="19" t="str">
        <f aca="false">UPPER(TEXT(C268,"mmmm"))</f>
        <v>AUGUST</v>
      </c>
      <c r="AJ268" s="19" t="str">
        <f aca="false">IF(C268="","",TEXT(C268,"rrrr"))</f>
        <v>CE5786CE5786</v>
      </c>
      <c r="AK268" s="10"/>
      <c r="AL268" s="11" t="n">
        <v>0</v>
      </c>
      <c r="AM268" s="10" t="s">
        <v>515</v>
      </c>
      <c r="AN268" s="10" t="s">
        <v>59</v>
      </c>
      <c r="AO268" s="10"/>
      <c r="AP268" s="10"/>
      <c r="AQ268" s="10"/>
      <c r="AR268" s="10" t="s">
        <v>81</v>
      </c>
      <c r="AS268" s="10"/>
      <c r="AT268" s="15" t="n">
        <v>1</v>
      </c>
    </row>
    <row r="269" customFormat="false" ht="28.5" hidden="false" customHeight="true" outlineLevel="0" collapsed="false">
      <c r="A269" s="12" t="n">
        <v>46238</v>
      </c>
      <c r="B269" s="12" t="s">
        <v>516</v>
      </c>
      <c r="C269" s="12" t="n">
        <v>46238</v>
      </c>
      <c r="D269" s="10" t="s">
        <v>54</v>
      </c>
      <c r="E269" s="10" t="s">
        <v>63</v>
      </c>
      <c r="F269" s="13" t="s">
        <v>514</v>
      </c>
      <c r="G269" s="14" t="s">
        <v>49</v>
      </c>
      <c r="H269" s="10" t="s">
        <v>50</v>
      </c>
      <c r="I269" s="15" t="n">
        <v>67.84</v>
      </c>
      <c r="J269" s="10" t="s">
        <v>51</v>
      </c>
      <c r="K269" s="15" t="n">
        <v>0</v>
      </c>
      <c r="L269" s="11" t="n">
        <v>0</v>
      </c>
      <c r="M269" s="11" t="n">
        <v>0</v>
      </c>
      <c r="N269" s="10" t="s">
        <v>52</v>
      </c>
      <c r="O269" s="10" t="s">
        <v>67</v>
      </c>
      <c r="P269" s="10"/>
      <c r="Q269" s="16" t="n">
        <v>0</v>
      </c>
      <c r="R269" s="10" t="s">
        <v>68</v>
      </c>
      <c r="S269" s="10" t="s">
        <v>69</v>
      </c>
      <c r="T269" s="10" t="n">
        <v>105</v>
      </c>
      <c r="U269" s="11" t="n">
        <f aca="false">IF(E269="TRANSPORT",IF(T269="","",T269*5),IF(AL269="","",AL269))</f>
        <v>525</v>
      </c>
      <c r="V269" s="10" t="s">
        <v>54</v>
      </c>
      <c r="W269" s="15" t="s">
        <v>70</v>
      </c>
      <c r="X269" s="15"/>
      <c r="Y269" s="17" t="n">
        <v>46244.3988657407</v>
      </c>
      <c r="Z269" s="18" t="n">
        <f aca="false">IF(I269="",0,IF(ISNUMBER(SEARCH("mp",LOWER(J269))),I269,IF(ISNUMBER(SEARCH("ton",LOWER(J269))),I269/0.33,IF(ISNUMBER(SEARCH("m3",LOWER(J269))),I269*4,I269))))</f>
        <v>67.84</v>
      </c>
      <c r="AA269" s="18" t="n">
        <f aca="false">IF(I269="",0,IF(ISNUMBER(SEARCH("mp",LOWER(J269))),I269*0.33,IF(ISNUMBER(SEARCH("ton",LOWER(J269))),I269,I269*0.33)))</f>
        <v>22.3872</v>
      </c>
      <c r="AB269" s="18" t="n">
        <f aca="false">Tabela_dane[[#This Row],[Wolumen_t]]*8.5</f>
        <v>190.2912</v>
      </c>
      <c r="AC269" s="18" t="n">
        <f aca="false">IF(G269&lt;&gt;"TAK",0,IF(OR(E269="ZAKUP",E269="PRODUKCJA"),Z269,IF(OR(E269="SPRZEDAŻ",E269="ZUŻYCIE"),-Z269,0)))</f>
        <v>67.84</v>
      </c>
      <c r="AD269" s="18" t="n">
        <f aca="false">IF(G269&lt;&gt;"TAK",0,IF(OR(E269="ZAKUP",E269="PRODUKCJA"),AA269,IF(OR(E269="SPRZEDAŻ",E269="ZUŻYCIE"),-AA269,0)))</f>
        <v>22.3872</v>
      </c>
      <c r="AE269" s="19" t="n">
        <f aca="false">IF(E269="ZAKUP",IF(L269&lt;&gt;"",L269,IF(K269&lt;&gt;"",Z269*K269,0)),0)</f>
        <v>0</v>
      </c>
      <c r="AF269" s="19" t="n">
        <f aca="false">IF(E269="SPRZEDAŻ",IF(M269&lt;&gt;"",Z269*M269,0),0)</f>
        <v>0</v>
      </c>
      <c r="AG269" s="19" t="str">
        <f aca="false">IF(R269="","",IF(LOWER(R269)="brak","Brak",IF(OR(ISNUMBER(SEARCH("ric pl",LOWER(R269))),ISNUMBER(SEARCH("wojciechowski",LOWER(R269)))),"Własny","Zewnętrzny")))</f>
        <v>Zewnętrzny</v>
      </c>
      <c r="AH269" s="19" t="n">
        <f aca="false">Z269*Q269</f>
        <v>0</v>
      </c>
      <c r="AI269" s="19" t="str">
        <f aca="false">UPPER(TEXT(C269,"mmmm"))</f>
        <v>AUGUST</v>
      </c>
      <c r="AJ269" s="19" t="str">
        <f aca="false">IF(C269="","",TEXT(C269,"rrrr"))</f>
        <v>CE5786CE5786</v>
      </c>
      <c r="AK269" s="10"/>
      <c r="AL269" s="11" t="n">
        <v>525</v>
      </c>
      <c r="AM269" s="10" t="s">
        <v>517</v>
      </c>
      <c r="AN269" s="10" t="s">
        <v>49</v>
      </c>
      <c r="AO269" s="10"/>
      <c r="AP269" s="10"/>
      <c r="AQ269" s="10"/>
      <c r="AR269" s="10" t="s">
        <v>66</v>
      </c>
      <c r="AS269" s="10"/>
      <c r="AT269" s="15" t="n">
        <v>1</v>
      </c>
    </row>
    <row r="270" customFormat="false" ht="28.5" hidden="false" customHeight="true" outlineLevel="0" collapsed="false">
      <c r="A270" s="12" t="n">
        <v>46238</v>
      </c>
      <c r="B270" s="12"/>
      <c r="C270" s="12" t="n">
        <v>46238</v>
      </c>
      <c r="D270" s="10" t="s">
        <v>511</v>
      </c>
      <c r="E270" s="10" t="s">
        <v>63</v>
      </c>
      <c r="F270" s="46" t="s">
        <v>518</v>
      </c>
      <c r="G270" s="14" t="s">
        <v>49</v>
      </c>
      <c r="H270" s="10" t="s">
        <v>50</v>
      </c>
      <c r="I270" s="15" t="n">
        <v>17.38</v>
      </c>
      <c r="J270" s="10" t="s">
        <v>77</v>
      </c>
      <c r="K270" s="15" t="n">
        <v>141</v>
      </c>
      <c r="L270" s="11" t="n">
        <v>2450.58</v>
      </c>
      <c r="M270" s="11" t="n">
        <v>0</v>
      </c>
      <c r="N270" s="10" t="s">
        <v>64</v>
      </c>
      <c r="O270" s="10" t="s">
        <v>67</v>
      </c>
      <c r="P270" s="10"/>
      <c r="Q270" s="16" t="n">
        <v>0</v>
      </c>
      <c r="R270" s="10"/>
      <c r="S270" s="10"/>
      <c r="T270" s="10" t="n">
        <v>0</v>
      </c>
      <c r="U270" s="11" t="n">
        <f aca="false">IF(E270="TRANSPORT",IF(T270="","",T270*5),IF(AL270="","",AL270))</f>
        <v>0</v>
      </c>
      <c r="V270" s="10" t="s">
        <v>54</v>
      </c>
      <c r="W270" s="15" t="s">
        <v>65</v>
      </c>
      <c r="X270" s="15"/>
      <c r="Y270" s="17" t="n">
        <v>46244.4002777778</v>
      </c>
      <c r="Z270" s="18" t="n">
        <f aca="false">IF(I270="",0,IF(ISNUMBER(SEARCH("mp",LOWER(J270))),I270,IF(ISNUMBER(SEARCH("ton",LOWER(J270))),I270/0.33,IF(ISNUMBER(SEARCH("m3",LOWER(J270))),I270*4,I270))))</f>
        <v>69.52</v>
      </c>
      <c r="AA270" s="18" t="n">
        <f aca="false">IF(I270="",0,IF(ISNUMBER(SEARCH("mp",LOWER(J270))),I270*0.33,IF(ISNUMBER(SEARCH("ton",LOWER(J270))),I270,I270*0.33)))</f>
        <v>5.7354</v>
      </c>
      <c r="AB270" s="18" t="n">
        <f aca="false">Tabela_dane[[#This Row],[Wolumen_t]]*8.5</f>
        <v>48.7509</v>
      </c>
      <c r="AC270" s="18" t="n">
        <f aca="false">IF(G270&lt;&gt;"TAK",0,IF(OR(E270="ZAKUP",E270="PRODUKCJA"),Z270,IF(OR(E270="SPRZEDAŻ",E270="ZUŻYCIE"),-Z270,0)))</f>
        <v>69.52</v>
      </c>
      <c r="AD270" s="18" t="n">
        <f aca="false">IF(G270&lt;&gt;"TAK",0,IF(OR(E270="ZAKUP",E270="PRODUKCJA"),AA270,IF(OR(E270="SPRZEDAŻ",E270="ZUŻYCIE"),-AA270,0)))</f>
        <v>5.7354</v>
      </c>
      <c r="AE270" s="19" t="n">
        <f aca="false">IF(E270="ZAKUP",IF(L270&lt;&gt;"",L270,IF(K270&lt;&gt;"",Z270*K270,0)),0)</f>
        <v>2450.58</v>
      </c>
      <c r="AF270" s="19" t="n">
        <f aca="false">IF(E270="SPRZEDAŻ",IF(M270&lt;&gt;"",Z270*M270,0),0)</f>
        <v>0</v>
      </c>
      <c r="AG270" s="19" t="str">
        <f aca="false">IF(R270="","",IF(LOWER(R270)="brak","Brak",IF(OR(ISNUMBER(SEARCH("ric pl",LOWER(R270))),ISNUMBER(SEARCH("wojciechowski",LOWER(R270)))),"Własny","Zewnętrzny")))</f>
        <v/>
      </c>
      <c r="AH270" s="19" t="n">
        <f aca="false">Z270*Q270</f>
        <v>0</v>
      </c>
      <c r="AI270" s="19" t="str">
        <f aca="false">UPPER(TEXT(C270,"mmmm"))</f>
        <v>AUGUST</v>
      </c>
      <c r="AJ270" s="19" t="str">
        <f aca="false">IF(C270="","",TEXT(C270,"rrrr"))</f>
        <v>CE5786CE5786</v>
      </c>
      <c r="AK270" s="10"/>
      <c r="AL270" s="11" t="n">
        <v>0</v>
      </c>
      <c r="AM270" s="10" t="s">
        <v>519</v>
      </c>
      <c r="AN270" s="10" t="s">
        <v>59</v>
      </c>
      <c r="AO270" s="10"/>
      <c r="AP270" s="10"/>
      <c r="AQ270" s="10"/>
      <c r="AR270" s="10" t="s">
        <v>66</v>
      </c>
      <c r="AS270" s="10"/>
      <c r="AT270" s="15" t="n">
        <v>1</v>
      </c>
    </row>
    <row r="271" customFormat="false" ht="28.5" hidden="false" customHeight="true" outlineLevel="0" collapsed="false">
      <c r="A271" s="12" t="n">
        <v>46238</v>
      </c>
      <c r="B271" s="12"/>
      <c r="C271" s="12" t="n">
        <v>46238</v>
      </c>
      <c r="D271" s="10" t="s">
        <v>54</v>
      </c>
      <c r="E271" s="10" t="s">
        <v>47</v>
      </c>
      <c r="F271" s="13" t="s">
        <v>520</v>
      </c>
      <c r="G271" s="14" t="s">
        <v>49</v>
      </c>
      <c r="H271" s="10" t="s">
        <v>50</v>
      </c>
      <c r="I271" s="15" t="n">
        <v>69.52</v>
      </c>
      <c r="J271" s="10" t="s">
        <v>51</v>
      </c>
      <c r="K271" s="15" t="n">
        <v>0</v>
      </c>
      <c r="L271" s="11" t="n">
        <v>0</v>
      </c>
      <c r="M271" s="11" t="n">
        <v>0</v>
      </c>
      <c r="N271" s="10" t="s">
        <v>52</v>
      </c>
      <c r="O271" s="10" t="s">
        <v>67</v>
      </c>
      <c r="P271" s="10" t="s">
        <v>53</v>
      </c>
      <c r="Q271" s="16" t="n">
        <v>10</v>
      </c>
      <c r="R271" s="10"/>
      <c r="S271" s="10"/>
      <c r="T271" s="10" t="n">
        <v>0</v>
      </c>
      <c r="U271" s="11" t="n">
        <f aca="false">IF(E271="TRANSPORT",IF(T271="","",T271*5),IF(AL271="","",AL271))</f>
        <v>0</v>
      </c>
      <c r="V271" s="10" t="s">
        <v>54</v>
      </c>
      <c r="W271" s="15" t="s">
        <v>65</v>
      </c>
      <c r="X271" s="15"/>
      <c r="Y271" s="17" t="n">
        <v>46244.4008333333</v>
      </c>
      <c r="Z271" s="18" t="n">
        <f aca="false">IF(I271="",0,IF(ISNUMBER(SEARCH("mp",LOWER(J271))),I271,IF(ISNUMBER(SEARCH("ton",LOWER(J271))),I271/0.33,IF(ISNUMBER(SEARCH("m3",LOWER(J271))),I271*4,I271))))</f>
        <v>69.52</v>
      </c>
      <c r="AA271" s="18" t="n">
        <f aca="false">IF(I271="",0,IF(ISNUMBER(SEARCH("mp",LOWER(J271))),I271*0.33,IF(ISNUMBER(SEARCH("ton",LOWER(J271))),I271,I271*0.33)))</f>
        <v>22.9416</v>
      </c>
      <c r="AB271" s="18" t="n">
        <f aca="false">Tabela_dane[[#This Row],[Wolumen_t]]*8.5</f>
        <v>195.0036</v>
      </c>
      <c r="AC271" s="18" t="n">
        <f aca="false">IF(G271&lt;&gt;"TAK",0,IF(OR(E271="ZAKUP",E271="PRODUKCJA"),Z271,IF(OR(E271="SPRZEDAŻ",E271="ZUŻYCIE"),-Z271,0)))</f>
        <v>69.52</v>
      </c>
      <c r="AD271" s="18" t="n">
        <f aca="false">IF(G271&lt;&gt;"TAK",0,IF(OR(E271="ZAKUP",E271="PRODUKCJA"),AA271,IF(OR(E271="SPRZEDAŻ",E271="ZUŻYCIE"),-AA271,0)))</f>
        <v>22.9416</v>
      </c>
      <c r="AE271" s="19" t="n">
        <f aca="false">IF(E271="ZAKUP",IF(L271&lt;&gt;"",L271,IF(K271&lt;&gt;"",Z271*K271,0)),0)</f>
        <v>0</v>
      </c>
      <c r="AF271" s="19" t="n">
        <f aca="false">IF(E271="SPRZEDAŻ",IF(M271&lt;&gt;"",Z271*M271,0),0)</f>
        <v>0</v>
      </c>
      <c r="AG271" s="19" t="str">
        <f aca="false">IF(R271="","",IF(LOWER(R271)="brak","Brak",IF(OR(ISNUMBER(SEARCH("ric pl",LOWER(R271))),ISNUMBER(SEARCH("wojciechowski",LOWER(R271)))),"Własny","Zewnętrzny")))</f>
        <v/>
      </c>
      <c r="AH271" s="19" t="n">
        <f aca="false">Z271*Q271</f>
        <v>695.2</v>
      </c>
      <c r="AI271" s="19" t="str">
        <f aca="false">UPPER(TEXT(C271,"mmmm"))</f>
        <v>AUGUST</v>
      </c>
      <c r="AJ271" s="19" t="str">
        <f aca="false">IF(C271="","",TEXT(C271,"rrrr"))</f>
        <v>CE5786CE5786</v>
      </c>
      <c r="AK271" s="10"/>
      <c r="AL271" s="11" t="n">
        <v>0</v>
      </c>
      <c r="AM271" s="10" t="s">
        <v>521</v>
      </c>
      <c r="AN271" s="10" t="s">
        <v>59</v>
      </c>
      <c r="AO271" s="10"/>
      <c r="AP271" s="10"/>
      <c r="AQ271" s="10"/>
      <c r="AR271" s="10" t="s">
        <v>66</v>
      </c>
      <c r="AS271" s="10"/>
      <c r="AT271" s="15" t="n">
        <v>1</v>
      </c>
    </row>
    <row r="272" customFormat="false" ht="28.5" hidden="false" customHeight="true" outlineLevel="0" collapsed="false">
      <c r="A272" s="12" t="n">
        <v>46238</v>
      </c>
      <c r="B272" s="12"/>
      <c r="C272" s="12" t="n">
        <v>46238</v>
      </c>
      <c r="D272" s="10" t="s">
        <v>54</v>
      </c>
      <c r="E272" s="10" t="s">
        <v>79</v>
      </c>
      <c r="F272" s="13" t="s">
        <v>520</v>
      </c>
      <c r="G272" s="14" t="s">
        <v>49</v>
      </c>
      <c r="H272" s="10" t="s">
        <v>50</v>
      </c>
      <c r="I272" s="15" t="n">
        <v>69.52</v>
      </c>
      <c r="J272" s="10" t="s">
        <v>51</v>
      </c>
      <c r="K272" s="15" t="n">
        <v>0</v>
      </c>
      <c r="L272" s="11" t="n">
        <v>0</v>
      </c>
      <c r="M272" s="11" t="n">
        <v>0</v>
      </c>
      <c r="N272" s="10" t="s">
        <v>52</v>
      </c>
      <c r="O272" s="10" t="s">
        <v>67</v>
      </c>
      <c r="P272" s="10" t="s">
        <v>53</v>
      </c>
      <c r="Q272" s="16" t="n">
        <v>10</v>
      </c>
      <c r="R272" s="10"/>
      <c r="S272" s="10"/>
      <c r="T272" s="10" t="n">
        <v>0</v>
      </c>
      <c r="U272" s="11" t="n">
        <f aca="false">IF(E272="TRANSPORT",IF(T272="","",T272*5),IF(AL272="","",AL272))</f>
        <v>0</v>
      </c>
      <c r="V272" s="10" t="s">
        <v>54</v>
      </c>
      <c r="W272" s="15" t="s">
        <v>260</v>
      </c>
      <c r="X272" s="15"/>
      <c r="Y272" s="17" t="n">
        <v>46244.4008333333</v>
      </c>
      <c r="Z272" s="18" t="n">
        <f aca="false">IF(I272="",0,IF(ISNUMBER(SEARCH("mp",LOWER(J272))),I272,IF(ISNUMBER(SEARCH("ton",LOWER(J272))),I272/0.33,IF(ISNUMBER(SEARCH("m3",LOWER(J272))),I272*4,I272))))</f>
        <v>69.52</v>
      </c>
      <c r="AA272" s="18" t="n">
        <f aca="false">IF(I272="",0,IF(ISNUMBER(SEARCH("mp",LOWER(J272))),I272*0.33,IF(ISNUMBER(SEARCH("ton",LOWER(J272))),I272,I272*0.33)))</f>
        <v>22.9416</v>
      </c>
      <c r="AB272" s="18" t="n">
        <f aca="false">Tabela_dane[[#This Row],[Wolumen_t]]*8.5</f>
        <v>195.0036</v>
      </c>
      <c r="AC272" s="18" t="n">
        <f aca="false">IF(G272&lt;&gt;"TAK",0,IF(OR(E272="ZAKUP",E272="PRODUKCJA"),Z272,IF(OR(E272="SPRZEDAŻ",E272="ZUŻYCIE"),-Z272,0)))</f>
        <v>-69.52</v>
      </c>
      <c r="AD272" s="18" t="n">
        <f aca="false">IF(G272&lt;&gt;"TAK",0,IF(OR(E272="ZAKUP",E272="PRODUKCJA"),AA272,IF(OR(E272="SPRZEDAŻ",E272="ZUŻYCIE"),-AA272,0)))</f>
        <v>-22.9416</v>
      </c>
      <c r="AE272" s="19" t="n">
        <f aca="false">IF(E272="ZAKUP",IF(L272&lt;&gt;"",L272,IF(K272&lt;&gt;"",Z272*K272,0)),0)</f>
        <v>0</v>
      </c>
      <c r="AF272" s="19" t="n">
        <f aca="false">IF(E272="SPRZEDAŻ",IF(M272&lt;&gt;"",Z272*M272,0),0)</f>
        <v>0</v>
      </c>
      <c r="AG272" s="19" t="str">
        <f aca="false">IF(R272="","",IF(LOWER(R272)="brak","Brak",IF(OR(ISNUMBER(SEARCH("ric pl",LOWER(R272))),ISNUMBER(SEARCH("wojciechowski",LOWER(R272)))),"Własny","Zewnętrzny")))</f>
        <v/>
      </c>
      <c r="AH272" s="19" t="n">
        <f aca="false">Z272*Q272</f>
        <v>695.2</v>
      </c>
      <c r="AI272" s="19" t="str">
        <f aca="false">UPPER(TEXT(C272,"mmmm"))</f>
        <v>AUGUST</v>
      </c>
      <c r="AJ272" s="19" t="str">
        <f aca="false">IF(C272="","",TEXT(C272,"rrrr"))</f>
        <v>CE5786CE5786</v>
      </c>
      <c r="AK272" s="10"/>
      <c r="AL272" s="11" t="n">
        <v>0</v>
      </c>
      <c r="AM272" s="10" t="s">
        <v>521</v>
      </c>
      <c r="AN272" s="10" t="s">
        <v>59</v>
      </c>
      <c r="AO272" s="10"/>
      <c r="AP272" s="10"/>
      <c r="AQ272" s="10"/>
      <c r="AR272" s="10" t="s">
        <v>81</v>
      </c>
      <c r="AS272" s="10"/>
      <c r="AT272" s="15" t="n">
        <v>1</v>
      </c>
    </row>
    <row r="273" customFormat="false" ht="28.5" hidden="false" customHeight="true" outlineLevel="0" collapsed="false">
      <c r="A273" s="12" t="n">
        <v>46238</v>
      </c>
      <c r="B273" s="12" t="s">
        <v>516</v>
      </c>
      <c r="C273" s="12" t="n">
        <v>46238</v>
      </c>
      <c r="D273" s="10" t="s">
        <v>54</v>
      </c>
      <c r="E273" s="10" t="s">
        <v>63</v>
      </c>
      <c r="F273" s="13" t="s">
        <v>520</v>
      </c>
      <c r="G273" s="14" t="s">
        <v>49</v>
      </c>
      <c r="H273" s="10" t="s">
        <v>50</v>
      </c>
      <c r="I273" s="15" t="n">
        <v>69.52</v>
      </c>
      <c r="J273" s="10" t="s">
        <v>51</v>
      </c>
      <c r="K273" s="15" t="n">
        <v>0</v>
      </c>
      <c r="L273" s="11" t="n">
        <v>0</v>
      </c>
      <c r="M273" s="11" t="n">
        <v>0</v>
      </c>
      <c r="N273" s="10" t="s">
        <v>52</v>
      </c>
      <c r="O273" s="10" t="s">
        <v>67</v>
      </c>
      <c r="P273" s="10"/>
      <c r="Q273" s="16" t="n">
        <v>0</v>
      </c>
      <c r="R273" s="10" t="s">
        <v>94</v>
      </c>
      <c r="S273" s="10" t="s">
        <v>95</v>
      </c>
      <c r="T273" s="10" t="n">
        <v>105</v>
      </c>
      <c r="U273" s="11" t="n">
        <f aca="false">IF(E273="TRANSPORT",IF(T273="","",T273*5),IF(AL273="","",AL273))</f>
        <v>525</v>
      </c>
      <c r="V273" s="10" t="s">
        <v>54</v>
      </c>
      <c r="W273" s="15" t="s">
        <v>70</v>
      </c>
      <c r="X273" s="15"/>
      <c r="Y273" s="17" t="n">
        <v>46244.4016203704</v>
      </c>
      <c r="Z273" s="18" t="n">
        <f aca="false">IF(I273="",0,IF(ISNUMBER(SEARCH("mp",LOWER(J273))),I273,IF(ISNUMBER(SEARCH("ton",LOWER(J273))),I273/0.33,IF(ISNUMBER(SEARCH("m3",LOWER(J273))),I273*4,I273))))</f>
        <v>69.52</v>
      </c>
      <c r="AA273" s="18" t="n">
        <f aca="false">IF(I273="",0,IF(ISNUMBER(SEARCH("mp",LOWER(J273))),I273*0.33,IF(ISNUMBER(SEARCH("ton",LOWER(J273))),I273,I273*0.33)))</f>
        <v>22.9416</v>
      </c>
      <c r="AB273" s="18" t="n">
        <f aca="false">Tabela_dane[[#This Row],[Wolumen_t]]*8.5</f>
        <v>195.0036</v>
      </c>
      <c r="AC273" s="18" t="n">
        <f aca="false">IF(G273&lt;&gt;"TAK",0,IF(OR(E273="ZAKUP",E273="PRODUKCJA"),Z273,IF(OR(E273="SPRZEDAŻ",E273="ZUŻYCIE"),-Z273,0)))</f>
        <v>69.52</v>
      </c>
      <c r="AD273" s="18" t="n">
        <f aca="false">IF(G273&lt;&gt;"TAK",0,IF(OR(E273="ZAKUP",E273="PRODUKCJA"),AA273,IF(OR(E273="SPRZEDAŻ",E273="ZUŻYCIE"),-AA273,0)))</f>
        <v>22.9416</v>
      </c>
      <c r="AE273" s="19" t="n">
        <f aca="false">IF(E273="ZAKUP",IF(L273&lt;&gt;"",L273,IF(K273&lt;&gt;"",Z273*K273,0)),0)</f>
        <v>0</v>
      </c>
      <c r="AF273" s="19" t="n">
        <f aca="false">IF(E273="SPRZEDAŻ",IF(M273&lt;&gt;"",Z273*M273,0),0)</f>
        <v>0</v>
      </c>
      <c r="AG273" s="19" t="str">
        <f aca="false">IF(R273="","",IF(LOWER(R273)="brak","Brak",IF(OR(ISNUMBER(SEARCH("ric pl",LOWER(R273))),ISNUMBER(SEARCH("wojciechowski",LOWER(R273)))),"Własny","Zewnętrzny")))</f>
        <v>Zewnętrzny</v>
      </c>
      <c r="AH273" s="19" t="n">
        <f aca="false">Z273*Q273</f>
        <v>0</v>
      </c>
      <c r="AI273" s="19" t="str">
        <f aca="false">UPPER(TEXT(C273,"mmmm"))</f>
        <v>AUGUST</v>
      </c>
      <c r="AJ273" s="19" t="str">
        <f aca="false">IF(C273="","",TEXT(C273,"rrrr"))</f>
        <v>CE5786CE5786</v>
      </c>
      <c r="AK273" s="10"/>
      <c r="AL273" s="11" t="n">
        <v>525</v>
      </c>
      <c r="AM273" s="10" t="s">
        <v>522</v>
      </c>
      <c r="AN273" s="10" t="s">
        <v>49</v>
      </c>
      <c r="AO273" s="10"/>
      <c r="AP273" s="10"/>
      <c r="AQ273" s="10"/>
      <c r="AR273" s="10" t="s">
        <v>66</v>
      </c>
      <c r="AS273" s="10"/>
      <c r="AT273" s="15" t="n">
        <v>1</v>
      </c>
    </row>
    <row r="274" customFormat="false" ht="28.5" hidden="false" customHeight="true" outlineLevel="0" collapsed="false">
      <c r="A274" s="12" t="n">
        <v>46238</v>
      </c>
      <c r="B274" s="12"/>
      <c r="C274" s="12" t="n">
        <v>46238</v>
      </c>
      <c r="D274" s="10" t="s">
        <v>511</v>
      </c>
      <c r="E274" s="10" t="s">
        <v>63</v>
      </c>
      <c r="F274" s="46" t="s">
        <v>523</v>
      </c>
      <c r="G274" s="14" t="s">
        <v>49</v>
      </c>
      <c r="H274" s="10" t="s">
        <v>50</v>
      </c>
      <c r="I274" s="15" t="n">
        <v>15.96</v>
      </c>
      <c r="J274" s="10" t="s">
        <v>77</v>
      </c>
      <c r="K274" s="15" t="n">
        <v>141</v>
      </c>
      <c r="L274" s="11" t="n">
        <v>2250.36</v>
      </c>
      <c r="M274" s="11" t="n">
        <v>0</v>
      </c>
      <c r="N274" s="10" t="s">
        <v>64</v>
      </c>
      <c r="O274" s="10" t="s">
        <v>67</v>
      </c>
      <c r="P274" s="10"/>
      <c r="Q274" s="16" t="n">
        <v>0</v>
      </c>
      <c r="R274" s="10"/>
      <c r="S274" s="10"/>
      <c r="T274" s="10" t="n">
        <v>0</v>
      </c>
      <c r="U274" s="11" t="n">
        <f aca="false">IF(E274="TRANSPORT",IF(T274="","",T274*5),IF(AL274="","",AL274))</f>
        <v>0</v>
      </c>
      <c r="V274" s="10" t="s">
        <v>54</v>
      </c>
      <c r="W274" s="15" t="s">
        <v>70</v>
      </c>
      <c r="X274" s="15"/>
      <c r="Y274" s="17" t="n">
        <v>46244.4029050926</v>
      </c>
      <c r="Z274" s="18" t="n">
        <f aca="false">IF(I274="",0,IF(ISNUMBER(SEARCH("mp",LOWER(J274))),I274,IF(ISNUMBER(SEARCH("ton",LOWER(J274))),I274/0.33,IF(ISNUMBER(SEARCH("m3",LOWER(J274))),I274*4,I274))))</f>
        <v>63.84</v>
      </c>
      <c r="AA274" s="18" t="n">
        <f aca="false">IF(I274="",0,IF(ISNUMBER(SEARCH("mp",LOWER(J274))),I274*0.33,IF(ISNUMBER(SEARCH("ton",LOWER(J274))),I274,I274*0.33)))</f>
        <v>5.2668</v>
      </c>
      <c r="AB274" s="18" t="n">
        <f aca="false">Tabela_dane[[#This Row],[Wolumen_t]]*8.5</f>
        <v>44.7678</v>
      </c>
      <c r="AC274" s="18" t="n">
        <f aca="false">IF(G274&lt;&gt;"TAK",0,IF(OR(E274="ZAKUP",E274="PRODUKCJA"),Z274,IF(OR(E274="SPRZEDAŻ",E274="ZUŻYCIE"),-Z274,0)))</f>
        <v>63.84</v>
      </c>
      <c r="AD274" s="18" t="n">
        <f aca="false">IF(G274&lt;&gt;"TAK",0,IF(OR(E274="ZAKUP",E274="PRODUKCJA"),AA274,IF(OR(E274="SPRZEDAŻ",E274="ZUŻYCIE"),-AA274,0)))</f>
        <v>5.2668</v>
      </c>
      <c r="AE274" s="19" t="n">
        <f aca="false">IF(E274="ZAKUP",IF(L274&lt;&gt;"",L274,IF(K274&lt;&gt;"",Z274*K274,0)),0)</f>
        <v>2250.36</v>
      </c>
      <c r="AF274" s="19" t="n">
        <f aca="false">IF(E274="SPRZEDAŻ",IF(M274&lt;&gt;"",Z274*M274,0),0)</f>
        <v>0</v>
      </c>
      <c r="AG274" s="19" t="str">
        <f aca="false">IF(R274="","",IF(LOWER(R274)="brak","Brak",IF(OR(ISNUMBER(SEARCH("ric pl",LOWER(R274))),ISNUMBER(SEARCH("wojciechowski",LOWER(R274)))),"Własny","Zewnętrzny")))</f>
        <v/>
      </c>
      <c r="AH274" s="19" t="n">
        <f aca="false">Z274*Q274</f>
        <v>0</v>
      </c>
      <c r="AI274" s="19" t="str">
        <f aca="false">UPPER(TEXT(C274,"mmmm"))</f>
        <v>AUGUST</v>
      </c>
      <c r="AJ274" s="19" t="str">
        <f aca="false">IF(C274="","",TEXT(C274,"rrrr"))</f>
        <v>CE5786CE5786</v>
      </c>
      <c r="AK274" s="10"/>
      <c r="AL274" s="11" t="n">
        <v>0</v>
      </c>
      <c r="AM274" s="10" t="s">
        <v>524</v>
      </c>
      <c r="AN274" s="10" t="s">
        <v>59</v>
      </c>
      <c r="AO274" s="10"/>
      <c r="AP274" s="10"/>
      <c r="AQ274" s="10"/>
      <c r="AR274" s="10" t="s">
        <v>66</v>
      </c>
      <c r="AS274" s="10"/>
      <c r="AT274" s="15" t="n">
        <v>1</v>
      </c>
    </row>
    <row r="275" customFormat="false" ht="28.5" hidden="false" customHeight="true" outlineLevel="0" collapsed="false">
      <c r="A275" s="12" t="n">
        <v>46238</v>
      </c>
      <c r="B275" s="12"/>
      <c r="C275" s="12" t="n">
        <v>46238</v>
      </c>
      <c r="D275" s="10" t="s">
        <v>54</v>
      </c>
      <c r="E275" s="10" t="s">
        <v>47</v>
      </c>
      <c r="F275" s="13" t="s">
        <v>525</v>
      </c>
      <c r="G275" s="14" t="s">
        <v>49</v>
      </c>
      <c r="H275" s="10" t="s">
        <v>50</v>
      </c>
      <c r="I275" s="15" t="n">
        <v>63.84</v>
      </c>
      <c r="J275" s="10" t="s">
        <v>51</v>
      </c>
      <c r="K275" s="15" t="n">
        <v>0</v>
      </c>
      <c r="L275" s="11" t="n">
        <v>0</v>
      </c>
      <c r="M275" s="11" t="n">
        <v>0</v>
      </c>
      <c r="N275" s="10" t="s">
        <v>52</v>
      </c>
      <c r="O275" s="10" t="s">
        <v>67</v>
      </c>
      <c r="P275" s="10" t="s">
        <v>53</v>
      </c>
      <c r="Q275" s="16" t="n">
        <v>10</v>
      </c>
      <c r="R275" s="10"/>
      <c r="S275" s="10"/>
      <c r="T275" s="10" t="n">
        <v>0</v>
      </c>
      <c r="U275" s="11" t="n">
        <f aca="false">IF(E275="TRANSPORT",IF(T275="","",T275*5),IF(AL275="","",AL275))</f>
        <v>0</v>
      </c>
      <c r="V275" s="10" t="s">
        <v>54</v>
      </c>
      <c r="W275" s="15" t="s">
        <v>65</v>
      </c>
      <c r="X275" s="15"/>
      <c r="Y275" s="17" t="n">
        <v>46244.4036921296</v>
      </c>
      <c r="Z275" s="18" t="n">
        <f aca="false">IF(I275="",0,IF(ISNUMBER(SEARCH("mp",LOWER(J275))),I275,IF(ISNUMBER(SEARCH("ton",LOWER(J275))),I275/0.33,IF(ISNUMBER(SEARCH("m3",LOWER(J275))),I275*4,I275))))</f>
        <v>63.84</v>
      </c>
      <c r="AA275" s="18" t="n">
        <f aca="false">IF(I275="",0,IF(ISNUMBER(SEARCH("mp",LOWER(J275))),I275*0.33,IF(ISNUMBER(SEARCH("ton",LOWER(J275))),I275,I275*0.33)))</f>
        <v>21.0672</v>
      </c>
      <c r="AB275" s="18" t="n">
        <f aca="false">Tabela_dane[[#This Row],[Wolumen_t]]*8.5</f>
        <v>179.0712</v>
      </c>
      <c r="AC275" s="18" t="n">
        <f aca="false">IF(G275&lt;&gt;"TAK",0,IF(OR(E275="ZAKUP",E275="PRODUKCJA"),Z275,IF(OR(E275="SPRZEDAŻ",E275="ZUŻYCIE"),-Z275,0)))</f>
        <v>63.84</v>
      </c>
      <c r="AD275" s="18" t="n">
        <f aca="false">IF(G275&lt;&gt;"TAK",0,IF(OR(E275="ZAKUP",E275="PRODUKCJA"),AA275,IF(OR(E275="SPRZEDAŻ",E275="ZUŻYCIE"),-AA275,0)))</f>
        <v>21.0672</v>
      </c>
      <c r="AE275" s="19" t="n">
        <f aca="false">IF(E275="ZAKUP",IF(L275&lt;&gt;"",L275,IF(K275&lt;&gt;"",Z275*K275,0)),0)</f>
        <v>0</v>
      </c>
      <c r="AF275" s="19" t="n">
        <f aca="false">IF(E275="SPRZEDAŻ",IF(M275&lt;&gt;"",Z275*M275,0),0)</f>
        <v>0</v>
      </c>
      <c r="AG275" s="19" t="str">
        <f aca="false">IF(R275="","",IF(LOWER(R275)="brak","Brak",IF(OR(ISNUMBER(SEARCH("ric pl",LOWER(R275))),ISNUMBER(SEARCH("wojciechowski",LOWER(R275)))),"Własny","Zewnętrzny")))</f>
        <v/>
      </c>
      <c r="AH275" s="19" t="n">
        <f aca="false">Z275*Q275</f>
        <v>638.4</v>
      </c>
      <c r="AI275" s="19" t="str">
        <f aca="false">UPPER(TEXT(C275,"mmmm"))</f>
        <v>AUGUST</v>
      </c>
      <c r="AJ275" s="19" t="str">
        <f aca="false">IF(C275="","",TEXT(C275,"rrrr"))</f>
        <v>CE5786CE5786</v>
      </c>
      <c r="AK275" s="10"/>
      <c r="AL275" s="11" t="n">
        <v>0</v>
      </c>
      <c r="AM275" s="10" t="s">
        <v>526</v>
      </c>
      <c r="AN275" s="10" t="s">
        <v>59</v>
      </c>
      <c r="AO275" s="10"/>
      <c r="AP275" s="10"/>
      <c r="AQ275" s="10"/>
      <c r="AR275" s="10" t="s">
        <v>66</v>
      </c>
      <c r="AS275" s="10"/>
      <c r="AT275" s="15" t="n">
        <v>1</v>
      </c>
    </row>
    <row r="276" customFormat="false" ht="28.5" hidden="false" customHeight="true" outlineLevel="0" collapsed="false">
      <c r="A276" s="12" t="n">
        <v>46238</v>
      </c>
      <c r="B276" s="12"/>
      <c r="C276" s="12" t="n">
        <v>46238</v>
      </c>
      <c r="D276" s="10" t="s">
        <v>54</v>
      </c>
      <c r="E276" s="10" t="s">
        <v>79</v>
      </c>
      <c r="F276" s="13" t="s">
        <v>525</v>
      </c>
      <c r="G276" s="14" t="s">
        <v>49</v>
      </c>
      <c r="H276" s="10" t="s">
        <v>50</v>
      </c>
      <c r="I276" s="15" t="n">
        <v>63.84</v>
      </c>
      <c r="J276" s="10" t="s">
        <v>51</v>
      </c>
      <c r="K276" s="15" t="n">
        <v>0</v>
      </c>
      <c r="L276" s="11" t="n">
        <v>0</v>
      </c>
      <c r="M276" s="11" t="n">
        <v>0</v>
      </c>
      <c r="N276" s="10" t="s">
        <v>52</v>
      </c>
      <c r="O276" s="10" t="s">
        <v>67</v>
      </c>
      <c r="P276" s="10" t="s">
        <v>53</v>
      </c>
      <c r="Q276" s="16" t="n">
        <v>10</v>
      </c>
      <c r="R276" s="10"/>
      <c r="S276" s="10"/>
      <c r="T276" s="10" t="n">
        <v>0</v>
      </c>
      <c r="U276" s="11" t="n">
        <f aca="false">IF(E276="TRANSPORT",IF(T276="","",T276*5),IF(AL276="","",AL276))</f>
        <v>0</v>
      </c>
      <c r="V276" s="10" t="s">
        <v>54</v>
      </c>
      <c r="W276" s="15" t="s">
        <v>260</v>
      </c>
      <c r="X276" s="15"/>
      <c r="Y276" s="17" t="n">
        <v>46244.4036921296</v>
      </c>
      <c r="Z276" s="18" t="n">
        <f aca="false">IF(I276="",0,IF(ISNUMBER(SEARCH("mp",LOWER(J276))),I276,IF(ISNUMBER(SEARCH("ton",LOWER(J276))),I276/0.33,IF(ISNUMBER(SEARCH("m3",LOWER(J276))),I276*4,I276))))</f>
        <v>63.84</v>
      </c>
      <c r="AA276" s="18" t="n">
        <f aca="false">IF(I276="",0,IF(ISNUMBER(SEARCH("mp",LOWER(J276))),I276*0.33,IF(ISNUMBER(SEARCH("ton",LOWER(J276))),I276,I276*0.33)))</f>
        <v>21.0672</v>
      </c>
      <c r="AB276" s="18" t="n">
        <f aca="false">Tabela_dane[[#This Row],[Wolumen_t]]*8.5</f>
        <v>179.0712</v>
      </c>
      <c r="AC276" s="18" t="n">
        <f aca="false">IF(G276&lt;&gt;"TAK",0,IF(OR(E276="ZAKUP",E276="PRODUKCJA"),Z276,IF(OR(E276="SPRZEDAŻ",E276="ZUŻYCIE"),-Z276,0)))</f>
        <v>-63.84</v>
      </c>
      <c r="AD276" s="18" t="n">
        <f aca="false">IF(G276&lt;&gt;"TAK",0,IF(OR(E276="ZAKUP",E276="PRODUKCJA"),AA276,IF(OR(E276="SPRZEDAŻ",E276="ZUŻYCIE"),-AA276,0)))</f>
        <v>-21.0672</v>
      </c>
      <c r="AE276" s="19" t="n">
        <f aca="false">IF(E276="ZAKUP",IF(L276&lt;&gt;"",L276,IF(K276&lt;&gt;"",Z276*K276,0)),0)</f>
        <v>0</v>
      </c>
      <c r="AF276" s="19" t="n">
        <f aca="false">IF(E276="SPRZEDAŻ",IF(M276&lt;&gt;"",Z276*M276,0),0)</f>
        <v>0</v>
      </c>
      <c r="AG276" s="19" t="str">
        <f aca="false">IF(R276="","",IF(LOWER(R276)="brak","Brak",IF(OR(ISNUMBER(SEARCH("ric pl",LOWER(R276))),ISNUMBER(SEARCH("wojciechowski",LOWER(R276)))),"Własny","Zewnętrzny")))</f>
        <v/>
      </c>
      <c r="AH276" s="19" t="n">
        <f aca="false">Z276*Q276</f>
        <v>638.4</v>
      </c>
      <c r="AI276" s="19" t="str">
        <f aca="false">UPPER(TEXT(C276,"mmmm"))</f>
        <v>AUGUST</v>
      </c>
      <c r="AJ276" s="19" t="str">
        <f aca="false">IF(C276="","",TEXT(C276,"rrrr"))</f>
        <v>CE5786CE5786</v>
      </c>
      <c r="AK276" s="10"/>
      <c r="AL276" s="11" t="n">
        <v>0</v>
      </c>
      <c r="AM276" s="10" t="s">
        <v>526</v>
      </c>
      <c r="AN276" s="10" t="s">
        <v>59</v>
      </c>
      <c r="AO276" s="10"/>
      <c r="AP276" s="10"/>
      <c r="AQ276" s="10"/>
      <c r="AR276" s="10" t="s">
        <v>81</v>
      </c>
      <c r="AS276" s="10"/>
      <c r="AT276" s="15" t="n">
        <v>1</v>
      </c>
    </row>
    <row r="277" customFormat="false" ht="28.5" hidden="false" customHeight="true" outlineLevel="0" collapsed="false">
      <c r="A277" s="12" t="n">
        <v>46238</v>
      </c>
      <c r="B277" s="12" t="s">
        <v>516</v>
      </c>
      <c r="C277" s="12" t="n">
        <v>46238</v>
      </c>
      <c r="D277" s="10" t="s">
        <v>54</v>
      </c>
      <c r="E277" s="10" t="s">
        <v>63</v>
      </c>
      <c r="F277" s="13" t="s">
        <v>525</v>
      </c>
      <c r="G277" s="14" t="s">
        <v>49</v>
      </c>
      <c r="H277" s="10" t="s">
        <v>50</v>
      </c>
      <c r="I277" s="15" t="n">
        <v>63.84</v>
      </c>
      <c r="J277" s="10" t="s">
        <v>51</v>
      </c>
      <c r="K277" s="15" t="n">
        <v>0</v>
      </c>
      <c r="L277" s="11" t="n">
        <v>0</v>
      </c>
      <c r="M277" s="11" t="n">
        <v>0</v>
      </c>
      <c r="N277" s="10" t="s">
        <v>52</v>
      </c>
      <c r="O277" s="10" t="s">
        <v>67</v>
      </c>
      <c r="P277" s="10"/>
      <c r="Q277" s="16" t="n">
        <v>0</v>
      </c>
      <c r="R277" s="10" t="s">
        <v>72</v>
      </c>
      <c r="S277" s="10" t="s">
        <v>73</v>
      </c>
      <c r="T277" s="10" t="n">
        <v>105</v>
      </c>
      <c r="U277" s="11" t="n">
        <f aca="false">IF(E277="TRANSPORT",IF(T277="","",T277*5),IF(AL277="","",AL277))</f>
        <v>630</v>
      </c>
      <c r="V277" s="10" t="s">
        <v>54</v>
      </c>
      <c r="W277" s="15" t="s">
        <v>70</v>
      </c>
      <c r="X277" s="15"/>
      <c r="Y277" s="17" t="n">
        <v>46244.4045949074</v>
      </c>
      <c r="Z277" s="18" t="n">
        <f aca="false">IF(I277="",0,IF(ISNUMBER(SEARCH("mp",LOWER(J277))),I277,IF(ISNUMBER(SEARCH("ton",LOWER(J277))),I277/0.33,IF(ISNUMBER(SEARCH("m3",LOWER(J277))),I277*4,I277))))</f>
        <v>63.84</v>
      </c>
      <c r="AA277" s="18" t="n">
        <f aca="false">IF(I277="",0,IF(ISNUMBER(SEARCH("mp",LOWER(J277))),I277*0.33,IF(ISNUMBER(SEARCH("ton",LOWER(J277))),I277,I277*0.33)))</f>
        <v>21.0672</v>
      </c>
      <c r="AB277" s="18" t="n">
        <f aca="false">Tabela_dane[[#This Row],[Wolumen_t]]*8.5</f>
        <v>179.0712</v>
      </c>
      <c r="AC277" s="18" t="n">
        <f aca="false">IF(G277&lt;&gt;"TAK",0,IF(OR(E277="ZAKUP",E277="PRODUKCJA"),Z277,IF(OR(E277="SPRZEDAŻ",E277="ZUŻYCIE"),-Z277,0)))</f>
        <v>63.84</v>
      </c>
      <c r="AD277" s="18" t="n">
        <f aca="false">IF(G277&lt;&gt;"TAK",0,IF(OR(E277="ZAKUP",E277="PRODUKCJA"),AA277,IF(OR(E277="SPRZEDAŻ",E277="ZUŻYCIE"),-AA277,0)))</f>
        <v>21.0672</v>
      </c>
      <c r="AE277" s="19" t="n">
        <f aca="false">IF(E277="ZAKUP",IF(L277&lt;&gt;"",L277,IF(K277&lt;&gt;"",Z277*K277,0)),0)</f>
        <v>0</v>
      </c>
      <c r="AF277" s="19" t="n">
        <f aca="false">IF(E277="SPRZEDAŻ",IF(M277&lt;&gt;"",Z277*M277,0),0)</f>
        <v>0</v>
      </c>
      <c r="AG277" s="19" t="str">
        <f aca="false">IF(R277="","",IF(LOWER(R277)="brak","Brak",IF(OR(ISNUMBER(SEARCH("ric pl",LOWER(R277))),ISNUMBER(SEARCH("wojciechowski",LOWER(R277)))),"Własny","Zewnętrzny")))</f>
        <v>Zewnętrzny</v>
      </c>
      <c r="AH277" s="19" t="n">
        <f aca="false">Z277*Q277</f>
        <v>0</v>
      </c>
      <c r="AI277" s="19" t="str">
        <f aca="false">UPPER(TEXT(C277,"mmmm"))</f>
        <v>AUGUST</v>
      </c>
      <c r="AJ277" s="19" t="str">
        <f aca="false">IF(C277="","",TEXT(C277,"rrrr"))</f>
        <v>CE5786CE5786</v>
      </c>
      <c r="AK277" s="10"/>
      <c r="AL277" s="11" t="n">
        <v>630</v>
      </c>
      <c r="AM277" s="10" t="s">
        <v>527</v>
      </c>
      <c r="AN277" s="10" t="s">
        <v>49</v>
      </c>
      <c r="AO277" s="10"/>
      <c r="AP277" s="10"/>
      <c r="AQ277" s="10"/>
      <c r="AR277" s="10" t="s">
        <v>66</v>
      </c>
      <c r="AS277" s="10"/>
      <c r="AT277" s="15" t="n">
        <v>1</v>
      </c>
    </row>
    <row r="278" customFormat="false" ht="28.5" hidden="false" customHeight="true" outlineLevel="0" collapsed="false">
      <c r="A278" s="12" t="n">
        <v>46238</v>
      </c>
      <c r="B278" s="12"/>
      <c r="C278" s="12" t="n">
        <v>46238</v>
      </c>
      <c r="D278" s="10" t="s">
        <v>511</v>
      </c>
      <c r="E278" s="10" t="s">
        <v>63</v>
      </c>
      <c r="F278" s="46" t="s">
        <v>528</v>
      </c>
      <c r="G278" s="14" t="s">
        <v>49</v>
      </c>
      <c r="H278" s="10" t="s">
        <v>50</v>
      </c>
      <c r="I278" s="15" t="n">
        <v>16.96</v>
      </c>
      <c r="J278" s="10" t="s">
        <v>77</v>
      </c>
      <c r="K278" s="15" t="n">
        <v>141</v>
      </c>
      <c r="L278" s="11" t="n">
        <v>2391.36</v>
      </c>
      <c r="M278" s="11" t="n">
        <v>0</v>
      </c>
      <c r="N278" s="10" t="s">
        <v>64</v>
      </c>
      <c r="O278" s="10" t="s">
        <v>67</v>
      </c>
      <c r="P278" s="10"/>
      <c r="Q278" s="16" t="n">
        <v>0</v>
      </c>
      <c r="R278" s="10"/>
      <c r="S278" s="10"/>
      <c r="T278" s="10" t="n">
        <v>0</v>
      </c>
      <c r="U278" s="11" t="n">
        <f aca="false">IF(E278="TRANSPORT",IF(T278="","",T278*5),IF(AL278="","",AL278))</f>
        <v>0</v>
      </c>
      <c r="V278" s="10" t="s">
        <v>54</v>
      </c>
      <c r="W278" s="15" t="s">
        <v>70</v>
      </c>
      <c r="X278" s="15"/>
      <c r="Y278" s="17" t="n">
        <v>46244.4059375</v>
      </c>
      <c r="Z278" s="18" t="n">
        <f aca="false">IF(I278="",0,IF(ISNUMBER(SEARCH("mp",LOWER(J278))),I278,IF(ISNUMBER(SEARCH("ton",LOWER(J278))),I278/0.33,IF(ISNUMBER(SEARCH("m3",LOWER(J278))),I278*4,I278))))</f>
        <v>67.84</v>
      </c>
      <c r="AA278" s="18" t="n">
        <f aca="false">IF(I278="",0,IF(ISNUMBER(SEARCH("mp",LOWER(J278))),I278*0.33,IF(ISNUMBER(SEARCH("ton",LOWER(J278))),I278,I278*0.33)))</f>
        <v>5.5968</v>
      </c>
      <c r="AB278" s="18" t="n">
        <f aca="false">Tabela_dane[[#This Row],[Wolumen_t]]*8.5</f>
        <v>47.5728</v>
      </c>
      <c r="AC278" s="18" t="n">
        <f aca="false">IF(G278&lt;&gt;"TAK",0,IF(OR(E278="ZAKUP",E278="PRODUKCJA"),Z278,IF(OR(E278="SPRZEDAŻ",E278="ZUŻYCIE"),-Z278,0)))</f>
        <v>67.84</v>
      </c>
      <c r="AD278" s="18" t="n">
        <f aca="false">IF(G278&lt;&gt;"TAK",0,IF(OR(E278="ZAKUP",E278="PRODUKCJA"),AA278,IF(OR(E278="SPRZEDAŻ",E278="ZUŻYCIE"),-AA278,0)))</f>
        <v>5.5968</v>
      </c>
      <c r="AE278" s="19" t="n">
        <f aca="false">IF(E278="ZAKUP",IF(L278&lt;&gt;"",L278,IF(K278&lt;&gt;"",Z278*K278,0)),0)</f>
        <v>2391.36</v>
      </c>
      <c r="AF278" s="19" t="n">
        <f aca="false">IF(E278="SPRZEDAŻ",IF(M278&lt;&gt;"",Z278*M278,0),0)</f>
        <v>0</v>
      </c>
      <c r="AG278" s="19" t="str">
        <f aca="false">IF(R278="","",IF(LOWER(R278)="brak","Brak",IF(OR(ISNUMBER(SEARCH("ric pl",LOWER(R278))),ISNUMBER(SEARCH("wojciechowski",LOWER(R278)))),"Własny","Zewnętrzny")))</f>
        <v/>
      </c>
      <c r="AH278" s="19" t="n">
        <f aca="false">Z278*Q278</f>
        <v>0</v>
      </c>
      <c r="AI278" s="19" t="str">
        <f aca="false">UPPER(TEXT(C278,"mmmm"))</f>
        <v>AUGUST</v>
      </c>
      <c r="AJ278" s="19" t="str">
        <f aca="false">IF(C278="","",TEXT(C278,"rrrr"))</f>
        <v>CE5786CE5786</v>
      </c>
      <c r="AK278" s="10"/>
      <c r="AL278" s="11" t="n">
        <v>0</v>
      </c>
      <c r="AM278" s="10" t="s">
        <v>529</v>
      </c>
      <c r="AN278" s="10" t="s">
        <v>59</v>
      </c>
      <c r="AO278" s="10"/>
      <c r="AP278" s="10"/>
      <c r="AQ278" s="10"/>
      <c r="AR278" s="10" t="s">
        <v>66</v>
      </c>
      <c r="AS278" s="10"/>
      <c r="AT278" s="15" t="n">
        <v>1</v>
      </c>
    </row>
    <row r="279" customFormat="false" ht="28.5" hidden="false" customHeight="true" outlineLevel="0" collapsed="false">
      <c r="A279" s="12" t="n">
        <v>46238</v>
      </c>
      <c r="B279" s="12"/>
      <c r="C279" s="12" t="n">
        <v>46238</v>
      </c>
      <c r="D279" s="10" t="s">
        <v>54</v>
      </c>
      <c r="E279" s="10" t="s">
        <v>47</v>
      </c>
      <c r="F279" s="13" t="s">
        <v>528</v>
      </c>
      <c r="G279" s="14" t="s">
        <v>49</v>
      </c>
      <c r="H279" s="10" t="s">
        <v>50</v>
      </c>
      <c r="I279" s="15" t="n">
        <v>67.84</v>
      </c>
      <c r="J279" s="10" t="s">
        <v>51</v>
      </c>
      <c r="K279" s="15" t="n">
        <v>0</v>
      </c>
      <c r="L279" s="11" t="n">
        <v>0</v>
      </c>
      <c r="M279" s="11" t="n">
        <v>0</v>
      </c>
      <c r="N279" s="10" t="s">
        <v>52</v>
      </c>
      <c r="O279" s="10" t="s">
        <v>67</v>
      </c>
      <c r="P279" s="10" t="s">
        <v>53</v>
      </c>
      <c r="Q279" s="16" t="n">
        <v>10</v>
      </c>
      <c r="R279" s="10"/>
      <c r="S279" s="10"/>
      <c r="T279" s="10" t="n">
        <v>0</v>
      </c>
      <c r="U279" s="11" t="n">
        <f aca="false">IF(E279="TRANSPORT",IF(T279="","",T279*5),IF(AL279="","",AL279))</f>
        <v>0</v>
      </c>
      <c r="V279" s="10" t="s">
        <v>54</v>
      </c>
      <c r="W279" s="15" t="s">
        <v>70</v>
      </c>
      <c r="X279" s="15"/>
      <c r="Y279" s="17" t="n">
        <v>46244.4066319445</v>
      </c>
      <c r="Z279" s="18" t="n">
        <f aca="false">IF(I279="",0,IF(ISNUMBER(SEARCH("mp",LOWER(J279))),I279,IF(ISNUMBER(SEARCH("ton",LOWER(J279))),I279/0.33,IF(ISNUMBER(SEARCH("m3",LOWER(J279))),I279*4,I279))))</f>
        <v>67.84</v>
      </c>
      <c r="AA279" s="18" t="n">
        <f aca="false">IF(I279="",0,IF(ISNUMBER(SEARCH("mp",LOWER(J279))),I279*0.33,IF(ISNUMBER(SEARCH("ton",LOWER(J279))),I279,I279*0.33)))</f>
        <v>22.3872</v>
      </c>
      <c r="AB279" s="18" t="n">
        <f aca="false">Tabela_dane[[#This Row],[Wolumen_t]]*8.5</f>
        <v>190.2912</v>
      </c>
      <c r="AC279" s="18" t="n">
        <f aca="false">IF(G279&lt;&gt;"TAK",0,IF(OR(E279="ZAKUP",E279="PRODUKCJA"),Z279,IF(OR(E279="SPRZEDAŻ",E279="ZUŻYCIE"),-Z279,0)))</f>
        <v>67.84</v>
      </c>
      <c r="AD279" s="18" t="n">
        <f aca="false">IF(G279&lt;&gt;"TAK",0,IF(OR(E279="ZAKUP",E279="PRODUKCJA"),AA279,IF(OR(E279="SPRZEDAŻ",E279="ZUŻYCIE"),-AA279,0)))</f>
        <v>22.3872</v>
      </c>
      <c r="AE279" s="19" t="n">
        <f aca="false">IF(E279="ZAKUP",IF(L279&lt;&gt;"",L279,IF(K279&lt;&gt;"",Z279*K279,0)),0)</f>
        <v>0</v>
      </c>
      <c r="AF279" s="19" t="n">
        <f aca="false">IF(E279="SPRZEDAŻ",IF(M279&lt;&gt;"",Z279*M279,0),0)</f>
        <v>0</v>
      </c>
      <c r="AG279" s="19" t="str">
        <f aca="false">IF(R279="","",IF(LOWER(R279)="brak","Brak",IF(OR(ISNUMBER(SEARCH("ric pl",LOWER(R279))),ISNUMBER(SEARCH("wojciechowski",LOWER(R279)))),"Własny","Zewnętrzny")))</f>
        <v/>
      </c>
      <c r="AH279" s="19" t="n">
        <f aca="false">Z279*Q279</f>
        <v>678.4</v>
      </c>
      <c r="AI279" s="19" t="str">
        <f aca="false">UPPER(TEXT(C279,"mmmm"))</f>
        <v>AUGUST</v>
      </c>
      <c r="AJ279" s="19" t="str">
        <f aca="false">IF(C279="","",TEXT(C279,"rrrr"))</f>
        <v>CE5786CE5786</v>
      </c>
      <c r="AK279" s="10"/>
      <c r="AL279" s="11" t="n">
        <v>0</v>
      </c>
      <c r="AM279" s="10" t="s">
        <v>530</v>
      </c>
      <c r="AN279" s="10" t="s">
        <v>59</v>
      </c>
      <c r="AO279" s="10"/>
      <c r="AP279" s="10"/>
      <c r="AQ279" s="10"/>
      <c r="AR279" s="10" t="s">
        <v>66</v>
      </c>
      <c r="AS279" s="10"/>
      <c r="AT279" s="15" t="n">
        <v>1</v>
      </c>
    </row>
    <row r="280" customFormat="false" ht="28.5" hidden="false" customHeight="true" outlineLevel="0" collapsed="false">
      <c r="A280" s="12" t="n">
        <v>46238</v>
      </c>
      <c r="B280" s="12"/>
      <c r="C280" s="12" t="n">
        <v>46238</v>
      </c>
      <c r="D280" s="10" t="s">
        <v>54</v>
      </c>
      <c r="E280" s="10" t="s">
        <v>79</v>
      </c>
      <c r="F280" s="13" t="s">
        <v>528</v>
      </c>
      <c r="G280" s="14" t="s">
        <v>49</v>
      </c>
      <c r="H280" s="10" t="s">
        <v>50</v>
      </c>
      <c r="I280" s="15" t="n">
        <v>67.84</v>
      </c>
      <c r="J280" s="10" t="s">
        <v>51</v>
      </c>
      <c r="K280" s="15" t="n">
        <v>0</v>
      </c>
      <c r="L280" s="11" t="n">
        <v>0</v>
      </c>
      <c r="M280" s="11" t="n">
        <v>0</v>
      </c>
      <c r="N280" s="10" t="s">
        <v>52</v>
      </c>
      <c r="O280" s="10" t="s">
        <v>67</v>
      </c>
      <c r="P280" s="10" t="s">
        <v>53</v>
      </c>
      <c r="Q280" s="16" t="n">
        <v>10</v>
      </c>
      <c r="R280" s="10"/>
      <c r="S280" s="10"/>
      <c r="T280" s="10" t="n">
        <v>0</v>
      </c>
      <c r="U280" s="11" t="n">
        <f aca="false">IF(E280="TRANSPORT",IF(T280="","",T280*5),IF(AL280="","",AL280))</f>
        <v>0</v>
      </c>
      <c r="V280" s="10" t="s">
        <v>54</v>
      </c>
      <c r="W280" s="15" t="s">
        <v>260</v>
      </c>
      <c r="X280" s="15"/>
      <c r="Y280" s="17" t="n">
        <v>46244.4066319445</v>
      </c>
      <c r="Z280" s="18" t="n">
        <f aca="false">IF(I280="",0,IF(ISNUMBER(SEARCH("mp",LOWER(J280))),I280,IF(ISNUMBER(SEARCH("ton",LOWER(J280))),I280/0.33,IF(ISNUMBER(SEARCH("m3",LOWER(J280))),I280*4,I280))))</f>
        <v>67.84</v>
      </c>
      <c r="AA280" s="18" t="n">
        <f aca="false">IF(I280="",0,IF(ISNUMBER(SEARCH("mp",LOWER(J280))),I280*0.33,IF(ISNUMBER(SEARCH("ton",LOWER(J280))),I280,I280*0.33)))</f>
        <v>22.3872</v>
      </c>
      <c r="AB280" s="18" t="n">
        <f aca="false">Tabela_dane[[#This Row],[Wolumen_t]]*8.5</f>
        <v>190.2912</v>
      </c>
      <c r="AC280" s="18" t="n">
        <f aca="false">IF(G280&lt;&gt;"TAK",0,IF(OR(E280="ZAKUP",E280="PRODUKCJA"),Z280,IF(OR(E280="SPRZEDAŻ",E280="ZUŻYCIE"),-Z280,0)))</f>
        <v>-67.84</v>
      </c>
      <c r="AD280" s="18" t="n">
        <f aca="false">IF(G280&lt;&gt;"TAK",0,IF(OR(E280="ZAKUP",E280="PRODUKCJA"),AA280,IF(OR(E280="SPRZEDAŻ",E280="ZUŻYCIE"),-AA280,0)))</f>
        <v>-22.3872</v>
      </c>
      <c r="AE280" s="19" t="n">
        <f aca="false">IF(E280="ZAKUP",IF(L280&lt;&gt;"",L280,IF(K280&lt;&gt;"",Z280*K280,0)),0)</f>
        <v>0</v>
      </c>
      <c r="AF280" s="19" t="n">
        <f aca="false">IF(E280="SPRZEDAŻ",IF(M280&lt;&gt;"",Z280*M280,0),0)</f>
        <v>0</v>
      </c>
      <c r="AG280" s="19" t="str">
        <f aca="false">IF(R280="","",IF(LOWER(R280)="brak","Brak",IF(OR(ISNUMBER(SEARCH("ric pl",LOWER(R280))),ISNUMBER(SEARCH("wojciechowski",LOWER(R280)))),"Własny","Zewnętrzny")))</f>
        <v/>
      </c>
      <c r="AH280" s="19" t="n">
        <f aca="false">Z280*Q280</f>
        <v>678.4</v>
      </c>
      <c r="AI280" s="19" t="str">
        <f aca="false">UPPER(TEXT(C280,"mmmm"))</f>
        <v>AUGUST</v>
      </c>
      <c r="AJ280" s="19" t="str">
        <f aca="false">IF(C280="","",TEXT(C280,"rrrr"))</f>
        <v>CE5786CE5786</v>
      </c>
      <c r="AK280" s="10"/>
      <c r="AL280" s="11" t="n">
        <v>0</v>
      </c>
      <c r="AM280" s="10" t="s">
        <v>530</v>
      </c>
      <c r="AN280" s="10" t="s">
        <v>59</v>
      </c>
      <c r="AO280" s="10"/>
      <c r="AP280" s="10"/>
      <c r="AQ280" s="10"/>
      <c r="AR280" s="10" t="s">
        <v>81</v>
      </c>
      <c r="AS280" s="10"/>
      <c r="AT280" s="15" t="n">
        <v>1</v>
      </c>
    </row>
    <row r="281" customFormat="false" ht="28.5" hidden="false" customHeight="true" outlineLevel="0" collapsed="false">
      <c r="A281" s="12" t="n">
        <v>46238</v>
      </c>
      <c r="B281" s="12" t="s">
        <v>516</v>
      </c>
      <c r="C281" s="12" t="n">
        <v>46238</v>
      </c>
      <c r="D281" s="10" t="s">
        <v>54</v>
      </c>
      <c r="E281" s="10" t="s">
        <v>63</v>
      </c>
      <c r="F281" s="13" t="s">
        <v>528</v>
      </c>
      <c r="G281" s="14" t="s">
        <v>49</v>
      </c>
      <c r="H281" s="10" t="s">
        <v>50</v>
      </c>
      <c r="I281" s="15" t="n">
        <v>67.84</v>
      </c>
      <c r="J281" s="10" t="s">
        <v>51</v>
      </c>
      <c r="K281" s="15" t="n">
        <v>0</v>
      </c>
      <c r="L281" s="11" t="n">
        <v>0</v>
      </c>
      <c r="M281" s="11" t="n">
        <v>0</v>
      </c>
      <c r="N281" s="10" t="s">
        <v>52</v>
      </c>
      <c r="O281" s="10" t="s">
        <v>67</v>
      </c>
      <c r="P281" s="10"/>
      <c r="Q281" s="16" t="n">
        <v>0</v>
      </c>
      <c r="R281" s="10" t="s">
        <v>182</v>
      </c>
      <c r="S281" s="10" t="s">
        <v>509</v>
      </c>
      <c r="T281" s="10" t="n">
        <v>105</v>
      </c>
      <c r="U281" s="11" t="n">
        <f aca="false">IF(E281="TRANSPORT",IF(T281="","",T281*5),IF(AL281="","",AL281))</f>
        <v>525</v>
      </c>
      <c r="V281" s="10" t="s">
        <v>54</v>
      </c>
      <c r="W281" s="15" t="s">
        <v>65</v>
      </c>
      <c r="X281" s="15"/>
      <c r="Y281" s="17" t="n">
        <v>46244.4078009259</v>
      </c>
      <c r="Z281" s="18" t="n">
        <f aca="false">IF(I281="",0,IF(ISNUMBER(SEARCH("mp",LOWER(J281))),I281,IF(ISNUMBER(SEARCH("ton",LOWER(J281))),I281/0.33,IF(ISNUMBER(SEARCH("m3",LOWER(J281))),I281*4,I281))))</f>
        <v>67.84</v>
      </c>
      <c r="AA281" s="18" t="n">
        <f aca="false">IF(I281="",0,IF(ISNUMBER(SEARCH("mp",LOWER(J281))),I281*0.33,IF(ISNUMBER(SEARCH("ton",LOWER(J281))),I281,I281*0.33)))</f>
        <v>22.3872</v>
      </c>
      <c r="AB281" s="18" t="n">
        <f aca="false">Tabela_dane[[#This Row],[Wolumen_t]]*8.5</f>
        <v>190.2912</v>
      </c>
      <c r="AC281" s="18" t="n">
        <f aca="false">IF(G281&lt;&gt;"TAK",0,IF(OR(E281="ZAKUP",E281="PRODUKCJA"),Z281,IF(OR(E281="SPRZEDAŻ",E281="ZUŻYCIE"),-Z281,0)))</f>
        <v>67.84</v>
      </c>
      <c r="AD281" s="18" t="n">
        <f aca="false">IF(G281&lt;&gt;"TAK",0,IF(OR(E281="ZAKUP",E281="PRODUKCJA"),AA281,IF(OR(E281="SPRZEDAŻ",E281="ZUŻYCIE"),-AA281,0)))</f>
        <v>22.3872</v>
      </c>
      <c r="AE281" s="19" t="n">
        <f aca="false">IF(E281="ZAKUP",IF(L281&lt;&gt;"",L281,IF(K281&lt;&gt;"",Z281*K281,0)),0)</f>
        <v>0</v>
      </c>
      <c r="AF281" s="19" t="n">
        <f aca="false">IF(E281="SPRZEDAŻ",IF(M281&lt;&gt;"",Z281*M281,0),0)</f>
        <v>0</v>
      </c>
      <c r="AG281" s="19" t="str">
        <f aca="false">IF(R281="","",IF(LOWER(R281)="brak","Brak",IF(OR(ISNUMBER(SEARCH("ric pl",LOWER(R281))),ISNUMBER(SEARCH("wojciechowski",LOWER(R281)))),"Własny","Zewnętrzny")))</f>
        <v>Zewnętrzny</v>
      </c>
      <c r="AH281" s="19" t="n">
        <f aca="false">Z281*Q281</f>
        <v>0</v>
      </c>
      <c r="AI281" s="19" t="str">
        <f aca="false">UPPER(TEXT(C281,"mmmm"))</f>
        <v>AUGUST</v>
      </c>
      <c r="AJ281" s="19" t="str">
        <f aca="false">IF(C281="","",TEXT(C281,"rrrr"))</f>
        <v>CE5786CE5786</v>
      </c>
      <c r="AK281" s="10"/>
      <c r="AL281" s="11" t="n">
        <v>525</v>
      </c>
      <c r="AM281" s="10" t="s">
        <v>531</v>
      </c>
      <c r="AN281" s="10" t="s">
        <v>49</v>
      </c>
      <c r="AO281" s="10"/>
      <c r="AP281" s="10"/>
      <c r="AQ281" s="10"/>
      <c r="AR281" s="10" t="s">
        <v>66</v>
      </c>
      <c r="AS281" s="10"/>
      <c r="AT281" s="15" t="n">
        <v>1</v>
      </c>
    </row>
    <row r="282" customFormat="false" ht="28.5" hidden="false" customHeight="true" outlineLevel="0" collapsed="false">
      <c r="A282" s="12" t="n">
        <v>46238</v>
      </c>
      <c r="B282" s="12"/>
      <c r="C282" s="12" t="n">
        <v>46238</v>
      </c>
      <c r="D282" s="10" t="s">
        <v>511</v>
      </c>
      <c r="E282" s="10" t="s">
        <v>63</v>
      </c>
      <c r="F282" s="46" t="s">
        <v>532</v>
      </c>
      <c r="G282" s="14" t="s">
        <v>49</v>
      </c>
      <c r="H282" s="10" t="s">
        <v>50</v>
      </c>
      <c r="I282" s="15" t="n">
        <v>17.38</v>
      </c>
      <c r="J282" s="10" t="s">
        <v>77</v>
      </c>
      <c r="K282" s="15" t="n">
        <v>141</v>
      </c>
      <c r="L282" s="11" t="n">
        <v>2450.58</v>
      </c>
      <c r="M282" s="11" t="n">
        <v>0</v>
      </c>
      <c r="N282" s="10" t="s">
        <v>64</v>
      </c>
      <c r="O282" s="10" t="s">
        <v>67</v>
      </c>
      <c r="P282" s="10"/>
      <c r="Q282" s="16" t="n">
        <v>0</v>
      </c>
      <c r="R282" s="10"/>
      <c r="S282" s="10"/>
      <c r="T282" s="10" t="n">
        <v>0</v>
      </c>
      <c r="U282" s="11" t="n">
        <f aca="false">IF(E282="TRANSPORT",IF(T282="","",T282*5),IF(AL282="","",AL282))</f>
        <v>0</v>
      </c>
      <c r="V282" s="10" t="s">
        <v>54</v>
      </c>
      <c r="W282" s="15" t="s">
        <v>70</v>
      </c>
      <c r="X282" s="15"/>
      <c r="Y282" s="17" t="n">
        <v>46244.4089236111</v>
      </c>
      <c r="Z282" s="18" t="n">
        <f aca="false">IF(I282="",0,IF(ISNUMBER(SEARCH("mp",LOWER(J282))),I282,IF(ISNUMBER(SEARCH("ton",LOWER(J282))),I282/0.33,IF(ISNUMBER(SEARCH("m3",LOWER(J282))),I282*4,I282))))</f>
        <v>69.52</v>
      </c>
      <c r="AA282" s="18" t="n">
        <f aca="false">IF(I282="",0,IF(ISNUMBER(SEARCH("mp",LOWER(J282))),I282*0.33,IF(ISNUMBER(SEARCH("ton",LOWER(J282))),I282,I282*0.33)))</f>
        <v>5.7354</v>
      </c>
      <c r="AB282" s="18" t="n">
        <f aca="false">Tabela_dane[[#This Row],[Wolumen_t]]*8.5</f>
        <v>48.7509</v>
      </c>
      <c r="AC282" s="18" t="n">
        <f aca="false">IF(G282&lt;&gt;"TAK",0,IF(OR(E282="ZAKUP",E282="PRODUKCJA"),Z282,IF(OR(E282="SPRZEDAŻ",E282="ZUŻYCIE"),-Z282,0)))</f>
        <v>69.52</v>
      </c>
      <c r="AD282" s="18" t="n">
        <f aca="false">IF(G282&lt;&gt;"TAK",0,IF(OR(E282="ZAKUP",E282="PRODUKCJA"),AA282,IF(OR(E282="SPRZEDAŻ",E282="ZUŻYCIE"),-AA282,0)))</f>
        <v>5.7354</v>
      </c>
      <c r="AE282" s="19" t="n">
        <f aca="false">IF(E282="ZAKUP",IF(L282&lt;&gt;"",L282,IF(K282&lt;&gt;"",Z282*K282,0)),0)</f>
        <v>2450.58</v>
      </c>
      <c r="AF282" s="19" t="n">
        <f aca="false">IF(E282="SPRZEDAŻ",IF(M282&lt;&gt;"",Z282*M282,0),0)</f>
        <v>0</v>
      </c>
      <c r="AG282" s="19" t="str">
        <f aca="false">IF(R282="","",IF(LOWER(R282)="brak","Brak",IF(OR(ISNUMBER(SEARCH("ric pl",LOWER(R282))),ISNUMBER(SEARCH("wojciechowski",LOWER(R282)))),"Własny","Zewnętrzny")))</f>
        <v/>
      </c>
      <c r="AH282" s="19" t="n">
        <f aca="false">Z282*Q282</f>
        <v>0</v>
      </c>
      <c r="AI282" s="19" t="str">
        <f aca="false">UPPER(TEXT(C282,"mmmm"))</f>
        <v>AUGUST</v>
      </c>
      <c r="AJ282" s="19" t="str">
        <f aca="false">IF(C282="","",TEXT(C282,"rrrr"))</f>
        <v>CE5786CE5786</v>
      </c>
      <c r="AK282" s="10"/>
      <c r="AL282" s="11" t="n">
        <v>0</v>
      </c>
      <c r="AM282" s="10" t="s">
        <v>533</v>
      </c>
      <c r="AN282" s="10" t="s">
        <v>59</v>
      </c>
      <c r="AO282" s="10"/>
      <c r="AP282" s="10"/>
      <c r="AQ282" s="10"/>
      <c r="AR282" s="10" t="s">
        <v>66</v>
      </c>
      <c r="AS282" s="10"/>
      <c r="AT282" s="15" t="n">
        <v>1</v>
      </c>
    </row>
    <row r="283" customFormat="false" ht="28.5" hidden="false" customHeight="true" outlineLevel="0" collapsed="false">
      <c r="A283" s="12" t="n">
        <v>46238</v>
      </c>
      <c r="B283" s="12"/>
      <c r="C283" s="12" t="n">
        <v>46238</v>
      </c>
      <c r="D283" s="10" t="s">
        <v>54</v>
      </c>
      <c r="E283" s="10" t="s">
        <v>47</v>
      </c>
      <c r="F283" s="13" t="s">
        <v>534</v>
      </c>
      <c r="G283" s="14" t="s">
        <v>49</v>
      </c>
      <c r="H283" s="10" t="s">
        <v>50</v>
      </c>
      <c r="I283" s="15" t="n">
        <v>69.52</v>
      </c>
      <c r="J283" s="10" t="s">
        <v>51</v>
      </c>
      <c r="K283" s="15" t="n">
        <v>0</v>
      </c>
      <c r="L283" s="11" t="n">
        <v>0</v>
      </c>
      <c r="M283" s="11" t="n">
        <v>0</v>
      </c>
      <c r="N283" s="10" t="s">
        <v>52</v>
      </c>
      <c r="O283" s="10" t="s">
        <v>67</v>
      </c>
      <c r="P283" s="10" t="s">
        <v>53</v>
      </c>
      <c r="Q283" s="16" t="n">
        <v>10</v>
      </c>
      <c r="R283" s="10"/>
      <c r="S283" s="10"/>
      <c r="T283" s="10" t="n">
        <v>0</v>
      </c>
      <c r="U283" s="11" t="n">
        <f aca="false">IF(E283="TRANSPORT",IF(T283="","",T283*5),IF(AL283="","",AL283))</f>
        <v>0</v>
      </c>
      <c r="V283" s="10" t="s">
        <v>54</v>
      </c>
      <c r="W283" s="15" t="s">
        <v>70</v>
      </c>
      <c r="X283" s="15"/>
      <c r="Y283" s="17" t="n">
        <v>46244.4094097222</v>
      </c>
      <c r="Z283" s="18" t="n">
        <f aca="false">IF(I283="",0,IF(ISNUMBER(SEARCH("mp",LOWER(J283))),I283,IF(ISNUMBER(SEARCH("ton",LOWER(J283))),I283/0.33,IF(ISNUMBER(SEARCH("m3",LOWER(J283))),I283*4,I283))))</f>
        <v>69.52</v>
      </c>
      <c r="AA283" s="18" t="n">
        <f aca="false">IF(I283="",0,IF(ISNUMBER(SEARCH("mp",LOWER(J283))),I283*0.33,IF(ISNUMBER(SEARCH("ton",LOWER(J283))),I283,I283*0.33)))</f>
        <v>22.9416</v>
      </c>
      <c r="AB283" s="18" t="n">
        <f aca="false">Tabela_dane[[#This Row],[Wolumen_t]]*8.5</f>
        <v>195.0036</v>
      </c>
      <c r="AC283" s="18" t="n">
        <f aca="false">IF(G283&lt;&gt;"TAK",0,IF(OR(E283="ZAKUP",E283="PRODUKCJA"),Z283,IF(OR(E283="SPRZEDAŻ",E283="ZUŻYCIE"),-Z283,0)))</f>
        <v>69.52</v>
      </c>
      <c r="AD283" s="18" t="n">
        <f aca="false">IF(G283&lt;&gt;"TAK",0,IF(OR(E283="ZAKUP",E283="PRODUKCJA"),AA283,IF(OR(E283="SPRZEDAŻ",E283="ZUŻYCIE"),-AA283,0)))</f>
        <v>22.9416</v>
      </c>
      <c r="AE283" s="19" t="n">
        <f aca="false">IF(E283="ZAKUP",IF(L283&lt;&gt;"",L283,IF(K283&lt;&gt;"",Z283*K283,0)),0)</f>
        <v>0</v>
      </c>
      <c r="AF283" s="19" t="n">
        <f aca="false">IF(E283="SPRZEDAŻ",IF(M283&lt;&gt;"",Z283*M283,0),0)</f>
        <v>0</v>
      </c>
      <c r="AG283" s="19" t="str">
        <f aca="false">IF(R283="","",IF(LOWER(R283)="brak","Brak",IF(OR(ISNUMBER(SEARCH("ric pl",LOWER(R283))),ISNUMBER(SEARCH("wojciechowski",LOWER(R283)))),"Własny","Zewnętrzny")))</f>
        <v/>
      </c>
      <c r="AH283" s="19" t="n">
        <f aca="false">Z283*Q283</f>
        <v>695.2</v>
      </c>
      <c r="AI283" s="19" t="str">
        <f aca="false">UPPER(TEXT(C283,"mmmm"))</f>
        <v>AUGUST</v>
      </c>
      <c r="AJ283" s="19" t="str">
        <f aca="false">IF(C283="","",TEXT(C283,"rrrr"))</f>
        <v>CE5786CE5786</v>
      </c>
      <c r="AK283" s="10"/>
      <c r="AL283" s="11" t="n">
        <v>0</v>
      </c>
      <c r="AM283" s="10" t="s">
        <v>535</v>
      </c>
      <c r="AN283" s="10" t="s">
        <v>59</v>
      </c>
      <c r="AO283" s="10"/>
      <c r="AP283" s="10"/>
      <c r="AQ283" s="10"/>
      <c r="AR283" s="10" t="s">
        <v>66</v>
      </c>
      <c r="AS283" s="10"/>
      <c r="AT283" s="15" t="n">
        <v>1</v>
      </c>
    </row>
    <row r="284" customFormat="false" ht="28.5" hidden="false" customHeight="true" outlineLevel="0" collapsed="false">
      <c r="A284" s="12" t="n">
        <v>46238</v>
      </c>
      <c r="B284" s="12"/>
      <c r="C284" s="12" t="n">
        <v>46238</v>
      </c>
      <c r="D284" s="10" t="s">
        <v>54</v>
      </c>
      <c r="E284" s="10" t="s">
        <v>79</v>
      </c>
      <c r="F284" s="13" t="s">
        <v>534</v>
      </c>
      <c r="G284" s="14" t="s">
        <v>49</v>
      </c>
      <c r="H284" s="10" t="s">
        <v>50</v>
      </c>
      <c r="I284" s="15" t="n">
        <v>69.52</v>
      </c>
      <c r="J284" s="10" t="s">
        <v>51</v>
      </c>
      <c r="K284" s="15" t="n">
        <v>0</v>
      </c>
      <c r="L284" s="11" t="n">
        <v>0</v>
      </c>
      <c r="M284" s="11" t="n">
        <v>0</v>
      </c>
      <c r="N284" s="10" t="s">
        <v>52</v>
      </c>
      <c r="O284" s="10" t="s">
        <v>67</v>
      </c>
      <c r="P284" s="10" t="s">
        <v>53</v>
      </c>
      <c r="Q284" s="16" t="n">
        <v>10</v>
      </c>
      <c r="R284" s="10"/>
      <c r="S284" s="10"/>
      <c r="T284" s="10" t="n">
        <v>0</v>
      </c>
      <c r="U284" s="11" t="n">
        <f aca="false">IF(E284="TRANSPORT",IF(T284="","",T284*5),IF(AL284="","",AL284))</f>
        <v>0</v>
      </c>
      <c r="V284" s="10" t="s">
        <v>54</v>
      </c>
      <c r="W284" s="15" t="s">
        <v>260</v>
      </c>
      <c r="X284" s="15"/>
      <c r="Y284" s="17" t="n">
        <v>46244.4094212963</v>
      </c>
      <c r="Z284" s="18" t="n">
        <f aca="false">IF(I284="",0,IF(ISNUMBER(SEARCH("mp",LOWER(J284))),I284,IF(ISNUMBER(SEARCH("ton",LOWER(J284))),I284/0.33,IF(ISNUMBER(SEARCH("m3",LOWER(J284))),I284*4,I284))))</f>
        <v>69.52</v>
      </c>
      <c r="AA284" s="18" t="n">
        <f aca="false">IF(I284="",0,IF(ISNUMBER(SEARCH("mp",LOWER(J284))),I284*0.33,IF(ISNUMBER(SEARCH("ton",LOWER(J284))),I284,I284*0.33)))</f>
        <v>22.9416</v>
      </c>
      <c r="AB284" s="18" t="n">
        <f aca="false">Tabela_dane[[#This Row],[Wolumen_t]]*8.5</f>
        <v>195.0036</v>
      </c>
      <c r="AC284" s="18" t="n">
        <f aca="false">IF(G284&lt;&gt;"TAK",0,IF(OR(E284="ZAKUP",E284="PRODUKCJA"),Z284,IF(OR(E284="SPRZEDAŻ",E284="ZUŻYCIE"),-Z284,0)))</f>
        <v>-69.52</v>
      </c>
      <c r="AD284" s="18" t="n">
        <f aca="false">IF(G284&lt;&gt;"TAK",0,IF(OR(E284="ZAKUP",E284="PRODUKCJA"),AA284,IF(OR(E284="SPRZEDAŻ",E284="ZUŻYCIE"),-AA284,0)))</f>
        <v>-22.9416</v>
      </c>
      <c r="AE284" s="19" t="n">
        <f aca="false">IF(E284="ZAKUP",IF(L284&lt;&gt;"",L284,IF(K284&lt;&gt;"",Z284*K284,0)),0)</f>
        <v>0</v>
      </c>
      <c r="AF284" s="19" t="n">
        <f aca="false">IF(E284="SPRZEDAŻ",IF(M284&lt;&gt;"",Z284*M284,0),0)</f>
        <v>0</v>
      </c>
      <c r="AG284" s="19" t="str">
        <f aca="false">IF(R284="","",IF(LOWER(R284)="brak","Brak",IF(OR(ISNUMBER(SEARCH("ric pl",LOWER(R284))),ISNUMBER(SEARCH("wojciechowski",LOWER(R284)))),"Własny","Zewnętrzny")))</f>
        <v/>
      </c>
      <c r="AH284" s="19" t="n">
        <f aca="false">Z284*Q284</f>
        <v>695.2</v>
      </c>
      <c r="AI284" s="19" t="str">
        <f aca="false">UPPER(TEXT(C284,"mmmm"))</f>
        <v>AUGUST</v>
      </c>
      <c r="AJ284" s="19" t="str">
        <f aca="false">IF(C284="","",TEXT(C284,"rrrr"))</f>
        <v>CE5786CE5786</v>
      </c>
      <c r="AK284" s="10"/>
      <c r="AL284" s="11" t="n">
        <v>0</v>
      </c>
      <c r="AM284" s="10" t="s">
        <v>535</v>
      </c>
      <c r="AN284" s="10" t="s">
        <v>59</v>
      </c>
      <c r="AO284" s="10"/>
      <c r="AP284" s="10"/>
      <c r="AQ284" s="10"/>
      <c r="AR284" s="10" t="s">
        <v>81</v>
      </c>
      <c r="AS284" s="10"/>
      <c r="AT284" s="15" t="n">
        <v>1</v>
      </c>
    </row>
    <row r="285" customFormat="false" ht="28.5" hidden="false" customHeight="true" outlineLevel="0" collapsed="false">
      <c r="A285" s="12" t="n">
        <v>46238</v>
      </c>
      <c r="B285" s="12" t="s">
        <v>516</v>
      </c>
      <c r="C285" s="12" t="n">
        <v>46238</v>
      </c>
      <c r="D285" s="10" t="s">
        <v>54</v>
      </c>
      <c r="E285" s="10" t="s">
        <v>63</v>
      </c>
      <c r="F285" s="13" t="s">
        <v>534</v>
      </c>
      <c r="G285" s="14" t="s">
        <v>49</v>
      </c>
      <c r="H285" s="10" t="s">
        <v>50</v>
      </c>
      <c r="I285" s="15" t="n">
        <v>69.52</v>
      </c>
      <c r="J285" s="10" t="s">
        <v>51</v>
      </c>
      <c r="K285" s="15" t="n">
        <v>0</v>
      </c>
      <c r="L285" s="11" t="n">
        <v>0</v>
      </c>
      <c r="M285" s="11" t="n">
        <v>0</v>
      </c>
      <c r="N285" s="10" t="s">
        <v>52</v>
      </c>
      <c r="O285" s="10" t="s">
        <v>67</v>
      </c>
      <c r="P285" s="10"/>
      <c r="Q285" s="16" t="n">
        <v>0</v>
      </c>
      <c r="R285" s="10" t="s">
        <v>68</v>
      </c>
      <c r="S285" s="10" t="s">
        <v>69</v>
      </c>
      <c r="T285" s="10" t="n">
        <v>105</v>
      </c>
      <c r="U285" s="11" t="n">
        <f aca="false">IF(E285="TRANSPORT",IF(T285="","",T285*5),IF(AL285="","",AL285))</f>
        <v>525</v>
      </c>
      <c r="V285" s="10" t="s">
        <v>54</v>
      </c>
      <c r="W285" s="15" t="s">
        <v>536</v>
      </c>
      <c r="X285" s="15"/>
      <c r="Y285" s="17" t="n">
        <v>46244.4102777778</v>
      </c>
      <c r="Z285" s="18" t="n">
        <f aca="false">IF(I285="",0,IF(ISNUMBER(SEARCH("mp",LOWER(J285))),I285,IF(ISNUMBER(SEARCH("ton",LOWER(J285))),I285/0.33,IF(ISNUMBER(SEARCH("m3",LOWER(J285))),I285*4,I285))))</f>
        <v>69.52</v>
      </c>
      <c r="AA285" s="18" t="n">
        <f aca="false">IF(I285="",0,IF(ISNUMBER(SEARCH("mp",LOWER(J285))),I285*0.33,IF(ISNUMBER(SEARCH("ton",LOWER(J285))),I285,I285*0.33)))</f>
        <v>22.9416</v>
      </c>
      <c r="AB285" s="18" t="n">
        <f aca="false">Tabela_dane[[#This Row],[Wolumen_t]]*8.5</f>
        <v>195.0036</v>
      </c>
      <c r="AC285" s="18" t="n">
        <f aca="false">IF(G285&lt;&gt;"TAK",0,IF(OR(E285="ZAKUP",E285="PRODUKCJA"),Z285,IF(OR(E285="SPRZEDAŻ",E285="ZUŻYCIE"),-Z285,0)))</f>
        <v>69.52</v>
      </c>
      <c r="AD285" s="18" t="n">
        <f aca="false">IF(G285&lt;&gt;"TAK",0,IF(OR(E285="ZAKUP",E285="PRODUKCJA"),AA285,IF(OR(E285="SPRZEDAŻ",E285="ZUŻYCIE"),-AA285,0)))</f>
        <v>22.9416</v>
      </c>
      <c r="AE285" s="19" t="n">
        <f aca="false">IF(E285="ZAKUP",IF(L285&lt;&gt;"",L285,IF(K285&lt;&gt;"",Z285*K285,0)),0)</f>
        <v>0</v>
      </c>
      <c r="AF285" s="19" t="n">
        <f aca="false">IF(E285="SPRZEDAŻ",IF(M285&lt;&gt;"",Z285*M285,0),0)</f>
        <v>0</v>
      </c>
      <c r="AG285" s="19" t="str">
        <f aca="false">IF(R285="","",IF(LOWER(R285)="brak","Brak",IF(OR(ISNUMBER(SEARCH("ric pl",LOWER(R285))),ISNUMBER(SEARCH("wojciechowski",LOWER(R285)))),"Własny","Zewnętrzny")))</f>
        <v>Zewnętrzny</v>
      </c>
      <c r="AH285" s="19" t="n">
        <f aca="false">Z285*Q285</f>
        <v>0</v>
      </c>
      <c r="AI285" s="19" t="str">
        <f aca="false">UPPER(TEXT(C285,"mmmm"))</f>
        <v>AUGUST</v>
      </c>
      <c r="AJ285" s="19" t="str">
        <f aca="false">IF(C285="","",TEXT(C285,"rrrr"))</f>
        <v>CE5786CE5786</v>
      </c>
      <c r="AK285" s="10"/>
      <c r="AL285" s="11" t="n">
        <v>525</v>
      </c>
      <c r="AM285" s="10" t="s">
        <v>537</v>
      </c>
      <c r="AN285" s="10" t="s">
        <v>49</v>
      </c>
      <c r="AO285" s="10"/>
      <c r="AP285" s="10"/>
      <c r="AQ285" s="10"/>
      <c r="AR285" s="10" t="s">
        <v>66</v>
      </c>
      <c r="AS285" s="10"/>
      <c r="AT285" s="15" t="n">
        <v>1</v>
      </c>
    </row>
    <row r="286" customFormat="false" ht="28.5" hidden="false" customHeight="true" outlineLevel="0" collapsed="false">
      <c r="A286" s="12" t="n">
        <v>46238</v>
      </c>
      <c r="B286" s="12"/>
      <c r="C286" s="12" t="n">
        <v>46238</v>
      </c>
      <c r="D286" s="10" t="s">
        <v>511</v>
      </c>
      <c r="E286" s="10" t="s">
        <v>63</v>
      </c>
      <c r="F286" s="46" t="s">
        <v>538</v>
      </c>
      <c r="G286" s="14" t="s">
        <v>49</v>
      </c>
      <c r="H286" s="10" t="s">
        <v>50</v>
      </c>
      <c r="I286" s="15" t="n">
        <v>17.38</v>
      </c>
      <c r="J286" s="10" t="s">
        <v>77</v>
      </c>
      <c r="K286" s="15" t="n">
        <v>141</v>
      </c>
      <c r="L286" s="11" t="n">
        <v>2450.58</v>
      </c>
      <c r="M286" s="11" t="n">
        <v>0</v>
      </c>
      <c r="N286" s="10" t="s">
        <v>64</v>
      </c>
      <c r="O286" s="10" t="s">
        <v>67</v>
      </c>
      <c r="P286" s="10"/>
      <c r="Q286" s="16" t="n">
        <v>0</v>
      </c>
      <c r="R286" s="10"/>
      <c r="S286" s="10"/>
      <c r="T286" s="10" t="n">
        <v>0</v>
      </c>
      <c r="U286" s="11" t="n">
        <f aca="false">IF(E286="TRANSPORT",IF(T286="","",T286*5),IF(AL286="","",AL286))</f>
        <v>0</v>
      </c>
      <c r="V286" s="10" t="s">
        <v>54</v>
      </c>
      <c r="W286" s="15" t="s">
        <v>70</v>
      </c>
      <c r="X286" s="15"/>
      <c r="Y286" s="17" t="n">
        <v>46244.4116319444</v>
      </c>
      <c r="Z286" s="18" t="n">
        <f aca="false">IF(I286="",0,IF(ISNUMBER(SEARCH("mp",LOWER(J286))),I286,IF(ISNUMBER(SEARCH("ton",LOWER(J286))),I286/0.33,IF(ISNUMBER(SEARCH("m3",LOWER(J286))),I286*4,I286))))</f>
        <v>69.52</v>
      </c>
      <c r="AA286" s="18" t="n">
        <f aca="false">IF(I286="",0,IF(ISNUMBER(SEARCH("mp",LOWER(J286))),I286*0.33,IF(ISNUMBER(SEARCH("ton",LOWER(J286))),I286,I286*0.33)))</f>
        <v>5.7354</v>
      </c>
      <c r="AB286" s="18" t="n">
        <f aca="false">Tabela_dane[[#This Row],[Wolumen_t]]*8.5</f>
        <v>48.7509</v>
      </c>
      <c r="AC286" s="18" t="n">
        <f aca="false">IF(G286&lt;&gt;"TAK",0,IF(OR(E286="ZAKUP",E286="PRODUKCJA"),Z286,IF(OR(E286="SPRZEDAŻ",E286="ZUŻYCIE"),-Z286,0)))</f>
        <v>69.52</v>
      </c>
      <c r="AD286" s="18" t="n">
        <f aca="false">IF(G286&lt;&gt;"TAK",0,IF(OR(E286="ZAKUP",E286="PRODUKCJA"),AA286,IF(OR(E286="SPRZEDAŻ",E286="ZUŻYCIE"),-AA286,0)))</f>
        <v>5.7354</v>
      </c>
      <c r="AE286" s="19" t="n">
        <f aca="false">IF(E286="ZAKUP",IF(L286&lt;&gt;"",L286,IF(K286&lt;&gt;"",Z286*K286,0)),0)</f>
        <v>2450.58</v>
      </c>
      <c r="AF286" s="19" t="n">
        <f aca="false">IF(E286="SPRZEDAŻ",IF(M286&lt;&gt;"",Z286*M286,0),0)</f>
        <v>0</v>
      </c>
      <c r="AG286" s="19" t="str">
        <f aca="false">IF(R286="","",IF(LOWER(R286)="brak","Brak",IF(OR(ISNUMBER(SEARCH("ric pl",LOWER(R286))),ISNUMBER(SEARCH("wojciechowski",LOWER(R286)))),"Własny","Zewnętrzny")))</f>
        <v/>
      </c>
      <c r="AH286" s="19" t="n">
        <f aca="false">Z286*Q286</f>
        <v>0</v>
      </c>
      <c r="AI286" s="19" t="str">
        <f aca="false">UPPER(TEXT(C286,"mmmm"))</f>
        <v>AUGUST</v>
      </c>
      <c r="AJ286" s="19" t="str">
        <f aca="false">IF(C286="","",TEXT(C286,"rrrr"))</f>
        <v>CE5786CE5786</v>
      </c>
      <c r="AK286" s="10"/>
      <c r="AL286" s="11" t="n">
        <v>0</v>
      </c>
      <c r="AM286" s="10" t="s">
        <v>539</v>
      </c>
      <c r="AN286" s="10" t="s">
        <v>59</v>
      </c>
      <c r="AO286" s="10"/>
      <c r="AP286" s="10"/>
      <c r="AQ286" s="10"/>
      <c r="AR286" s="10" t="s">
        <v>66</v>
      </c>
      <c r="AS286" s="10"/>
      <c r="AT286" s="15" t="n">
        <v>1</v>
      </c>
    </row>
    <row r="287" customFormat="false" ht="28.5" hidden="false" customHeight="true" outlineLevel="0" collapsed="false">
      <c r="A287" s="12" t="n">
        <v>46238</v>
      </c>
      <c r="B287" s="12"/>
      <c r="C287" s="12" t="n">
        <v>46238</v>
      </c>
      <c r="D287" s="10" t="s">
        <v>54</v>
      </c>
      <c r="E287" s="10" t="s">
        <v>47</v>
      </c>
      <c r="F287" s="13" t="s">
        <v>540</v>
      </c>
      <c r="G287" s="14" t="s">
        <v>49</v>
      </c>
      <c r="H287" s="10" t="s">
        <v>50</v>
      </c>
      <c r="I287" s="15" t="n">
        <v>69.52</v>
      </c>
      <c r="J287" s="10" t="s">
        <v>51</v>
      </c>
      <c r="K287" s="15" t="n">
        <v>0</v>
      </c>
      <c r="L287" s="11" t="n">
        <v>0</v>
      </c>
      <c r="M287" s="11" t="n">
        <v>0</v>
      </c>
      <c r="N287" s="10" t="s">
        <v>52</v>
      </c>
      <c r="O287" s="10" t="s">
        <v>67</v>
      </c>
      <c r="P287" s="10" t="s">
        <v>53</v>
      </c>
      <c r="Q287" s="16" t="n">
        <v>10</v>
      </c>
      <c r="R287" s="10"/>
      <c r="S287" s="10"/>
      <c r="T287" s="10" t="n">
        <v>0</v>
      </c>
      <c r="U287" s="11" t="n">
        <f aca="false">IF(E287="TRANSPORT",IF(T287="","",T287*5),IF(AL287="","",AL287))</f>
        <v>0</v>
      </c>
      <c r="V287" s="10" t="s">
        <v>54</v>
      </c>
      <c r="W287" s="15" t="s">
        <v>70</v>
      </c>
      <c r="X287" s="15"/>
      <c r="Y287" s="17" t="n">
        <v>46244.4121643519</v>
      </c>
      <c r="Z287" s="18" t="n">
        <f aca="false">IF(I287="",0,IF(ISNUMBER(SEARCH("mp",LOWER(J287))),I287,IF(ISNUMBER(SEARCH("ton",LOWER(J287))),I287/0.33,IF(ISNUMBER(SEARCH("m3",LOWER(J287))),I287*4,I287))))</f>
        <v>69.52</v>
      </c>
      <c r="AA287" s="18" t="n">
        <f aca="false">IF(I287="",0,IF(ISNUMBER(SEARCH("mp",LOWER(J287))),I287*0.33,IF(ISNUMBER(SEARCH("ton",LOWER(J287))),I287,I287*0.33)))</f>
        <v>22.9416</v>
      </c>
      <c r="AB287" s="18" t="n">
        <f aca="false">Tabela_dane[[#This Row],[Wolumen_t]]*8.5</f>
        <v>195.0036</v>
      </c>
      <c r="AC287" s="18" t="n">
        <f aca="false">IF(G287&lt;&gt;"TAK",0,IF(OR(E287="ZAKUP",E287="PRODUKCJA"),Z287,IF(OR(E287="SPRZEDAŻ",E287="ZUŻYCIE"),-Z287,0)))</f>
        <v>69.52</v>
      </c>
      <c r="AD287" s="18" t="n">
        <f aca="false">IF(G287&lt;&gt;"TAK",0,IF(OR(E287="ZAKUP",E287="PRODUKCJA"),AA287,IF(OR(E287="SPRZEDAŻ",E287="ZUŻYCIE"),-AA287,0)))</f>
        <v>22.9416</v>
      </c>
      <c r="AE287" s="19" t="n">
        <f aca="false">IF(E287="ZAKUP",IF(L287&lt;&gt;"",L287,IF(K287&lt;&gt;"",Z287*K287,0)),0)</f>
        <v>0</v>
      </c>
      <c r="AF287" s="19" t="n">
        <f aca="false">IF(E287="SPRZEDAŻ",IF(M287&lt;&gt;"",Z287*M287,0),0)</f>
        <v>0</v>
      </c>
      <c r="AG287" s="19" t="str">
        <f aca="false">IF(R287="","",IF(LOWER(R287)="brak","Brak",IF(OR(ISNUMBER(SEARCH("ric pl",LOWER(R287))),ISNUMBER(SEARCH("wojciechowski",LOWER(R287)))),"Własny","Zewnętrzny")))</f>
        <v/>
      </c>
      <c r="AH287" s="19" t="n">
        <f aca="false">Z287*Q287</f>
        <v>695.2</v>
      </c>
      <c r="AI287" s="19" t="str">
        <f aca="false">UPPER(TEXT(C287,"mmmm"))</f>
        <v>AUGUST</v>
      </c>
      <c r="AJ287" s="19" t="str">
        <f aca="false">IF(C287="","",TEXT(C287,"rrrr"))</f>
        <v>CE5786CE5786</v>
      </c>
      <c r="AK287" s="10"/>
      <c r="AL287" s="11" t="n">
        <v>0</v>
      </c>
      <c r="AM287" s="10" t="s">
        <v>541</v>
      </c>
      <c r="AN287" s="10" t="s">
        <v>59</v>
      </c>
      <c r="AO287" s="10"/>
      <c r="AP287" s="10"/>
      <c r="AQ287" s="10"/>
      <c r="AR287" s="10" t="s">
        <v>66</v>
      </c>
      <c r="AS287" s="10"/>
      <c r="AT287" s="15" t="n">
        <v>1</v>
      </c>
    </row>
    <row r="288" customFormat="false" ht="28.5" hidden="false" customHeight="true" outlineLevel="0" collapsed="false">
      <c r="A288" s="12" t="n">
        <v>46238</v>
      </c>
      <c r="B288" s="12"/>
      <c r="C288" s="12" t="n">
        <v>46238</v>
      </c>
      <c r="D288" s="10" t="s">
        <v>54</v>
      </c>
      <c r="E288" s="10" t="s">
        <v>79</v>
      </c>
      <c r="F288" s="13" t="s">
        <v>540</v>
      </c>
      <c r="G288" s="14" t="s">
        <v>49</v>
      </c>
      <c r="H288" s="10" t="s">
        <v>50</v>
      </c>
      <c r="I288" s="15" t="n">
        <v>69.52</v>
      </c>
      <c r="J288" s="10" t="s">
        <v>51</v>
      </c>
      <c r="K288" s="15" t="n">
        <v>0</v>
      </c>
      <c r="L288" s="11" t="n">
        <v>0</v>
      </c>
      <c r="M288" s="11" t="n">
        <v>0</v>
      </c>
      <c r="N288" s="10" t="s">
        <v>52</v>
      </c>
      <c r="O288" s="10" t="s">
        <v>67</v>
      </c>
      <c r="P288" s="10" t="s">
        <v>53</v>
      </c>
      <c r="Q288" s="16" t="n">
        <v>10</v>
      </c>
      <c r="R288" s="10"/>
      <c r="S288" s="10"/>
      <c r="T288" s="10" t="n">
        <v>0</v>
      </c>
      <c r="U288" s="11" t="n">
        <f aca="false">IF(E288="TRANSPORT",IF(T288="","",T288*5),IF(AL288="","",AL288))</f>
        <v>0</v>
      </c>
      <c r="V288" s="10" t="s">
        <v>54</v>
      </c>
      <c r="W288" s="15" t="s">
        <v>260</v>
      </c>
      <c r="X288" s="15"/>
      <c r="Y288" s="17" t="n">
        <v>46244.4121643519</v>
      </c>
      <c r="Z288" s="18" t="n">
        <f aca="false">IF(I288="",0,IF(ISNUMBER(SEARCH("mp",LOWER(J288))),I288,IF(ISNUMBER(SEARCH("ton",LOWER(J288))),I288/0.33,IF(ISNUMBER(SEARCH("m3",LOWER(J288))),I288*4,I288))))</f>
        <v>69.52</v>
      </c>
      <c r="AA288" s="18" t="n">
        <f aca="false">IF(I288="",0,IF(ISNUMBER(SEARCH("mp",LOWER(J288))),I288*0.33,IF(ISNUMBER(SEARCH("ton",LOWER(J288))),I288,I288*0.33)))</f>
        <v>22.9416</v>
      </c>
      <c r="AB288" s="18" t="n">
        <f aca="false">Tabela_dane[[#This Row],[Wolumen_t]]*8.5</f>
        <v>195.0036</v>
      </c>
      <c r="AC288" s="18" t="n">
        <f aca="false">IF(G288&lt;&gt;"TAK",0,IF(OR(E288="ZAKUP",E288="PRODUKCJA"),Z288,IF(OR(E288="SPRZEDAŻ",E288="ZUŻYCIE"),-Z288,0)))</f>
        <v>-69.52</v>
      </c>
      <c r="AD288" s="18" t="n">
        <f aca="false">IF(G288&lt;&gt;"TAK",0,IF(OR(E288="ZAKUP",E288="PRODUKCJA"),AA288,IF(OR(E288="SPRZEDAŻ",E288="ZUŻYCIE"),-AA288,0)))</f>
        <v>-22.9416</v>
      </c>
      <c r="AE288" s="19" t="n">
        <f aca="false">IF(E288="ZAKUP",IF(L288&lt;&gt;"",L288,IF(K288&lt;&gt;"",Z288*K288,0)),0)</f>
        <v>0</v>
      </c>
      <c r="AF288" s="19" t="n">
        <f aca="false">IF(E288="SPRZEDAŻ",IF(M288&lt;&gt;"",Z288*M288,0),0)</f>
        <v>0</v>
      </c>
      <c r="AG288" s="19" t="str">
        <f aca="false">IF(R288="","",IF(LOWER(R288)="brak","Brak",IF(OR(ISNUMBER(SEARCH("ric pl",LOWER(R288))),ISNUMBER(SEARCH("wojciechowski",LOWER(R288)))),"Własny","Zewnętrzny")))</f>
        <v/>
      </c>
      <c r="AH288" s="19" t="n">
        <f aca="false">Z288*Q288</f>
        <v>695.2</v>
      </c>
      <c r="AI288" s="19" t="str">
        <f aca="false">UPPER(TEXT(C288,"mmmm"))</f>
        <v>AUGUST</v>
      </c>
      <c r="AJ288" s="19" t="str">
        <f aca="false">IF(C288="","",TEXT(C288,"rrrr"))</f>
        <v>CE5786CE5786</v>
      </c>
      <c r="AK288" s="10"/>
      <c r="AL288" s="11" t="n">
        <v>0</v>
      </c>
      <c r="AM288" s="10" t="s">
        <v>541</v>
      </c>
      <c r="AN288" s="10" t="s">
        <v>59</v>
      </c>
      <c r="AO288" s="10"/>
      <c r="AP288" s="10"/>
      <c r="AQ288" s="10"/>
      <c r="AR288" s="10" t="s">
        <v>81</v>
      </c>
      <c r="AS288" s="10"/>
      <c r="AT288" s="15" t="n">
        <v>1</v>
      </c>
    </row>
    <row r="289" customFormat="false" ht="28.5" hidden="false" customHeight="true" outlineLevel="0" collapsed="false">
      <c r="A289" s="12" t="n">
        <v>46238</v>
      </c>
      <c r="B289" s="12" t="s">
        <v>516</v>
      </c>
      <c r="C289" s="12" t="n">
        <v>46238</v>
      </c>
      <c r="D289" s="10" t="s">
        <v>54</v>
      </c>
      <c r="E289" s="10" t="s">
        <v>63</v>
      </c>
      <c r="F289" s="13" t="s">
        <v>540</v>
      </c>
      <c r="G289" s="14" t="s">
        <v>49</v>
      </c>
      <c r="H289" s="10" t="s">
        <v>50</v>
      </c>
      <c r="I289" s="15" t="n">
        <v>69.52</v>
      </c>
      <c r="J289" s="10" t="s">
        <v>51</v>
      </c>
      <c r="K289" s="15" t="n">
        <v>0</v>
      </c>
      <c r="L289" s="11" t="n">
        <v>0</v>
      </c>
      <c r="M289" s="11" t="n">
        <v>0</v>
      </c>
      <c r="N289" s="10" t="s">
        <v>52</v>
      </c>
      <c r="O289" s="10" t="s">
        <v>67</v>
      </c>
      <c r="P289" s="10"/>
      <c r="Q289" s="16" t="n">
        <v>0</v>
      </c>
      <c r="R289" s="10" t="s">
        <v>94</v>
      </c>
      <c r="S289" s="10" t="s">
        <v>95</v>
      </c>
      <c r="T289" s="10" t="n">
        <v>105</v>
      </c>
      <c r="U289" s="11" t="n">
        <f aca="false">IF(E289="TRANSPORT",IF(T289="","",T289*5),IF(AL289="","",AL289))</f>
        <v>525</v>
      </c>
      <c r="V289" s="10" t="s">
        <v>54</v>
      </c>
      <c r="W289" s="15" t="s">
        <v>65</v>
      </c>
      <c r="X289" s="15"/>
      <c r="Y289" s="17" t="n">
        <v>46244.4128703704</v>
      </c>
      <c r="Z289" s="18" t="n">
        <f aca="false">IF(I289="",0,IF(ISNUMBER(SEARCH("mp",LOWER(J289))),I289,IF(ISNUMBER(SEARCH("ton",LOWER(J289))),I289/0.33,IF(ISNUMBER(SEARCH("m3",LOWER(J289))),I289*4,I289))))</f>
        <v>69.52</v>
      </c>
      <c r="AA289" s="18" t="n">
        <f aca="false">IF(I289="",0,IF(ISNUMBER(SEARCH("mp",LOWER(J289))),I289*0.33,IF(ISNUMBER(SEARCH("ton",LOWER(J289))),I289,I289*0.33)))</f>
        <v>22.9416</v>
      </c>
      <c r="AB289" s="18" t="n">
        <f aca="false">Tabela_dane[[#This Row],[Wolumen_t]]*8.5</f>
        <v>195.0036</v>
      </c>
      <c r="AC289" s="18" t="n">
        <f aca="false">IF(G289&lt;&gt;"TAK",0,IF(OR(E289="ZAKUP",E289="PRODUKCJA"),Z289,IF(OR(E289="SPRZEDAŻ",E289="ZUŻYCIE"),-Z289,0)))</f>
        <v>69.52</v>
      </c>
      <c r="AD289" s="18" t="n">
        <f aca="false">IF(G289&lt;&gt;"TAK",0,IF(OR(E289="ZAKUP",E289="PRODUKCJA"),AA289,IF(OR(E289="SPRZEDAŻ",E289="ZUŻYCIE"),-AA289,0)))</f>
        <v>22.9416</v>
      </c>
      <c r="AE289" s="19" t="n">
        <f aca="false">IF(E289="ZAKUP",IF(L289&lt;&gt;"",L289,IF(K289&lt;&gt;"",Z289*K289,0)),0)</f>
        <v>0</v>
      </c>
      <c r="AF289" s="19" t="n">
        <f aca="false">IF(E289="SPRZEDAŻ",IF(M289&lt;&gt;"",Z289*M289,0),0)</f>
        <v>0</v>
      </c>
      <c r="AG289" s="19" t="str">
        <f aca="false">IF(R289="","",IF(LOWER(R289)="brak","Brak",IF(OR(ISNUMBER(SEARCH("ric pl",LOWER(R289))),ISNUMBER(SEARCH("wojciechowski",LOWER(R289)))),"Własny","Zewnętrzny")))</f>
        <v>Zewnętrzny</v>
      </c>
      <c r="AH289" s="19" t="n">
        <f aca="false">Z289*Q289</f>
        <v>0</v>
      </c>
      <c r="AI289" s="19" t="str">
        <f aca="false">UPPER(TEXT(C289,"mmmm"))</f>
        <v>AUGUST</v>
      </c>
      <c r="AJ289" s="19" t="str">
        <f aca="false">IF(C289="","",TEXT(C289,"rrrr"))</f>
        <v>CE5786CE5786</v>
      </c>
      <c r="AK289" s="10"/>
      <c r="AL289" s="11" t="n">
        <v>525</v>
      </c>
      <c r="AM289" s="10" t="s">
        <v>542</v>
      </c>
      <c r="AN289" s="10" t="s">
        <v>49</v>
      </c>
      <c r="AO289" s="10"/>
      <c r="AP289" s="10"/>
      <c r="AQ289" s="10"/>
      <c r="AR289" s="10" t="s">
        <v>66</v>
      </c>
      <c r="AS289" s="10"/>
      <c r="AT289" s="15" t="n">
        <v>1</v>
      </c>
    </row>
    <row r="290" customFormat="false" ht="28.5" hidden="false" customHeight="true" outlineLevel="0" collapsed="false">
      <c r="A290" s="12" t="n">
        <v>46238</v>
      </c>
      <c r="B290" s="47"/>
      <c r="C290" s="12" t="n">
        <v>46238</v>
      </c>
      <c r="D290" s="10" t="s">
        <v>511</v>
      </c>
      <c r="E290" s="10" t="s">
        <v>63</v>
      </c>
      <c r="F290" s="48" t="s">
        <v>543</v>
      </c>
      <c r="G290" s="14" t="s">
        <v>49</v>
      </c>
      <c r="H290" s="10" t="s">
        <v>50</v>
      </c>
      <c r="I290" s="15" t="n">
        <v>16.96</v>
      </c>
      <c r="J290" s="10" t="s">
        <v>77</v>
      </c>
      <c r="K290" s="15" t="n">
        <v>0</v>
      </c>
      <c r="L290" s="11" t="n">
        <v>0</v>
      </c>
      <c r="M290" s="11" t="n">
        <v>0</v>
      </c>
      <c r="N290" s="10" t="s">
        <v>64</v>
      </c>
      <c r="O290" s="10"/>
      <c r="P290" s="10"/>
      <c r="Q290" s="16"/>
      <c r="R290" s="10"/>
      <c r="S290" s="10"/>
      <c r="T290" s="10" t="n">
        <v>0</v>
      </c>
      <c r="U290" s="11" t="n">
        <f aca="false">IF(E290="TRANSPORT",IF(T290="","",T290*5),IF(AL290="","",AL290))</f>
        <v>0</v>
      </c>
      <c r="V290" s="10" t="s">
        <v>54</v>
      </c>
      <c r="W290" s="15" t="s">
        <v>544</v>
      </c>
      <c r="X290" s="15"/>
      <c r="Y290" s="17" t="n">
        <v>46267.3670833333</v>
      </c>
      <c r="Z290" s="18" t="n">
        <f aca="false">IF(I290="",0,IF(ISNUMBER(SEARCH("mp",LOWER(J290))),I290,IF(ISNUMBER(SEARCH("ton",LOWER(J290))),I290/0.33,IF(ISNUMBER(SEARCH("m3",LOWER(J290))),I290*4,I290))))</f>
        <v>67.84</v>
      </c>
      <c r="AA290" s="18" t="n">
        <f aca="false">IF(I290="",0,IF(ISNUMBER(SEARCH("mp",LOWER(J290))),I290*0.33,IF(ISNUMBER(SEARCH("ton",LOWER(J290))),I290,I290*0.33)))</f>
        <v>5.5968</v>
      </c>
      <c r="AB290" s="18" t="n">
        <f aca="false">Tabela_dane[[#This Row],[Wolumen_t]]*8.5</f>
        <v>47.5728</v>
      </c>
      <c r="AC290" s="18" t="n">
        <f aca="false">IF(G290&lt;&gt;"TAK",0,IF(OR(E290="ZAKUP",E290="PRODUKCJA"),Z290,IF(OR(E290="SPRZEDAŻ",E290="ZUŻYCIE"),-Z290,0)))</f>
        <v>67.84</v>
      </c>
      <c r="AD290" s="18" t="n">
        <f aca="false">IF(G290&lt;&gt;"TAK",0,IF(OR(E290="ZAKUP",E290="PRODUKCJA"),AA290,IF(OR(E290="SPRZEDAŻ",E290="ZUŻYCIE"),-AA290,0)))</f>
        <v>5.5968</v>
      </c>
      <c r="AE290" s="19" t="n">
        <f aca="false">IF(E290="ZAKUP",IF(L290&lt;&gt;"",L290,IF(K290&lt;&gt;"",Z290*K290,0)),0)</f>
        <v>0</v>
      </c>
      <c r="AF290" s="19" t="n">
        <f aca="false">IF(E290="SPRZEDAŻ",IF(M290&lt;&gt;"",Z290*M290,0),0)</f>
        <v>0</v>
      </c>
      <c r="AG290" s="19" t="str">
        <f aca="false">IF(R290="","",IF(LOWER(R290)="brak","Brak",IF(OR(ISNUMBER(SEARCH("ric pl",LOWER(R290))),ISNUMBER(SEARCH("wojciechowski",LOWER(R290)))),"Własny","Zewnętrzny")))</f>
        <v/>
      </c>
      <c r="AH290" s="19" t="n">
        <f aca="false">Z290*Q290</f>
        <v>0</v>
      </c>
      <c r="AI290" s="19" t="str">
        <f aca="false">UPPER(TEXT(C290,"mmmm"))</f>
        <v>AUGUST</v>
      </c>
      <c r="AJ290" s="19" t="str">
        <f aca="false">IF(C290="","",TEXT(C290,"rrrr"))</f>
        <v>CE5786CE5786</v>
      </c>
      <c r="AK290" s="10"/>
      <c r="AL290" s="11" t="n">
        <v>0</v>
      </c>
      <c r="AM290" s="10" t="s">
        <v>545</v>
      </c>
      <c r="AN290" s="10" t="s">
        <v>59</v>
      </c>
      <c r="AO290" s="10"/>
      <c r="AP290" s="10"/>
      <c r="AQ290" s="10"/>
      <c r="AR290" s="10" t="s">
        <v>66</v>
      </c>
      <c r="AS290" s="10"/>
      <c r="AT290" s="15" t="n">
        <v>1</v>
      </c>
    </row>
    <row r="291" customFormat="false" ht="28.5" hidden="false" customHeight="true" outlineLevel="0" collapsed="false">
      <c r="A291" s="12" t="n">
        <v>46238</v>
      </c>
      <c r="B291" s="47"/>
      <c r="C291" s="12" t="n">
        <v>46238</v>
      </c>
      <c r="D291" s="10" t="s">
        <v>54</v>
      </c>
      <c r="E291" s="10" t="s">
        <v>47</v>
      </c>
      <c r="F291" s="48" t="s">
        <v>546</v>
      </c>
      <c r="G291" s="14" t="s">
        <v>49</v>
      </c>
      <c r="H291" s="10" t="s">
        <v>50</v>
      </c>
      <c r="I291" s="15" t="n">
        <v>67.84</v>
      </c>
      <c r="J291" s="10" t="s">
        <v>51</v>
      </c>
      <c r="K291" s="15" t="n">
        <v>0</v>
      </c>
      <c r="L291" s="11" t="n">
        <v>0</v>
      </c>
      <c r="M291" s="11" t="n">
        <v>0</v>
      </c>
      <c r="N291" s="10" t="s">
        <v>52</v>
      </c>
      <c r="O291" s="10" t="s">
        <v>67</v>
      </c>
      <c r="P291" s="10" t="s">
        <v>53</v>
      </c>
      <c r="Q291" s="16" t="n">
        <v>10</v>
      </c>
      <c r="R291" s="10"/>
      <c r="S291" s="10"/>
      <c r="T291" s="10" t="n">
        <v>0</v>
      </c>
      <c r="U291" s="11" t="n">
        <f aca="false">IF(E291="TRANSPORT",IF(T291="","",T291*5),IF(AL291="","",AL291))</f>
        <v>0</v>
      </c>
      <c r="V291" s="10" t="s">
        <v>54</v>
      </c>
      <c r="W291" s="15" t="s">
        <v>547</v>
      </c>
      <c r="X291" s="15"/>
      <c r="Y291" s="17" t="n">
        <v>46267.3687615741</v>
      </c>
      <c r="Z291" s="18" t="n">
        <f aca="false">IF(I291="",0,IF(ISNUMBER(SEARCH("mp",LOWER(J291))),I291,IF(ISNUMBER(SEARCH("ton",LOWER(J291))),I291/0.33,IF(ISNUMBER(SEARCH("m3",LOWER(J291))),I291*4,I291))))</f>
        <v>67.84</v>
      </c>
      <c r="AA291" s="18" t="n">
        <f aca="false">IF(I291="",0,IF(ISNUMBER(SEARCH("mp",LOWER(J291))),I291*0.33,IF(ISNUMBER(SEARCH("ton",LOWER(J291))),I291,I291*0.33)))</f>
        <v>22.3872</v>
      </c>
      <c r="AB291" s="18" t="n">
        <f aca="false">Tabela_dane[[#This Row],[Wolumen_t]]*8.5</f>
        <v>190.2912</v>
      </c>
      <c r="AC291" s="18" t="n">
        <f aca="false">IF(G291&lt;&gt;"TAK",0,IF(OR(E291="ZAKUP",E291="PRODUKCJA"),Z291,IF(OR(E291="SPRZEDAŻ",E291="ZUŻYCIE"),-Z291,0)))</f>
        <v>67.84</v>
      </c>
      <c r="AD291" s="18" t="n">
        <f aca="false">IF(G291&lt;&gt;"TAK",0,IF(OR(E291="ZAKUP",E291="PRODUKCJA"),AA291,IF(OR(E291="SPRZEDAŻ",E291="ZUŻYCIE"),-AA291,0)))</f>
        <v>22.3872</v>
      </c>
      <c r="AE291" s="19" t="n">
        <f aca="false">IF(E291="ZAKUP",IF(L291&lt;&gt;"",L291,IF(K291&lt;&gt;"",Z291*K291,0)),0)</f>
        <v>0</v>
      </c>
      <c r="AF291" s="19" t="n">
        <f aca="false">IF(E291="SPRZEDAŻ",IF(M291&lt;&gt;"",Z291*M291,0),0)</f>
        <v>0</v>
      </c>
      <c r="AG291" s="19" t="str">
        <f aca="false">IF(R291="","",IF(LOWER(R291)="brak","Brak",IF(OR(ISNUMBER(SEARCH("ric pl",LOWER(R291))),ISNUMBER(SEARCH("wojciechowski",LOWER(R291)))),"Własny","Zewnętrzny")))</f>
        <v/>
      </c>
      <c r="AH291" s="19" t="n">
        <f aca="false">Z291*Q291</f>
        <v>678.4</v>
      </c>
      <c r="AI291" s="19" t="str">
        <f aca="false">UPPER(TEXT(C291,"mmmm"))</f>
        <v>AUGUST</v>
      </c>
      <c r="AJ291" s="19" t="str">
        <f aca="false">IF(C291="","",TEXT(C291,"rrrr"))</f>
        <v>CE5786CE5786</v>
      </c>
      <c r="AK291" s="10"/>
      <c r="AL291" s="11" t="n">
        <v>0</v>
      </c>
      <c r="AM291" s="10" t="s">
        <v>548</v>
      </c>
      <c r="AN291" s="10" t="s">
        <v>59</v>
      </c>
      <c r="AO291" s="10"/>
      <c r="AP291" s="10"/>
      <c r="AQ291" s="10"/>
      <c r="AR291" s="10" t="s">
        <v>66</v>
      </c>
      <c r="AS291" s="10"/>
      <c r="AT291" s="15" t="n">
        <v>1</v>
      </c>
    </row>
    <row r="292" customFormat="false" ht="28.5" hidden="false" customHeight="true" outlineLevel="0" collapsed="false">
      <c r="A292" s="12" t="n">
        <v>46238</v>
      </c>
      <c r="B292" s="47"/>
      <c r="C292" s="12" t="n">
        <v>46238</v>
      </c>
      <c r="D292" s="10" t="s">
        <v>54</v>
      </c>
      <c r="E292" s="10" t="s">
        <v>79</v>
      </c>
      <c r="F292" s="48" t="s">
        <v>546</v>
      </c>
      <c r="G292" s="14" t="s">
        <v>49</v>
      </c>
      <c r="H292" s="10" t="s">
        <v>50</v>
      </c>
      <c r="I292" s="15" t="n">
        <v>67.84</v>
      </c>
      <c r="J292" s="10" t="s">
        <v>51</v>
      </c>
      <c r="K292" s="15" t="n">
        <v>0</v>
      </c>
      <c r="L292" s="11" t="n">
        <v>0</v>
      </c>
      <c r="M292" s="11" t="n">
        <v>0</v>
      </c>
      <c r="N292" s="10" t="s">
        <v>549</v>
      </c>
      <c r="O292" s="10" t="s">
        <v>67</v>
      </c>
      <c r="P292" s="10" t="s">
        <v>53</v>
      </c>
      <c r="Q292" s="16" t="n">
        <v>10</v>
      </c>
      <c r="R292" s="10"/>
      <c r="S292" s="10"/>
      <c r="T292" s="10" t="n">
        <v>0</v>
      </c>
      <c r="U292" s="11" t="n">
        <f aca="false">IF(E292="TRANSPORT",IF(T292="","",T292*5),IF(AL292="","",AL292))</f>
        <v>0</v>
      </c>
      <c r="V292" s="10" t="s">
        <v>54</v>
      </c>
      <c r="W292" s="15" t="s">
        <v>260</v>
      </c>
      <c r="X292" s="15"/>
      <c r="Y292" s="17" t="n">
        <v>46267.3687731482</v>
      </c>
      <c r="Z292" s="18" t="n">
        <f aca="false">IF(I292="",0,IF(ISNUMBER(SEARCH("mp",LOWER(J292))),I292,IF(ISNUMBER(SEARCH("ton",LOWER(J292))),I292/0.33,IF(ISNUMBER(SEARCH("m3",LOWER(J292))),I292*4,I292))))</f>
        <v>67.84</v>
      </c>
      <c r="AA292" s="18" t="n">
        <f aca="false">IF(I292="",0,IF(ISNUMBER(SEARCH("mp",LOWER(J292))),I292*0.33,IF(ISNUMBER(SEARCH("ton",LOWER(J292))),I292,I292*0.33)))</f>
        <v>22.3872</v>
      </c>
      <c r="AB292" s="18" t="n">
        <f aca="false">Tabela_dane[[#This Row],[Wolumen_t]]*8.5</f>
        <v>190.2912</v>
      </c>
      <c r="AC292" s="18" t="n">
        <f aca="false">IF(G292&lt;&gt;"TAK",0,IF(OR(E292="ZAKUP",E292="PRODUKCJA"),Z292,IF(OR(E292="SPRZEDAŻ",E292="ZUŻYCIE"),-Z292,0)))</f>
        <v>-67.84</v>
      </c>
      <c r="AD292" s="18" t="n">
        <f aca="false">IF(G292&lt;&gt;"TAK",0,IF(OR(E292="ZAKUP",E292="PRODUKCJA"),AA292,IF(OR(E292="SPRZEDAŻ",E292="ZUŻYCIE"),-AA292,0)))</f>
        <v>-22.3872</v>
      </c>
      <c r="AE292" s="19" t="n">
        <f aca="false">IF(E292="ZAKUP",IF(L292&lt;&gt;"",L292,IF(K292&lt;&gt;"",Z292*K292,0)),0)</f>
        <v>0</v>
      </c>
      <c r="AF292" s="19" t="n">
        <f aca="false">IF(E292="SPRZEDAŻ",IF(M292&lt;&gt;"",Z292*M292,0),0)</f>
        <v>0</v>
      </c>
      <c r="AG292" s="19" t="str">
        <f aca="false">IF(R292="","",IF(LOWER(R292)="brak","Brak",IF(OR(ISNUMBER(SEARCH("ric pl",LOWER(R292))),ISNUMBER(SEARCH("wojciechowski",LOWER(R292)))),"Własny","Zewnętrzny")))</f>
        <v/>
      </c>
      <c r="AH292" s="19" t="n">
        <f aca="false">Z292*Q292</f>
        <v>678.4</v>
      </c>
      <c r="AI292" s="19" t="str">
        <f aca="false">UPPER(TEXT(C292,"mmmm"))</f>
        <v>AUGUST</v>
      </c>
      <c r="AJ292" s="19" t="str">
        <f aca="false">IF(C292="","",TEXT(C292,"rrrr"))</f>
        <v>CE5786CE5786</v>
      </c>
      <c r="AK292" s="10"/>
      <c r="AL292" s="11" t="n">
        <v>0</v>
      </c>
      <c r="AM292" s="10" t="s">
        <v>548</v>
      </c>
      <c r="AN292" s="10" t="s">
        <v>59</v>
      </c>
      <c r="AO292" s="10"/>
      <c r="AP292" s="10"/>
      <c r="AQ292" s="10"/>
      <c r="AR292" s="10" t="s">
        <v>81</v>
      </c>
      <c r="AS292" s="10"/>
      <c r="AT292" s="15" t="n">
        <v>1</v>
      </c>
    </row>
    <row r="293" customFormat="false" ht="28.5" hidden="false" customHeight="true" outlineLevel="0" collapsed="false">
      <c r="A293" s="12" t="n">
        <v>46238</v>
      </c>
      <c r="B293" s="47" t="s">
        <v>516</v>
      </c>
      <c r="C293" s="12" t="n">
        <v>46238</v>
      </c>
      <c r="D293" s="10" t="s">
        <v>54</v>
      </c>
      <c r="E293" s="10" t="s">
        <v>63</v>
      </c>
      <c r="F293" s="48" t="s">
        <v>546</v>
      </c>
      <c r="G293" s="14" t="s">
        <v>49</v>
      </c>
      <c r="H293" s="10" t="s">
        <v>50</v>
      </c>
      <c r="I293" s="15" t="n">
        <v>67.84</v>
      </c>
      <c r="J293" s="10" t="s">
        <v>51</v>
      </c>
      <c r="K293" s="15" t="n">
        <v>0</v>
      </c>
      <c r="L293" s="11" t="n">
        <v>0</v>
      </c>
      <c r="M293" s="11" t="n">
        <v>0</v>
      </c>
      <c r="N293" s="10" t="s">
        <v>52</v>
      </c>
      <c r="O293" s="10" t="s">
        <v>67</v>
      </c>
      <c r="P293" s="10"/>
      <c r="Q293" s="16" t="n">
        <v>0</v>
      </c>
      <c r="R293" s="10" t="s">
        <v>550</v>
      </c>
      <c r="S293" s="10" t="s">
        <v>551</v>
      </c>
      <c r="T293" s="10" t="n">
        <v>105</v>
      </c>
      <c r="U293" s="11" t="n">
        <f aca="false">IF(E293="TRANSPORT",IF(T293="","",T293*5),IF(AL293="","",AL293))</f>
        <v>525</v>
      </c>
      <c r="V293" s="10" t="s">
        <v>54</v>
      </c>
      <c r="W293" s="15" t="s">
        <v>547</v>
      </c>
      <c r="X293" s="15"/>
      <c r="Y293" s="17" t="n">
        <v>46267.3699884259</v>
      </c>
      <c r="Z293" s="18" t="n">
        <f aca="false">IF(I293="",0,IF(ISNUMBER(SEARCH("mp",LOWER(J293))),I293,IF(ISNUMBER(SEARCH("ton",LOWER(J293))),I293/0.33,IF(ISNUMBER(SEARCH("m3",LOWER(J293))),I293*4,I293))))</f>
        <v>67.84</v>
      </c>
      <c r="AA293" s="18" t="n">
        <f aca="false">IF(I293="",0,IF(ISNUMBER(SEARCH("mp",LOWER(J293))),I293*0.33,IF(ISNUMBER(SEARCH("ton",LOWER(J293))),I293,I293*0.33)))</f>
        <v>22.3872</v>
      </c>
      <c r="AB293" s="18" t="n">
        <f aca="false">Tabela_dane[[#This Row],[Wolumen_t]]*8.5</f>
        <v>190.2912</v>
      </c>
      <c r="AC293" s="18" t="n">
        <f aca="false">IF(G293&lt;&gt;"TAK",0,IF(OR(E293="ZAKUP",E293="PRODUKCJA"),Z293,IF(OR(E293="SPRZEDAŻ",E293="ZUŻYCIE"),-Z293,0)))</f>
        <v>67.84</v>
      </c>
      <c r="AD293" s="18" t="n">
        <f aca="false">IF(G293&lt;&gt;"TAK",0,IF(OR(E293="ZAKUP",E293="PRODUKCJA"),AA293,IF(OR(E293="SPRZEDAŻ",E293="ZUŻYCIE"),-AA293,0)))</f>
        <v>22.3872</v>
      </c>
      <c r="AE293" s="19" t="n">
        <f aca="false">IF(E293="ZAKUP",IF(L293&lt;&gt;"",L293,IF(K293&lt;&gt;"",Z293*K293,0)),0)</f>
        <v>0</v>
      </c>
      <c r="AF293" s="19" t="n">
        <f aca="false">IF(E293="SPRZEDAŻ",IF(M293&lt;&gt;"",Z293*M293,0),0)</f>
        <v>0</v>
      </c>
      <c r="AG293" s="19" t="str">
        <f aca="false">IF(R293="","",IF(LOWER(R293)="brak","Brak",IF(OR(ISNUMBER(SEARCH("ric pl",LOWER(R293))),ISNUMBER(SEARCH("wojciechowski",LOWER(R293)))),"Własny","Zewnętrzny")))</f>
        <v>Własny</v>
      </c>
      <c r="AH293" s="19" t="n">
        <f aca="false">Z293*Q293</f>
        <v>0</v>
      </c>
      <c r="AI293" s="19" t="str">
        <f aca="false">UPPER(TEXT(C293,"mmmm"))</f>
        <v>AUGUST</v>
      </c>
      <c r="AJ293" s="19" t="str">
        <f aca="false">IF(C293="","",TEXT(C293,"rrrr"))</f>
        <v>CE5786CE5786</v>
      </c>
      <c r="AK293" s="10"/>
      <c r="AL293" s="11" t="n">
        <v>525</v>
      </c>
      <c r="AM293" s="10" t="s">
        <v>552</v>
      </c>
      <c r="AN293" s="10" t="s">
        <v>49</v>
      </c>
      <c r="AO293" s="10"/>
      <c r="AP293" s="10"/>
      <c r="AQ293" s="10"/>
      <c r="AR293" s="10" t="s">
        <v>66</v>
      </c>
      <c r="AS293" s="10"/>
      <c r="AT293" s="15" t="n">
        <v>1</v>
      </c>
    </row>
    <row r="294" customFormat="false" ht="28.5" hidden="false" customHeight="true" outlineLevel="0" collapsed="false">
      <c r="A294" s="12" t="n">
        <v>46239</v>
      </c>
      <c r="B294" s="12"/>
      <c r="C294" s="12" t="n">
        <v>46239</v>
      </c>
      <c r="D294" s="10" t="s">
        <v>46</v>
      </c>
      <c r="E294" s="10" t="s">
        <v>63</v>
      </c>
      <c r="F294" s="20" t="s">
        <v>553</v>
      </c>
      <c r="G294" s="14" t="s">
        <v>49</v>
      </c>
      <c r="H294" s="10" t="s">
        <v>76</v>
      </c>
      <c r="I294" s="15" t="n">
        <v>28.15</v>
      </c>
      <c r="J294" s="10" t="s">
        <v>77</v>
      </c>
      <c r="K294" s="15" t="n">
        <v>230</v>
      </c>
      <c r="L294" s="11" t="n">
        <v>6474.5</v>
      </c>
      <c r="M294" s="11" t="n">
        <v>0</v>
      </c>
      <c r="N294" s="10" t="s">
        <v>64</v>
      </c>
      <c r="O294" s="10"/>
      <c r="P294" s="10"/>
      <c r="Q294" s="16" t="n">
        <v>0</v>
      </c>
      <c r="R294" s="10"/>
      <c r="S294" s="10"/>
      <c r="T294" s="10" t="n">
        <v>0</v>
      </c>
      <c r="U294" s="11" t="n">
        <f aca="false">IF(E294="TRANSPORT",IF(T294="","",T294*5),IF(AL294="","",AL294))</f>
        <v>0</v>
      </c>
      <c r="V294" s="10" t="s">
        <v>54</v>
      </c>
      <c r="W294" s="15" t="s">
        <v>302</v>
      </c>
      <c r="X294" s="15"/>
      <c r="Y294" s="17" t="n">
        <v>46244.3821180556</v>
      </c>
      <c r="Z294" s="18" t="n">
        <f aca="false">IF(I294="",0,IF(ISNUMBER(SEARCH("mp",LOWER(J294))),I294,IF(ISNUMBER(SEARCH("ton",LOWER(J294))),I294/0.33,IF(ISNUMBER(SEARCH("m3",LOWER(J294))),I294*4,I294))))</f>
        <v>112.6</v>
      </c>
      <c r="AA294" s="18" t="n">
        <f aca="false">IF(I294="",0,IF(ISNUMBER(SEARCH("mp",LOWER(J294))),I294*0.33,IF(ISNUMBER(SEARCH("ton",LOWER(J294))),I294,I294*0.33)))</f>
        <v>9.2895</v>
      </c>
      <c r="AB294" s="18" t="n">
        <f aca="false">Tabela_dane[[#This Row],[Wolumen_t]]*8.5</f>
        <v>78.96075</v>
      </c>
      <c r="AC294" s="18" t="n">
        <f aca="false">IF(G294&lt;&gt;"TAK",0,IF(OR(E294="ZAKUP",E294="PRODUKCJA"),Z294,IF(OR(E294="SPRZEDAŻ",E294="ZUŻYCIE"),-Z294,0)))</f>
        <v>112.6</v>
      </c>
      <c r="AD294" s="18" t="n">
        <f aca="false">IF(G294&lt;&gt;"TAK",0,IF(OR(E294="ZAKUP",E294="PRODUKCJA"),AA294,IF(OR(E294="SPRZEDAŻ",E294="ZUŻYCIE"),-AA294,0)))</f>
        <v>9.2895</v>
      </c>
      <c r="AE294" s="19" t="n">
        <f aca="false">IF(E294="ZAKUP",IF(L294&lt;&gt;"",L294,IF(K294&lt;&gt;"",Z294*K294,0)),0)</f>
        <v>6474.5</v>
      </c>
      <c r="AF294" s="19" t="n">
        <f aca="false">IF(E294="SPRZEDAŻ",IF(M294&lt;&gt;"",Z294*M294,0),0)</f>
        <v>0</v>
      </c>
      <c r="AG294" s="19" t="str">
        <f aca="false">IF(R294="","",IF(LOWER(R294)="brak","Brak",IF(OR(ISNUMBER(SEARCH("ric pl",LOWER(R294))),ISNUMBER(SEARCH("wojciechowski",LOWER(R294)))),"Własny","Zewnętrzny")))</f>
        <v/>
      </c>
      <c r="AH294" s="19" t="n">
        <f aca="false">Z294*Q294</f>
        <v>0</v>
      </c>
      <c r="AI294" s="19" t="str">
        <f aca="false">UPPER(TEXT(C294,"mmmm"))</f>
        <v>AUGUST</v>
      </c>
      <c r="AJ294" s="19" t="str">
        <f aca="false">IF(C294="","",TEXT(C294,"rrrr"))</f>
        <v>CE5786CE5786</v>
      </c>
      <c r="AK294" s="10"/>
      <c r="AL294" s="11" t="n">
        <v>0</v>
      </c>
      <c r="AM294" s="10" t="s">
        <v>554</v>
      </c>
      <c r="AN294" s="10" t="s">
        <v>59</v>
      </c>
      <c r="AO294" s="10"/>
      <c r="AP294" s="10"/>
      <c r="AQ294" s="10"/>
      <c r="AR294" s="10" t="s">
        <v>66</v>
      </c>
      <c r="AS294" s="10"/>
      <c r="AT294" s="15" t="n">
        <v>1</v>
      </c>
    </row>
    <row r="295" customFormat="false" ht="28.5" hidden="false" customHeight="true" outlineLevel="0" collapsed="false">
      <c r="A295" s="12" t="n">
        <v>46239</v>
      </c>
      <c r="B295" s="12"/>
      <c r="C295" s="12" t="n">
        <v>46239</v>
      </c>
      <c r="D295" s="10" t="s">
        <v>46</v>
      </c>
      <c r="E295" s="10" t="s">
        <v>63</v>
      </c>
      <c r="F295" s="20" t="s">
        <v>555</v>
      </c>
      <c r="G295" s="14" t="s">
        <v>49</v>
      </c>
      <c r="H295" s="10" t="s">
        <v>76</v>
      </c>
      <c r="I295" s="15" t="n">
        <v>29.82</v>
      </c>
      <c r="J295" s="10" t="s">
        <v>77</v>
      </c>
      <c r="K295" s="15" t="n">
        <v>230</v>
      </c>
      <c r="L295" s="11" t="n">
        <v>6858.6</v>
      </c>
      <c r="M295" s="11" t="n">
        <v>0</v>
      </c>
      <c r="N295" s="10" t="s">
        <v>64</v>
      </c>
      <c r="O295" s="10"/>
      <c r="P295" s="10"/>
      <c r="Q295" s="16" t="n">
        <v>0</v>
      </c>
      <c r="R295" s="10"/>
      <c r="S295" s="10"/>
      <c r="T295" s="10" t="n">
        <v>0</v>
      </c>
      <c r="U295" s="11" t="n">
        <f aca="false">IF(E295="TRANSPORT",IF(T295="","",T295*5),IF(AL295="","",AL295))</f>
        <v>0</v>
      </c>
      <c r="V295" s="10" t="s">
        <v>54</v>
      </c>
      <c r="W295" s="15" t="s">
        <v>242</v>
      </c>
      <c r="X295" s="15"/>
      <c r="Y295" s="17" t="n">
        <v>46244.3832638889</v>
      </c>
      <c r="Z295" s="18" t="n">
        <f aca="false">IF(I295="",0,IF(ISNUMBER(SEARCH("mp",LOWER(J295))),I295,IF(ISNUMBER(SEARCH("ton",LOWER(J295))),I295/0.33,IF(ISNUMBER(SEARCH("m3",LOWER(J295))),I295*4,I295))))</f>
        <v>119.28</v>
      </c>
      <c r="AA295" s="18" t="n">
        <f aca="false">IF(I295="",0,IF(ISNUMBER(SEARCH("mp",LOWER(J295))),I295*0.33,IF(ISNUMBER(SEARCH("ton",LOWER(J295))),I295,I295*0.33)))</f>
        <v>9.8406</v>
      </c>
      <c r="AB295" s="18" t="n">
        <f aca="false">Tabela_dane[[#This Row],[Wolumen_t]]*8.5</f>
        <v>83.6451</v>
      </c>
      <c r="AC295" s="18" t="n">
        <f aca="false">IF(G295&lt;&gt;"TAK",0,IF(OR(E295="ZAKUP",E295="PRODUKCJA"),Z295,IF(OR(E295="SPRZEDAŻ",E295="ZUŻYCIE"),-Z295,0)))</f>
        <v>119.28</v>
      </c>
      <c r="AD295" s="18" t="n">
        <f aca="false">IF(G295&lt;&gt;"TAK",0,IF(OR(E295="ZAKUP",E295="PRODUKCJA"),AA295,IF(OR(E295="SPRZEDAŻ",E295="ZUŻYCIE"),-AA295,0)))</f>
        <v>9.8406</v>
      </c>
      <c r="AE295" s="19" t="n">
        <f aca="false">IF(E295="ZAKUP",IF(L295&lt;&gt;"",L295,IF(K295&lt;&gt;"",Z295*K295,0)),0)</f>
        <v>6858.6</v>
      </c>
      <c r="AF295" s="19" t="n">
        <f aca="false">IF(E295="SPRZEDAŻ",IF(M295&lt;&gt;"",Z295*M295,0),0)</f>
        <v>0</v>
      </c>
      <c r="AG295" s="19" t="str">
        <f aca="false">IF(R295="","",IF(LOWER(R295)="brak","Brak",IF(OR(ISNUMBER(SEARCH("ric pl",LOWER(R295))),ISNUMBER(SEARCH("wojciechowski",LOWER(R295)))),"Własny","Zewnętrzny")))</f>
        <v/>
      </c>
      <c r="AH295" s="19" t="n">
        <f aca="false">Z295*Q295</f>
        <v>0</v>
      </c>
      <c r="AI295" s="19" t="str">
        <f aca="false">UPPER(TEXT(C295,"mmmm"))</f>
        <v>AUGUST</v>
      </c>
      <c r="AJ295" s="19" t="str">
        <f aca="false">IF(C295="","",TEXT(C295,"rrrr"))</f>
        <v>CE5786CE5786</v>
      </c>
      <c r="AK295" s="10"/>
      <c r="AL295" s="11" t="n">
        <v>0</v>
      </c>
      <c r="AM295" s="10" t="s">
        <v>556</v>
      </c>
      <c r="AN295" s="10" t="s">
        <v>59</v>
      </c>
      <c r="AO295" s="10"/>
      <c r="AP295" s="10"/>
      <c r="AQ295" s="10"/>
      <c r="AR295" s="10" t="s">
        <v>66</v>
      </c>
      <c r="AS295" s="10"/>
      <c r="AT295" s="15" t="n">
        <v>1</v>
      </c>
    </row>
    <row r="296" customFormat="false" ht="28.5" hidden="false" customHeight="true" outlineLevel="0" collapsed="false">
      <c r="A296" s="12" t="n">
        <v>46239</v>
      </c>
      <c r="B296" s="12" t="s">
        <v>54</v>
      </c>
      <c r="C296" s="12" t="n">
        <v>46239</v>
      </c>
      <c r="D296" s="10" t="s">
        <v>54</v>
      </c>
      <c r="E296" s="10" t="s">
        <v>107</v>
      </c>
      <c r="F296" s="22" t="s">
        <v>557</v>
      </c>
      <c r="G296" s="14" t="s">
        <v>49</v>
      </c>
      <c r="H296" s="10"/>
      <c r="I296" s="15" t="n">
        <v>90</v>
      </c>
      <c r="J296" s="10" t="s">
        <v>51</v>
      </c>
      <c r="K296" s="15" t="n">
        <v>0</v>
      </c>
      <c r="L296" s="11" t="n">
        <v>0</v>
      </c>
      <c r="M296" s="11" t="n">
        <v>0</v>
      </c>
      <c r="N296" s="10" t="s">
        <v>52</v>
      </c>
      <c r="O296" s="10" t="s">
        <v>67</v>
      </c>
      <c r="P296" s="10"/>
      <c r="Q296" s="16" t="n">
        <v>0</v>
      </c>
      <c r="R296" s="10" t="s">
        <v>94</v>
      </c>
      <c r="S296" s="10" t="s">
        <v>95</v>
      </c>
      <c r="T296" s="10" t="n">
        <v>40</v>
      </c>
      <c r="U296" s="11" t="n">
        <f aca="false">IF(E296="TRANSPORT",IF(T296="","",T296*5),IF(AL296="","",AL296))</f>
        <v>200</v>
      </c>
      <c r="V296" s="10" t="s">
        <v>106</v>
      </c>
      <c r="W296" s="15" t="s">
        <v>70</v>
      </c>
      <c r="X296" s="15" t="s">
        <v>54</v>
      </c>
      <c r="Y296" s="17" t="n">
        <v>46244.4162152778</v>
      </c>
      <c r="Z296" s="18" t="n">
        <f aca="false">IF(I296="",0,IF(ISNUMBER(SEARCH("mp",LOWER(J296))),I296,IF(ISNUMBER(SEARCH("ton",LOWER(J296))),I296/0.33,IF(ISNUMBER(SEARCH("m3",LOWER(J296))),I296*4,I296))))</f>
        <v>90</v>
      </c>
      <c r="AA296" s="18" t="n">
        <f aca="false">IF(I296="",0,IF(ISNUMBER(SEARCH("mp",LOWER(J296))),I296*0.33,IF(ISNUMBER(SEARCH("ton",LOWER(J296))),I296,I296*0.33)))</f>
        <v>29.7</v>
      </c>
      <c r="AB296" s="18" t="n">
        <f aca="false">Tabela_dane[[#This Row],[Wolumen_t]]*8.5</f>
        <v>252.45</v>
      </c>
      <c r="AC296" s="18" t="n">
        <f aca="false">IF(G296&lt;&gt;"TAK",0,IF(OR(E296="ZAKUP",E296="PRODUKCJA"),Z296,IF(OR(E296="SPRZEDAŻ",E296="ZUŻYCIE"),-Z296,0)))</f>
        <v>0</v>
      </c>
      <c r="AD296" s="18" t="n">
        <f aca="false">IF(G296&lt;&gt;"TAK",0,IF(OR(E296="ZAKUP",E296="PRODUKCJA"),AA296,IF(OR(E296="SPRZEDAŻ",E296="ZUŻYCIE"),-AA296,0)))</f>
        <v>0</v>
      </c>
      <c r="AE296" s="19" t="n">
        <f aca="false">IF(E296="ZAKUP",IF(L296&lt;&gt;"",L296,IF(K296&lt;&gt;"",Z296*K296,0)),0)</f>
        <v>0</v>
      </c>
      <c r="AF296" s="19" t="n">
        <f aca="false">IF(E296="SPRZEDAŻ",IF(M296&lt;&gt;"",Z296*M296,0),0)</f>
        <v>0</v>
      </c>
      <c r="AG296" s="19" t="str">
        <f aca="false">IF(R296="","",IF(LOWER(R296)="brak","Brak",IF(OR(ISNUMBER(SEARCH("ric pl",LOWER(R296))),ISNUMBER(SEARCH("wojciechowski",LOWER(R296)))),"Własny","Zewnętrzny")))</f>
        <v>Zewnętrzny</v>
      </c>
      <c r="AH296" s="19" t="n">
        <f aca="false">Z296*Q296</f>
        <v>0</v>
      </c>
      <c r="AI296" s="19" t="str">
        <f aca="false">UPPER(TEXT(C296,"mmmm"))</f>
        <v>AUGUST</v>
      </c>
      <c r="AJ296" s="19" t="str">
        <f aca="false">IF(C296="","",TEXT(C296,"rrrr"))</f>
        <v>CE5786CE5786</v>
      </c>
      <c r="AK296" s="10"/>
      <c r="AL296" s="11" t="n">
        <v>200</v>
      </c>
      <c r="AM296" s="10" t="s">
        <v>558</v>
      </c>
      <c r="AN296" s="10" t="s">
        <v>49</v>
      </c>
      <c r="AO296" s="10"/>
      <c r="AP296" s="10"/>
      <c r="AQ296" s="10"/>
      <c r="AR296" s="10" t="s">
        <v>66</v>
      </c>
      <c r="AS296" s="10"/>
      <c r="AT296" s="15" t="n">
        <v>1</v>
      </c>
    </row>
    <row r="297" customFormat="false" ht="28.5" hidden="false" customHeight="true" outlineLevel="0" collapsed="false">
      <c r="A297" s="12" t="n">
        <v>46239</v>
      </c>
      <c r="B297" s="12" t="s">
        <v>106</v>
      </c>
      <c r="C297" s="12" t="n">
        <v>46239</v>
      </c>
      <c r="D297" s="10" t="s">
        <v>106</v>
      </c>
      <c r="E297" s="10" t="s">
        <v>559</v>
      </c>
      <c r="F297" s="49" t="s">
        <v>560</v>
      </c>
      <c r="G297" s="14" t="s">
        <v>49</v>
      </c>
      <c r="H297" s="10" t="s">
        <v>76</v>
      </c>
      <c r="I297" s="15" t="n">
        <v>90</v>
      </c>
      <c r="J297" s="10" t="s">
        <v>51</v>
      </c>
      <c r="K297" s="15" t="n">
        <v>0</v>
      </c>
      <c r="L297" s="11" t="n">
        <v>0</v>
      </c>
      <c r="M297" s="11" t="n">
        <v>0</v>
      </c>
      <c r="N297" s="10" t="s">
        <v>52</v>
      </c>
      <c r="O297" s="10" t="s">
        <v>67</v>
      </c>
      <c r="P297" s="10"/>
      <c r="Q297" s="16" t="n">
        <v>0</v>
      </c>
      <c r="R297" s="10" t="s">
        <v>94</v>
      </c>
      <c r="S297" s="10" t="s">
        <v>95</v>
      </c>
      <c r="T297" s="10" t="n">
        <v>107</v>
      </c>
      <c r="U297" s="11" t="n">
        <f aca="false">IF(E297="TRANSPORT",IF(T297="","",T297*5),IF(AL297="","",AL297))</f>
        <v>535</v>
      </c>
      <c r="V297" s="10" t="s">
        <v>561</v>
      </c>
      <c r="W297" s="15" t="s">
        <v>70</v>
      </c>
      <c r="X297" s="15"/>
      <c r="Y297" s="17" t="n">
        <v>46244.4189699074</v>
      </c>
      <c r="Z297" s="18" t="n">
        <f aca="false">IF(I297="",0,IF(ISNUMBER(SEARCH("mp",LOWER(J297))),I297,IF(ISNUMBER(SEARCH("ton",LOWER(J297))),I297/0.33,IF(ISNUMBER(SEARCH("m3",LOWER(J297))),I297*4,I297))))</f>
        <v>90</v>
      </c>
      <c r="AA297" s="18" t="n">
        <f aca="false">IF(I297="",0,IF(ISNUMBER(SEARCH("mp",LOWER(J297))),I297*0.33,IF(ISNUMBER(SEARCH("ton",LOWER(J297))),I297,I297*0.33)))</f>
        <v>29.7</v>
      </c>
      <c r="AB297" s="18" t="n">
        <f aca="false">Tabela_dane[[#This Row],[Wolumen_t]]*8.5</f>
        <v>252.45</v>
      </c>
      <c r="AC297" s="18" t="n">
        <f aca="false">IF(G297&lt;&gt;"TAK",0,IF(OR(E297="ZAKUP",E297="PRODUKCJA"),Z297,IF(OR(E297="SPRZEDAŻ",E297="ZUŻYCIE"),-Z297,0)))</f>
        <v>-90</v>
      </c>
      <c r="AD297" s="18" t="n">
        <f aca="false">IF(G297&lt;&gt;"TAK",0,IF(OR(E297="ZAKUP",E297="PRODUKCJA"),AA297,IF(OR(E297="SPRZEDAŻ",E297="ZUŻYCIE"),-AA297,0)))</f>
        <v>-29.7</v>
      </c>
      <c r="AE297" s="19" t="n">
        <f aca="false">IF(E297="ZAKUP",IF(L297&lt;&gt;"",L297,IF(K297&lt;&gt;"",Z297*K297,0)),0)</f>
        <v>0</v>
      </c>
      <c r="AF297" s="19" t="n">
        <f aca="false">IF(E297="SPRZEDAŻ",IF(M297&lt;&gt;"",Z297*M297,0),0)</f>
        <v>0</v>
      </c>
      <c r="AG297" s="19" t="str">
        <f aca="false">IF(R297="","",IF(LOWER(R297)="brak","Brak",IF(OR(ISNUMBER(SEARCH("ric pl",LOWER(R297))),ISNUMBER(SEARCH("wojciechowski",LOWER(R297)))),"Własny","Zewnętrzny")))</f>
        <v>Zewnętrzny</v>
      </c>
      <c r="AH297" s="19" t="n">
        <f aca="false">Z297*Q297</f>
        <v>0</v>
      </c>
      <c r="AI297" s="19" t="str">
        <f aca="false">UPPER(TEXT(C297,"mmmm"))</f>
        <v>AUGUST</v>
      </c>
      <c r="AJ297" s="19" t="str">
        <f aca="false">IF(C297="","",TEXT(C297,"rrrr"))</f>
        <v>CE5786CE5786</v>
      </c>
      <c r="AK297" s="10"/>
      <c r="AL297" s="11" t="n">
        <v>535</v>
      </c>
      <c r="AM297" s="10" t="s">
        <v>562</v>
      </c>
      <c r="AN297" s="10" t="s">
        <v>49</v>
      </c>
      <c r="AO297" s="10"/>
      <c r="AP297" s="10"/>
      <c r="AQ297" s="10"/>
      <c r="AR297" s="10" t="s">
        <v>66</v>
      </c>
      <c r="AS297" s="10"/>
      <c r="AT297" s="15" t="n">
        <v>1</v>
      </c>
    </row>
    <row r="298" customFormat="false" ht="28.5" hidden="false" customHeight="true" outlineLevel="0" collapsed="false">
      <c r="A298" s="12" t="n">
        <v>46239</v>
      </c>
      <c r="B298" s="12" t="s">
        <v>54</v>
      </c>
      <c r="C298" s="12" t="n">
        <v>46239</v>
      </c>
      <c r="D298" s="10" t="s">
        <v>54</v>
      </c>
      <c r="E298" s="10" t="s">
        <v>107</v>
      </c>
      <c r="F298" s="22" t="s">
        <v>563</v>
      </c>
      <c r="G298" s="14" t="s">
        <v>49</v>
      </c>
      <c r="H298" s="10"/>
      <c r="I298" s="15" t="n">
        <v>90</v>
      </c>
      <c r="J298" s="10" t="s">
        <v>51</v>
      </c>
      <c r="K298" s="15" t="n">
        <v>0</v>
      </c>
      <c r="L298" s="11" t="n">
        <v>0</v>
      </c>
      <c r="M298" s="11" t="n">
        <v>0</v>
      </c>
      <c r="N298" s="10" t="s">
        <v>52</v>
      </c>
      <c r="O298" s="10" t="s">
        <v>67</v>
      </c>
      <c r="P298" s="10"/>
      <c r="Q298" s="16" t="n">
        <v>0</v>
      </c>
      <c r="R298" s="10" t="s">
        <v>68</v>
      </c>
      <c r="S298" s="10" t="s">
        <v>69</v>
      </c>
      <c r="T298" s="10" t="n">
        <v>40</v>
      </c>
      <c r="U298" s="11" t="n">
        <f aca="false">IF(E298="TRANSPORT",IF(T298="","",T298*5),IF(AL298="","",AL298))</f>
        <v>200</v>
      </c>
      <c r="V298" s="10" t="s">
        <v>106</v>
      </c>
      <c r="W298" s="15" t="s">
        <v>70</v>
      </c>
      <c r="X298" s="15" t="s">
        <v>54</v>
      </c>
      <c r="Y298" s="17" t="n">
        <v>46244.4205671296</v>
      </c>
      <c r="Z298" s="18" t="n">
        <f aca="false">IF(I298="",0,IF(ISNUMBER(SEARCH("mp",LOWER(J298))),I298,IF(ISNUMBER(SEARCH("ton",LOWER(J298))),I298/0.33,IF(ISNUMBER(SEARCH("m3",LOWER(J298))),I298*4,I298))))</f>
        <v>90</v>
      </c>
      <c r="AA298" s="18" t="n">
        <f aca="false">IF(I298="",0,IF(ISNUMBER(SEARCH("mp",LOWER(J298))),I298*0.33,IF(ISNUMBER(SEARCH("ton",LOWER(J298))),I298,I298*0.33)))</f>
        <v>29.7</v>
      </c>
      <c r="AB298" s="18" t="n">
        <f aca="false">Tabela_dane[[#This Row],[Wolumen_t]]*8.5</f>
        <v>252.45</v>
      </c>
      <c r="AC298" s="18" t="n">
        <f aca="false">IF(G298&lt;&gt;"TAK",0,IF(OR(E298="ZAKUP",E298="PRODUKCJA"),Z298,IF(OR(E298="SPRZEDAŻ",E298="ZUŻYCIE"),-Z298,0)))</f>
        <v>0</v>
      </c>
      <c r="AD298" s="18" t="n">
        <f aca="false">IF(G298&lt;&gt;"TAK",0,IF(OR(E298="ZAKUP",E298="PRODUKCJA"),AA298,IF(OR(E298="SPRZEDAŻ",E298="ZUŻYCIE"),-AA298,0)))</f>
        <v>0</v>
      </c>
      <c r="AE298" s="19" t="n">
        <f aca="false">IF(E298="ZAKUP",IF(L298&lt;&gt;"",L298,IF(K298&lt;&gt;"",Z298*K298,0)),0)</f>
        <v>0</v>
      </c>
      <c r="AF298" s="19" t="n">
        <f aca="false">IF(E298="SPRZEDAŻ",IF(M298&lt;&gt;"",Z298*M298,0),0)</f>
        <v>0</v>
      </c>
      <c r="AG298" s="19" t="str">
        <f aca="false">IF(R298="","",IF(LOWER(R298)="brak","Brak",IF(OR(ISNUMBER(SEARCH("ric pl",LOWER(R298))),ISNUMBER(SEARCH("wojciechowski",LOWER(R298)))),"Własny","Zewnętrzny")))</f>
        <v>Zewnętrzny</v>
      </c>
      <c r="AH298" s="19" t="n">
        <f aca="false">Z298*Q298</f>
        <v>0</v>
      </c>
      <c r="AI298" s="19" t="str">
        <f aca="false">UPPER(TEXT(C298,"mmmm"))</f>
        <v>AUGUST</v>
      </c>
      <c r="AJ298" s="19" t="str">
        <f aca="false">IF(C298="","",TEXT(C298,"rrrr"))</f>
        <v>CE5786CE5786</v>
      </c>
      <c r="AK298" s="10"/>
      <c r="AL298" s="11" t="n">
        <v>200</v>
      </c>
      <c r="AM298" s="10" t="s">
        <v>564</v>
      </c>
      <c r="AN298" s="10" t="s">
        <v>49</v>
      </c>
      <c r="AO298" s="10"/>
      <c r="AP298" s="10"/>
      <c r="AQ298" s="10"/>
      <c r="AR298" s="10" t="s">
        <v>66</v>
      </c>
      <c r="AS298" s="10"/>
      <c r="AT298" s="15" t="n">
        <v>1</v>
      </c>
    </row>
    <row r="299" customFormat="false" ht="28.5" hidden="false" customHeight="true" outlineLevel="0" collapsed="false">
      <c r="A299" s="12" t="n">
        <v>46239</v>
      </c>
      <c r="B299" s="12" t="s">
        <v>106</v>
      </c>
      <c r="C299" s="12" t="n">
        <v>46239</v>
      </c>
      <c r="D299" s="10" t="s">
        <v>106</v>
      </c>
      <c r="E299" s="10" t="s">
        <v>559</v>
      </c>
      <c r="F299" s="49" t="s">
        <v>565</v>
      </c>
      <c r="G299" s="14" t="s">
        <v>49</v>
      </c>
      <c r="H299" s="10" t="s">
        <v>76</v>
      </c>
      <c r="I299" s="15" t="n">
        <v>90</v>
      </c>
      <c r="J299" s="10" t="s">
        <v>51</v>
      </c>
      <c r="K299" s="15" t="n">
        <v>0</v>
      </c>
      <c r="L299" s="11" t="n">
        <v>0</v>
      </c>
      <c r="M299" s="11" t="n">
        <v>0</v>
      </c>
      <c r="N299" s="10" t="s">
        <v>52</v>
      </c>
      <c r="O299" s="10" t="s">
        <v>67</v>
      </c>
      <c r="P299" s="10"/>
      <c r="Q299" s="16" t="n">
        <v>0</v>
      </c>
      <c r="R299" s="10" t="s">
        <v>68</v>
      </c>
      <c r="S299" s="10" t="s">
        <v>69</v>
      </c>
      <c r="T299" s="10" t="n">
        <v>107</v>
      </c>
      <c r="U299" s="11" t="n">
        <f aca="false">IF(E299="TRANSPORT",IF(T299="","",T299*5),IF(AL299="","",AL299))</f>
        <v>535</v>
      </c>
      <c r="V299" s="10" t="s">
        <v>561</v>
      </c>
      <c r="W299" s="15" t="s">
        <v>70</v>
      </c>
      <c r="X299" s="15"/>
      <c r="Y299" s="17" t="n">
        <v>46244.4211805556</v>
      </c>
      <c r="Z299" s="18" t="n">
        <f aca="false">IF(I299="",0,IF(ISNUMBER(SEARCH("mp",LOWER(J299))),I299,IF(ISNUMBER(SEARCH("ton",LOWER(J299))),I299/0.33,IF(ISNUMBER(SEARCH("m3",LOWER(J299))),I299*4,I299))))</f>
        <v>90</v>
      </c>
      <c r="AA299" s="18" t="n">
        <f aca="false">IF(I299="",0,IF(ISNUMBER(SEARCH("mp",LOWER(J299))),I299*0.33,IF(ISNUMBER(SEARCH("ton",LOWER(J299))),I299,I299*0.33)))</f>
        <v>29.7</v>
      </c>
      <c r="AB299" s="18" t="n">
        <f aca="false">Tabela_dane[[#This Row],[Wolumen_t]]*8.5</f>
        <v>252.45</v>
      </c>
      <c r="AC299" s="18" t="n">
        <f aca="false">IF(G299&lt;&gt;"TAK",0,IF(OR(E299="ZAKUP",E299="PRODUKCJA"),Z299,IF(OR(E299="SPRZEDAŻ",E299="ZUŻYCIE"),-Z299,0)))</f>
        <v>-90</v>
      </c>
      <c r="AD299" s="18" t="n">
        <f aca="false">IF(G299&lt;&gt;"TAK",0,IF(OR(E299="ZAKUP",E299="PRODUKCJA"),AA299,IF(OR(E299="SPRZEDAŻ",E299="ZUŻYCIE"),-AA299,0)))</f>
        <v>-29.7</v>
      </c>
      <c r="AE299" s="19" t="n">
        <f aca="false">IF(E299="ZAKUP",IF(L299&lt;&gt;"",L299,IF(K299&lt;&gt;"",Z299*K299,0)),0)</f>
        <v>0</v>
      </c>
      <c r="AF299" s="19" t="n">
        <f aca="false">IF(E299="SPRZEDAŻ",IF(M299&lt;&gt;"",Z299*M299,0),0)</f>
        <v>0</v>
      </c>
      <c r="AG299" s="19" t="str">
        <f aca="false">IF(R299="","",IF(LOWER(R299)="brak","Brak",IF(OR(ISNUMBER(SEARCH("ric pl",LOWER(R299))),ISNUMBER(SEARCH("wojciechowski",LOWER(R299)))),"Własny","Zewnętrzny")))</f>
        <v>Zewnętrzny</v>
      </c>
      <c r="AH299" s="19" t="n">
        <f aca="false">Z299*Q299</f>
        <v>0</v>
      </c>
      <c r="AI299" s="19" t="str">
        <f aca="false">UPPER(TEXT(C299,"mmmm"))</f>
        <v>AUGUST</v>
      </c>
      <c r="AJ299" s="19" t="str">
        <f aca="false">IF(C299="","",TEXT(C299,"rrrr"))</f>
        <v>CE5786CE5786</v>
      </c>
      <c r="AK299" s="10"/>
      <c r="AL299" s="11" t="n">
        <v>535</v>
      </c>
      <c r="AM299" s="10" t="s">
        <v>566</v>
      </c>
      <c r="AN299" s="10" t="s">
        <v>49</v>
      </c>
      <c r="AO299" s="10"/>
      <c r="AP299" s="10"/>
      <c r="AQ299" s="10"/>
      <c r="AR299" s="10" t="s">
        <v>66</v>
      </c>
      <c r="AS299" s="10"/>
      <c r="AT299" s="15" t="n">
        <v>1</v>
      </c>
    </row>
    <row r="300" customFormat="false" ht="28.5" hidden="false" customHeight="true" outlineLevel="0" collapsed="false">
      <c r="A300" s="12" t="n">
        <v>46239</v>
      </c>
      <c r="B300" s="12" t="s">
        <v>54</v>
      </c>
      <c r="C300" s="12" t="n">
        <v>46239</v>
      </c>
      <c r="D300" s="10" t="s">
        <v>54</v>
      </c>
      <c r="E300" s="10" t="s">
        <v>107</v>
      </c>
      <c r="F300" s="22" t="s">
        <v>567</v>
      </c>
      <c r="G300" s="14" t="s">
        <v>49</v>
      </c>
      <c r="H300" s="10"/>
      <c r="I300" s="15" t="n">
        <v>90</v>
      </c>
      <c r="J300" s="10" t="s">
        <v>51</v>
      </c>
      <c r="K300" s="15" t="n">
        <v>0</v>
      </c>
      <c r="L300" s="11" t="n">
        <v>0</v>
      </c>
      <c r="M300" s="11" t="n">
        <v>0</v>
      </c>
      <c r="N300" s="10" t="s">
        <v>52</v>
      </c>
      <c r="O300" s="10" t="s">
        <v>67</v>
      </c>
      <c r="P300" s="10"/>
      <c r="Q300" s="16" t="n">
        <v>0</v>
      </c>
      <c r="R300" s="10" t="s">
        <v>182</v>
      </c>
      <c r="S300" s="10" t="s">
        <v>509</v>
      </c>
      <c r="T300" s="10" t="n">
        <v>40</v>
      </c>
      <c r="U300" s="11" t="n">
        <f aca="false">IF(E300="TRANSPORT",IF(T300="","",T300*5),IF(AL300="","",AL300))</f>
        <v>200</v>
      </c>
      <c r="V300" s="10" t="s">
        <v>106</v>
      </c>
      <c r="W300" s="15" t="s">
        <v>70</v>
      </c>
      <c r="X300" s="15" t="s">
        <v>54</v>
      </c>
      <c r="Y300" s="17" t="n">
        <v>46244.4228819445</v>
      </c>
      <c r="Z300" s="18" t="n">
        <f aca="false">IF(I300="",0,IF(ISNUMBER(SEARCH("mp",LOWER(J300))),I300,IF(ISNUMBER(SEARCH("ton",LOWER(J300))),I300/0.33,IF(ISNUMBER(SEARCH("m3",LOWER(J300))),I300*4,I300))))</f>
        <v>90</v>
      </c>
      <c r="AA300" s="18" t="n">
        <f aca="false">IF(I300="",0,IF(ISNUMBER(SEARCH("mp",LOWER(J300))),I300*0.33,IF(ISNUMBER(SEARCH("ton",LOWER(J300))),I300,I300*0.33)))</f>
        <v>29.7</v>
      </c>
      <c r="AB300" s="18" t="n">
        <f aca="false">Tabela_dane[[#This Row],[Wolumen_t]]*8.5</f>
        <v>252.45</v>
      </c>
      <c r="AC300" s="18" t="n">
        <f aca="false">IF(G300&lt;&gt;"TAK",0,IF(OR(E300="ZAKUP",E300="PRODUKCJA"),Z300,IF(OR(E300="SPRZEDAŻ",E300="ZUŻYCIE"),-Z300,0)))</f>
        <v>0</v>
      </c>
      <c r="AD300" s="18" t="n">
        <f aca="false">IF(G300&lt;&gt;"TAK",0,IF(OR(E300="ZAKUP",E300="PRODUKCJA"),AA300,IF(OR(E300="SPRZEDAŻ",E300="ZUŻYCIE"),-AA300,0)))</f>
        <v>0</v>
      </c>
      <c r="AE300" s="19" t="n">
        <f aca="false">IF(E300="ZAKUP",IF(L300&lt;&gt;"",L300,IF(K300&lt;&gt;"",Z300*K300,0)),0)</f>
        <v>0</v>
      </c>
      <c r="AF300" s="19" t="n">
        <f aca="false">IF(E300="SPRZEDAŻ",IF(M300&lt;&gt;"",Z300*M300,0),0)</f>
        <v>0</v>
      </c>
      <c r="AG300" s="19" t="str">
        <f aca="false">IF(R300="","",IF(LOWER(R300)="brak","Brak",IF(OR(ISNUMBER(SEARCH("ric pl",LOWER(R300))),ISNUMBER(SEARCH("wojciechowski",LOWER(R300)))),"Własny","Zewnętrzny")))</f>
        <v>Zewnętrzny</v>
      </c>
      <c r="AH300" s="19" t="n">
        <f aca="false">Z300*Q300</f>
        <v>0</v>
      </c>
      <c r="AI300" s="19" t="str">
        <f aca="false">UPPER(TEXT(C300,"mmmm"))</f>
        <v>AUGUST</v>
      </c>
      <c r="AJ300" s="19" t="str">
        <f aca="false">IF(C300="","",TEXT(C300,"rrrr"))</f>
        <v>CE5786CE5786</v>
      </c>
      <c r="AK300" s="10"/>
      <c r="AL300" s="11" t="n">
        <v>200</v>
      </c>
      <c r="AM300" s="10" t="s">
        <v>568</v>
      </c>
      <c r="AN300" s="10" t="s">
        <v>49</v>
      </c>
      <c r="AO300" s="10"/>
      <c r="AP300" s="10"/>
      <c r="AQ300" s="10"/>
      <c r="AR300" s="10" t="s">
        <v>66</v>
      </c>
      <c r="AS300" s="10"/>
      <c r="AT300" s="15" t="n">
        <v>1</v>
      </c>
    </row>
    <row r="301" customFormat="false" ht="28.5" hidden="false" customHeight="true" outlineLevel="0" collapsed="false">
      <c r="A301" s="12" t="n">
        <v>46239</v>
      </c>
      <c r="B301" s="12" t="s">
        <v>106</v>
      </c>
      <c r="C301" s="12" t="n">
        <v>46239</v>
      </c>
      <c r="D301" s="10" t="s">
        <v>106</v>
      </c>
      <c r="E301" s="10" t="s">
        <v>559</v>
      </c>
      <c r="F301" s="49" t="s">
        <v>569</v>
      </c>
      <c r="G301" s="14" t="s">
        <v>49</v>
      </c>
      <c r="H301" s="10" t="s">
        <v>76</v>
      </c>
      <c r="I301" s="15" t="n">
        <v>90</v>
      </c>
      <c r="J301" s="10" t="s">
        <v>51</v>
      </c>
      <c r="K301" s="15" t="n">
        <v>0</v>
      </c>
      <c r="L301" s="11" t="n">
        <v>0</v>
      </c>
      <c r="M301" s="11" t="n">
        <v>0</v>
      </c>
      <c r="N301" s="10" t="s">
        <v>52</v>
      </c>
      <c r="O301" s="10" t="s">
        <v>67</v>
      </c>
      <c r="P301" s="10"/>
      <c r="Q301" s="16" t="n">
        <v>0</v>
      </c>
      <c r="R301" s="10" t="s">
        <v>182</v>
      </c>
      <c r="S301" s="10" t="s">
        <v>509</v>
      </c>
      <c r="T301" s="10" t="n">
        <v>107</v>
      </c>
      <c r="U301" s="11" t="n">
        <f aca="false">IF(E301="TRANSPORT",IF(T301="","",T301*5),IF(AL301="","",AL301))</f>
        <v>535</v>
      </c>
      <c r="V301" s="10" t="s">
        <v>561</v>
      </c>
      <c r="W301" s="15" t="s">
        <v>70</v>
      </c>
      <c r="X301" s="15"/>
      <c r="Y301" s="17" t="n">
        <v>46244.4240625</v>
      </c>
      <c r="Z301" s="18" t="n">
        <f aca="false">IF(I301="",0,IF(ISNUMBER(SEARCH("mp",LOWER(J301))),I301,IF(ISNUMBER(SEARCH("ton",LOWER(J301))),I301/0.33,IF(ISNUMBER(SEARCH("m3",LOWER(J301))),I301*4,I301))))</f>
        <v>90</v>
      </c>
      <c r="AA301" s="18" t="n">
        <f aca="false">IF(I301="",0,IF(ISNUMBER(SEARCH("mp",LOWER(J301))),I301*0.33,IF(ISNUMBER(SEARCH("ton",LOWER(J301))),I301,I301*0.33)))</f>
        <v>29.7</v>
      </c>
      <c r="AB301" s="18" t="n">
        <f aca="false">Tabela_dane[[#This Row],[Wolumen_t]]*8.5</f>
        <v>252.45</v>
      </c>
      <c r="AC301" s="18" t="n">
        <f aca="false">IF(G301&lt;&gt;"TAK",0,IF(OR(E301="ZAKUP",E301="PRODUKCJA"),Z301,IF(OR(E301="SPRZEDAŻ",E301="ZUŻYCIE"),-Z301,0)))</f>
        <v>-90</v>
      </c>
      <c r="AD301" s="18" t="n">
        <f aca="false">IF(G301&lt;&gt;"TAK",0,IF(OR(E301="ZAKUP",E301="PRODUKCJA"),AA301,IF(OR(E301="SPRZEDAŻ",E301="ZUŻYCIE"),-AA301,0)))</f>
        <v>-29.7</v>
      </c>
      <c r="AE301" s="19" t="n">
        <f aca="false">IF(E301="ZAKUP",IF(L301&lt;&gt;"",L301,IF(K301&lt;&gt;"",Z301*K301,0)),0)</f>
        <v>0</v>
      </c>
      <c r="AF301" s="19" t="n">
        <f aca="false">IF(E301="SPRZEDAŻ",IF(M301&lt;&gt;"",Z301*M301,0),0)</f>
        <v>0</v>
      </c>
      <c r="AG301" s="19" t="str">
        <f aca="false">IF(R301="","",IF(LOWER(R301)="brak","Brak",IF(OR(ISNUMBER(SEARCH("ric pl",LOWER(R301))),ISNUMBER(SEARCH("wojciechowski",LOWER(R301)))),"Własny","Zewnętrzny")))</f>
        <v>Zewnętrzny</v>
      </c>
      <c r="AH301" s="19" t="n">
        <f aca="false">Z301*Q301</f>
        <v>0</v>
      </c>
      <c r="AI301" s="19" t="str">
        <f aca="false">UPPER(TEXT(C301,"mmmm"))</f>
        <v>AUGUST</v>
      </c>
      <c r="AJ301" s="19" t="str">
        <f aca="false">IF(C301="","",TEXT(C301,"rrrr"))</f>
        <v>CE5786CE5786</v>
      </c>
      <c r="AK301" s="10"/>
      <c r="AL301" s="11" t="n">
        <v>535</v>
      </c>
      <c r="AM301" s="10" t="s">
        <v>570</v>
      </c>
      <c r="AN301" s="10" t="s">
        <v>49</v>
      </c>
      <c r="AO301" s="10"/>
      <c r="AP301" s="10"/>
      <c r="AQ301" s="10"/>
      <c r="AR301" s="10" t="s">
        <v>66</v>
      </c>
      <c r="AS301" s="10"/>
      <c r="AT301" s="15" t="n">
        <v>1</v>
      </c>
    </row>
    <row r="302" customFormat="false" ht="28.5" hidden="false" customHeight="true" outlineLevel="0" collapsed="false">
      <c r="A302" s="12" t="n">
        <v>46239</v>
      </c>
      <c r="B302" s="12" t="s">
        <v>54</v>
      </c>
      <c r="C302" s="12" t="n">
        <v>46239</v>
      </c>
      <c r="D302" s="10" t="s">
        <v>54</v>
      </c>
      <c r="E302" s="10" t="s">
        <v>107</v>
      </c>
      <c r="F302" s="22" t="s">
        <v>571</v>
      </c>
      <c r="G302" s="14" t="s">
        <v>49</v>
      </c>
      <c r="H302" s="10"/>
      <c r="I302" s="15" t="n">
        <v>90</v>
      </c>
      <c r="J302" s="10" t="s">
        <v>51</v>
      </c>
      <c r="K302" s="15" t="n">
        <v>0</v>
      </c>
      <c r="L302" s="11" t="n">
        <v>0</v>
      </c>
      <c r="M302" s="11" t="n">
        <v>0</v>
      </c>
      <c r="N302" s="10" t="s">
        <v>52</v>
      </c>
      <c r="O302" s="10" t="s">
        <v>67</v>
      </c>
      <c r="P302" s="10"/>
      <c r="Q302" s="16" t="n">
        <v>0</v>
      </c>
      <c r="R302" s="10" t="s">
        <v>94</v>
      </c>
      <c r="S302" s="10" t="s">
        <v>95</v>
      </c>
      <c r="T302" s="10" t="n">
        <v>40</v>
      </c>
      <c r="U302" s="11" t="n">
        <f aca="false">IF(E302="TRANSPORT",IF(T302="","",T302*5),IF(AL302="","",AL302))</f>
        <v>200</v>
      </c>
      <c r="V302" s="10" t="s">
        <v>106</v>
      </c>
      <c r="W302" s="15" t="s">
        <v>65</v>
      </c>
      <c r="X302" s="15" t="s">
        <v>54</v>
      </c>
      <c r="Y302" s="17" t="n">
        <v>46244.4254398148</v>
      </c>
      <c r="Z302" s="18" t="n">
        <f aca="false">IF(I302="",0,IF(ISNUMBER(SEARCH("mp",LOWER(J302))),I302,IF(ISNUMBER(SEARCH("ton",LOWER(J302))),I302/0.33,IF(ISNUMBER(SEARCH("m3",LOWER(J302))),I302*4,I302))))</f>
        <v>90</v>
      </c>
      <c r="AA302" s="18" t="n">
        <f aca="false">IF(I302="",0,IF(ISNUMBER(SEARCH("mp",LOWER(J302))),I302*0.33,IF(ISNUMBER(SEARCH("ton",LOWER(J302))),I302,I302*0.33)))</f>
        <v>29.7</v>
      </c>
      <c r="AB302" s="18" t="n">
        <f aca="false">Tabela_dane[[#This Row],[Wolumen_t]]*8.5</f>
        <v>252.45</v>
      </c>
      <c r="AC302" s="18" t="n">
        <f aca="false">IF(G302&lt;&gt;"TAK",0,IF(OR(E302="ZAKUP",E302="PRODUKCJA"),Z302,IF(OR(E302="SPRZEDAŻ",E302="ZUŻYCIE"),-Z302,0)))</f>
        <v>0</v>
      </c>
      <c r="AD302" s="18" t="n">
        <f aca="false">IF(G302&lt;&gt;"TAK",0,IF(OR(E302="ZAKUP",E302="PRODUKCJA"),AA302,IF(OR(E302="SPRZEDAŻ",E302="ZUŻYCIE"),-AA302,0)))</f>
        <v>0</v>
      </c>
      <c r="AE302" s="19" t="n">
        <f aca="false">IF(E302="ZAKUP",IF(L302&lt;&gt;"",L302,IF(K302&lt;&gt;"",Z302*K302,0)),0)</f>
        <v>0</v>
      </c>
      <c r="AF302" s="19" t="n">
        <f aca="false">IF(E302="SPRZEDAŻ",IF(M302&lt;&gt;"",Z302*M302,0),0)</f>
        <v>0</v>
      </c>
      <c r="AG302" s="19" t="str">
        <f aca="false">IF(R302="","",IF(LOWER(R302)="brak","Brak",IF(OR(ISNUMBER(SEARCH("ric pl",LOWER(R302))),ISNUMBER(SEARCH("wojciechowski",LOWER(R302)))),"Własny","Zewnętrzny")))</f>
        <v>Zewnętrzny</v>
      </c>
      <c r="AH302" s="19" t="n">
        <f aca="false">Z302*Q302</f>
        <v>0</v>
      </c>
      <c r="AI302" s="19" t="str">
        <f aca="false">UPPER(TEXT(C302,"mmmm"))</f>
        <v>AUGUST</v>
      </c>
      <c r="AJ302" s="19" t="str">
        <f aca="false">IF(C302="","",TEXT(C302,"rrrr"))</f>
        <v>CE5786CE5786</v>
      </c>
      <c r="AK302" s="10"/>
      <c r="AL302" s="11" t="n">
        <v>200</v>
      </c>
      <c r="AM302" s="10" t="s">
        <v>572</v>
      </c>
      <c r="AN302" s="10" t="s">
        <v>49</v>
      </c>
      <c r="AO302" s="10"/>
      <c r="AP302" s="10"/>
      <c r="AQ302" s="10"/>
      <c r="AR302" s="10" t="s">
        <v>66</v>
      </c>
      <c r="AS302" s="10"/>
      <c r="AT302" s="15" t="n">
        <v>1</v>
      </c>
    </row>
    <row r="303" customFormat="false" ht="28.5" hidden="false" customHeight="true" outlineLevel="0" collapsed="false">
      <c r="A303" s="12" t="n">
        <v>46239</v>
      </c>
      <c r="B303" s="12" t="s">
        <v>106</v>
      </c>
      <c r="C303" s="12" t="n">
        <v>46239</v>
      </c>
      <c r="D303" s="10" t="s">
        <v>106</v>
      </c>
      <c r="E303" s="10" t="s">
        <v>559</v>
      </c>
      <c r="F303" s="49" t="s">
        <v>573</v>
      </c>
      <c r="G303" s="14" t="s">
        <v>49</v>
      </c>
      <c r="H303" s="10" t="s">
        <v>76</v>
      </c>
      <c r="I303" s="15" t="n">
        <v>90</v>
      </c>
      <c r="J303" s="10" t="s">
        <v>51</v>
      </c>
      <c r="K303" s="15" t="n">
        <v>0</v>
      </c>
      <c r="L303" s="11" t="n">
        <v>0</v>
      </c>
      <c r="M303" s="11" t="n">
        <v>0</v>
      </c>
      <c r="N303" s="10" t="s">
        <v>52</v>
      </c>
      <c r="O303" s="10" t="s">
        <v>67</v>
      </c>
      <c r="P303" s="10"/>
      <c r="Q303" s="16" t="n">
        <v>0</v>
      </c>
      <c r="R303" s="10" t="s">
        <v>94</v>
      </c>
      <c r="S303" s="10" t="s">
        <v>95</v>
      </c>
      <c r="T303" s="10" t="n">
        <v>107</v>
      </c>
      <c r="U303" s="11" t="n">
        <f aca="false">IF(E303="TRANSPORT",IF(T303="","",T303*5),IF(AL303="","",AL303))</f>
        <v>535</v>
      </c>
      <c r="V303" s="10" t="s">
        <v>561</v>
      </c>
      <c r="W303" s="15" t="s">
        <v>70</v>
      </c>
      <c r="X303" s="15"/>
      <c r="Y303" s="17" t="n">
        <v>46244.4264930556</v>
      </c>
      <c r="Z303" s="18" t="n">
        <f aca="false">IF(I303="",0,IF(ISNUMBER(SEARCH("mp",LOWER(J303))),I303,IF(ISNUMBER(SEARCH("ton",LOWER(J303))),I303/0.33,IF(ISNUMBER(SEARCH("m3",LOWER(J303))),I303*4,I303))))</f>
        <v>90</v>
      </c>
      <c r="AA303" s="18" t="n">
        <f aca="false">IF(I303="",0,IF(ISNUMBER(SEARCH("mp",LOWER(J303))),I303*0.33,IF(ISNUMBER(SEARCH("ton",LOWER(J303))),I303,I303*0.33)))</f>
        <v>29.7</v>
      </c>
      <c r="AB303" s="18" t="n">
        <f aca="false">Tabela_dane[[#This Row],[Wolumen_t]]*8.5</f>
        <v>252.45</v>
      </c>
      <c r="AC303" s="18" t="n">
        <f aca="false">IF(G303&lt;&gt;"TAK",0,IF(OR(E303="ZAKUP",E303="PRODUKCJA"),Z303,IF(OR(E303="SPRZEDAŻ",E303="ZUŻYCIE"),-Z303,0)))</f>
        <v>-90</v>
      </c>
      <c r="AD303" s="18" t="n">
        <f aca="false">IF(G303&lt;&gt;"TAK",0,IF(OR(E303="ZAKUP",E303="PRODUKCJA"),AA303,IF(OR(E303="SPRZEDAŻ",E303="ZUŻYCIE"),-AA303,0)))</f>
        <v>-29.7</v>
      </c>
      <c r="AE303" s="19" t="n">
        <f aca="false">IF(E303="ZAKUP",IF(L303&lt;&gt;"",L303,IF(K303&lt;&gt;"",Z303*K303,0)),0)</f>
        <v>0</v>
      </c>
      <c r="AF303" s="19" t="n">
        <f aca="false">IF(E303="SPRZEDAŻ",IF(M303&lt;&gt;"",Z303*M303,0),0)</f>
        <v>0</v>
      </c>
      <c r="AG303" s="19" t="str">
        <f aca="false">IF(R303="","",IF(LOWER(R303)="brak","Brak",IF(OR(ISNUMBER(SEARCH("ric pl",LOWER(R303))),ISNUMBER(SEARCH("wojciechowski",LOWER(R303)))),"Własny","Zewnętrzny")))</f>
        <v>Zewnętrzny</v>
      </c>
      <c r="AH303" s="19" t="n">
        <f aca="false">Z303*Q303</f>
        <v>0</v>
      </c>
      <c r="AI303" s="19" t="str">
        <f aca="false">UPPER(TEXT(C303,"mmmm"))</f>
        <v>AUGUST</v>
      </c>
      <c r="AJ303" s="19" t="str">
        <f aca="false">IF(C303="","",TEXT(C303,"rrrr"))</f>
        <v>CE5786CE5786</v>
      </c>
      <c r="AK303" s="10"/>
      <c r="AL303" s="11" t="n">
        <v>535</v>
      </c>
      <c r="AM303" s="10" t="s">
        <v>574</v>
      </c>
      <c r="AN303" s="10" t="s">
        <v>49</v>
      </c>
      <c r="AO303" s="10"/>
      <c r="AP303" s="10"/>
      <c r="AQ303" s="10"/>
      <c r="AR303" s="10" t="s">
        <v>66</v>
      </c>
      <c r="AS303" s="10"/>
      <c r="AT303" s="15" t="n">
        <v>1</v>
      </c>
    </row>
    <row r="304" customFormat="false" ht="28.5" hidden="false" customHeight="true" outlineLevel="0" collapsed="false">
      <c r="A304" s="12" t="n">
        <v>46239</v>
      </c>
      <c r="B304" s="12" t="s">
        <v>54</v>
      </c>
      <c r="C304" s="12" t="n">
        <v>46239</v>
      </c>
      <c r="D304" s="10" t="s">
        <v>54</v>
      </c>
      <c r="E304" s="10" t="s">
        <v>107</v>
      </c>
      <c r="F304" s="22" t="s">
        <v>575</v>
      </c>
      <c r="G304" s="14" t="s">
        <v>49</v>
      </c>
      <c r="H304" s="10"/>
      <c r="I304" s="15" t="n">
        <v>90</v>
      </c>
      <c r="J304" s="10" t="s">
        <v>51</v>
      </c>
      <c r="K304" s="15" t="n">
        <v>0</v>
      </c>
      <c r="L304" s="11" t="n">
        <v>0</v>
      </c>
      <c r="M304" s="11" t="n">
        <v>0</v>
      </c>
      <c r="N304" s="10" t="s">
        <v>52</v>
      </c>
      <c r="O304" s="10" t="s">
        <v>67</v>
      </c>
      <c r="P304" s="10"/>
      <c r="Q304" s="16" t="n">
        <v>0</v>
      </c>
      <c r="R304" s="10" t="s">
        <v>68</v>
      </c>
      <c r="S304" s="10" t="s">
        <v>69</v>
      </c>
      <c r="T304" s="10" t="n">
        <v>40</v>
      </c>
      <c r="U304" s="11" t="n">
        <f aca="false">IF(E304="TRANSPORT",IF(T304="","",T304*5),IF(AL304="","",AL304))</f>
        <v>200</v>
      </c>
      <c r="V304" s="10" t="s">
        <v>106</v>
      </c>
      <c r="W304" s="15" t="s">
        <v>70</v>
      </c>
      <c r="X304" s="15" t="s">
        <v>54</v>
      </c>
      <c r="Y304" s="17" t="n">
        <v>46244.4277777778</v>
      </c>
      <c r="Z304" s="18" t="n">
        <f aca="false">IF(I304="",0,IF(ISNUMBER(SEARCH("mp",LOWER(J304))),I304,IF(ISNUMBER(SEARCH("ton",LOWER(J304))),I304/0.33,IF(ISNUMBER(SEARCH("m3",LOWER(J304))),I304*4,I304))))</f>
        <v>90</v>
      </c>
      <c r="AA304" s="18" t="n">
        <f aca="false">IF(I304="",0,IF(ISNUMBER(SEARCH("mp",LOWER(J304))),I304*0.33,IF(ISNUMBER(SEARCH("ton",LOWER(J304))),I304,I304*0.33)))</f>
        <v>29.7</v>
      </c>
      <c r="AB304" s="18" t="n">
        <f aca="false">Tabela_dane[[#This Row],[Wolumen_t]]*8.5</f>
        <v>252.45</v>
      </c>
      <c r="AC304" s="18" t="n">
        <f aca="false">IF(G304&lt;&gt;"TAK",0,IF(OR(E304="ZAKUP",E304="PRODUKCJA"),Z304,IF(OR(E304="SPRZEDAŻ",E304="ZUŻYCIE"),-Z304,0)))</f>
        <v>0</v>
      </c>
      <c r="AD304" s="18" t="n">
        <f aca="false">IF(G304&lt;&gt;"TAK",0,IF(OR(E304="ZAKUP",E304="PRODUKCJA"),AA304,IF(OR(E304="SPRZEDAŻ",E304="ZUŻYCIE"),-AA304,0)))</f>
        <v>0</v>
      </c>
      <c r="AE304" s="19" t="n">
        <f aca="false">IF(E304="ZAKUP",IF(L304&lt;&gt;"",L304,IF(K304&lt;&gt;"",Z304*K304,0)),0)</f>
        <v>0</v>
      </c>
      <c r="AF304" s="19" t="n">
        <f aca="false">IF(E304="SPRZEDAŻ",IF(M304&lt;&gt;"",Z304*M304,0),0)</f>
        <v>0</v>
      </c>
      <c r="AG304" s="19" t="str">
        <f aca="false">IF(R304="","",IF(LOWER(R304)="brak","Brak",IF(OR(ISNUMBER(SEARCH("ric pl",LOWER(R304))),ISNUMBER(SEARCH("wojciechowski",LOWER(R304)))),"Własny","Zewnętrzny")))</f>
        <v>Zewnętrzny</v>
      </c>
      <c r="AH304" s="19" t="n">
        <f aca="false">Z304*Q304</f>
        <v>0</v>
      </c>
      <c r="AI304" s="19" t="str">
        <f aca="false">UPPER(TEXT(C304,"mmmm"))</f>
        <v>AUGUST</v>
      </c>
      <c r="AJ304" s="19" t="str">
        <f aca="false">IF(C304="","",TEXT(C304,"rrrr"))</f>
        <v>CE5786CE5786</v>
      </c>
      <c r="AK304" s="10"/>
      <c r="AL304" s="11" t="n">
        <v>200</v>
      </c>
      <c r="AM304" s="10" t="s">
        <v>576</v>
      </c>
      <c r="AN304" s="10" t="s">
        <v>49</v>
      </c>
      <c r="AO304" s="10"/>
      <c r="AP304" s="10"/>
      <c r="AQ304" s="10"/>
      <c r="AR304" s="10" t="s">
        <v>66</v>
      </c>
      <c r="AS304" s="10"/>
      <c r="AT304" s="15" t="n">
        <v>1</v>
      </c>
    </row>
    <row r="305" customFormat="false" ht="28.5" hidden="false" customHeight="true" outlineLevel="0" collapsed="false">
      <c r="A305" s="12" t="n">
        <v>46239</v>
      </c>
      <c r="B305" s="12" t="s">
        <v>106</v>
      </c>
      <c r="C305" s="12" t="n">
        <v>46239</v>
      </c>
      <c r="D305" s="10" t="s">
        <v>106</v>
      </c>
      <c r="E305" s="10" t="s">
        <v>559</v>
      </c>
      <c r="F305" s="49" t="s">
        <v>577</v>
      </c>
      <c r="G305" s="14" t="s">
        <v>49</v>
      </c>
      <c r="H305" s="10" t="s">
        <v>76</v>
      </c>
      <c r="I305" s="15" t="n">
        <v>90</v>
      </c>
      <c r="J305" s="10" t="s">
        <v>51</v>
      </c>
      <c r="K305" s="15" t="n">
        <v>0</v>
      </c>
      <c r="L305" s="11" t="n">
        <v>0</v>
      </c>
      <c r="M305" s="11" t="n">
        <v>0</v>
      </c>
      <c r="N305" s="10" t="s">
        <v>52</v>
      </c>
      <c r="O305" s="10" t="s">
        <v>67</v>
      </c>
      <c r="P305" s="10"/>
      <c r="Q305" s="16" t="n">
        <v>0</v>
      </c>
      <c r="R305" s="10" t="s">
        <v>68</v>
      </c>
      <c r="S305" s="10" t="s">
        <v>69</v>
      </c>
      <c r="T305" s="10" t="n">
        <v>107</v>
      </c>
      <c r="U305" s="11" t="n">
        <f aca="false">IF(E305="TRANSPORT",IF(T305="","",T305*5),IF(AL305="","",AL305))</f>
        <v>535</v>
      </c>
      <c r="V305" s="10" t="s">
        <v>561</v>
      </c>
      <c r="W305" s="15" t="s">
        <v>70</v>
      </c>
      <c r="X305" s="15"/>
      <c r="Y305" s="17" t="n">
        <v>46244.4285763889</v>
      </c>
      <c r="Z305" s="18" t="n">
        <f aca="false">IF(I305="",0,IF(ISNUMBER(SEARCH("mp",LOWER(J305))),I305,IF(ISNUMBER(SEARCH("ton",LOWER(J305))),I305/0.33,IF(ISNUMBER(SEARCH("m3",LOWER(J305))),I305*4,I305))))</f>
        <v>90</v>
      </c>
      <c r="AA305" s="18" t="n">
        <f aca="false">IF(I305="",0,IF(ISNUMBER(SEARCH("mp",LOWER(J305))),I305*0.33,IF(ISNUMBER(SEARCH("ton",LOWER(J305))),I305,I305*0.33)))</f>
        <v>29.7</v>
      </c>
      <c r="AB305" s="18" t="n">
        <f aca="false">Tabela_dane[[#This Row],[Wolumen_t]]*8.5</f>
        <v>252.45</v>
      </c>
      <c r="AC305" s="18" t="n">
        <f aca="false">IF(G305&lt;&gt;"TAK",0,IF(OR(E305="ZAKUP",E305="PRODUKCJA"),Z305,IF(OR(E305="SPRZEDAŻ",E305="ZUŻYCIE"),-Z305,0)))</f>
        <v>-90</v>
      </c>
      <c r="AD305" s="18" t="n">
        <f aca="false">IF(G305&lt;&gt;"TAK",0,IF(OR(E305="ZAKUP",E305="PRODUKCJA"),AA305,IF(OR(E305="SPRZEDAŻ",E305="ZUŻYCIE"),-AA305,0)))</f>
        <v>-29.7</v>
      </c>
      <c r="AE305" s="19" t="n">
        <f aca="false">IF(E305="ZAKUP",IF(L305&lt;&gt;"",L305,IF(K305&lt;&gt;"",Z305*K305,0)),0)</f>
        <v>0</v>
      </c>
      <c r="AF305" s="19" t="n">
        <f aca="false">IF(E305="SPRZEDAŻ",IF(M305&lt;&gt;"",Z305*M305,0),0)</f>
        <v>0</v>
      </c>
      <c r="AG305" s="19" t="str">
        <f aca="false">IF(R305="","",IF(LOWER(R305)="brak","Brak",IF(OR(ISNUMBER(SEARCH("ric pl",LOWER(R305))),ISNUMBER(SEARCH("wojciechowski",LOWER(R305)))),"Własny","Zewnętrzny")))</f>
        <v>Zewnętrzny</v>
      </c>
      <c r="AH305" s="19" t="n">
        <f aca="false">Z305*Q305</f>
        <v>0</v>
      </c>
      <c r="AI305" s="19" t="str">
        <f aca="false">UPPER(TEXT(C305,"mmmm"))</f>
        <v>AUGUST</v>
      </c>
      <c r="AJ305" s="19" t="str">
        <f aca="false">IF(C305="","",TEXT(C305,"rrrr"))</f>
        <v>CE5786CE5786</v>
      </c>
      <c r="AK305" s="10"/>
      <c r="AL305" s="11" t="n">
        <v>535</v>
      </c>
      <c r="AM305" s="10" t="s">
        <v>578</v>
      </c>
      <c r="AN305" s="10" t="s">
        <v>49</v>
      </c>
      <c r="AO305" s="10"/>
      <c r="AP305" s="10"/>
      <c r="AQ305" s="10"/>
      <c r="AR305" s="10" t="s">
        <v>66</v>
      </c>
      <c r="AS305" s="10"/>
      <c r="AT305" s="15" t="n">
        <v>1</v>
      </c>
    </row>
    <row r="306" customFormat="false" ht="28.5" hidden="false" customHeight="true" outlineLevel="0" collapsed="false">
      <c r="A306" s="12" t="n">
        <v>46239</v>
      </c>
      <c r="B306" s="12" t="s">
        <v>54</v>
      </c>
      <c r="C306" s="12" t="n">
        <v>46239</v>
      </c>
      <c r="D306" s="10" t="s">
        <v>54</v>
      </c>
      <c r="E306" s="10" t="s">
        <v>107</v>
      </c>
      <c r="F306" s="22" t="s">
        <v>579</v>
      </c>
      <c r="G306" s="14" t="s">
        <v>49</v>
      </c>
      <c r="H306" s="10"/>
      <c r="I306" s="15" t="n">
        <v>90</v>
      </c>
      <c r="J306" s="10" t="s">
        <v>51</v>
      </c>
      <c r="K306" s="15" t="n">
        <v>0</v>
      </c>
      <c r="L306" s="11" t="n">
        <v>0</v>
      </c>
      <c r="M306" s="11" t="n">
        <v>0</v>
      </c>
      <c r="N306" s="10" t="s">
        <v>52</v>
      </c>
      <c r="O306" s="10" t="s">
        <v>67</v>
      </c>
      <c r="P306" s="10"/>
      <c r="Q306" s="16" t="n">
        <v>0</v>
      </c>
      <c r="R306" s="10" t="s">
        <v>182</v>
      </c>
      <c r="S306" s="10" t="s">
        <v>580</v>
      </c>
      <c r="T306" s="10" t="n">
        <v>40</v>
      </c>
      <c r="U306" s="11" t="n">
        <f aca="false">IF(E306="TRANSPORT",IF(T306="","",T306*5),IF(AL306="","",AL306))</f>
        <v>200</v>
      </c>
      <c r="V306" s="10" t="s">
        <v>106</v>
      </c>
      <c r="W306" s="15" t="s">
        <v>70</v>
      </c>
      <c r="X306" s="15" t="s">
        <v>54</v>
      </c>
      <c r="Y306" s="17" t="n">
        <v>46244.4302083333</v>
      </c>
      <c r="Z306" s="18" t="n">
        <f aca="false">IF(I306="",0,IF(ISNUMBER(SEARCH("mp",LOWER(J306))),I306,IF(ISNUMBER(SEARCH("ton",LOWER(J306))),I306/0.33,IF(ISNUMBER(SEARCH("m3",LOWER(J306))),I306*4,I306))))</f>
        <v>90</v>
      </c>
      <c r="AA306" s="18" t="n">
        <f aca="false">IF(I306="",0,IF(ISNUMBER(SEARCH("mp",LOWER(J306))),I306*0.33,IF(ISNUMBER(SEARCH("ton",LOWER(J306))),I306,I306*0.33)))</f>
        <v>29.7</v>
      </c>
      <c r="AB306" s="18" t="n">
        <f aca="false">Tabela_dane[[#This Row],[Wolumen_t]]*8.5</f>
        <v>252.45</v>
      </c>
      <c r="AC306" s="18" t="n">
        <f aca="false">IF(G306&lt;&gt;"TAK",0,IF(OR(E306="ZAKUP",E306="PRODUKCJA"),Z306,IF(OR(E306="SPRZEDAŻ",E306="ZUŻYCIE"),-Z306,0)))</f>
        <v>0</v>
      </c>
      <c r="AD306" s="18" t="n">
        <f aca="false">IF(G306&lt;&gt;"TAK",0,IF(OR(E306="ZAKUP",E306="PRODUKCJA"),AA306,IF(OR(E306="SPRZEDAŻ",E306="ZUŻYCIE"),-AA306,0)))</f>
        <v>0</v>
      </c>
      <c r="AE306" s="19" t="n">
        <f aca="false">IF(E306="ZAKUP",IF(L306&lt;&gt;"",L306,IF(K306&lt;&gt;"",Z306*K306,0)),0)</f>
        <v>0</v>
      </c>
      <c r="AF306" s="19" t="n">
        <f aca="false">IF(E306="SPRZEDAŻ",IF(M306&lt;&gt;"",Z306*M306,0),0)</f>
        <v>0</v>
      </c>
      <c r="AG306" s="19" t="str">
        <f aca="false">IF(R306="","",IF(LOWER(R306)="brak","Brak",IF(OR(ISNUMBER(SEARCH("ric pl",LOWER(R306))),ISNUMBER(SEARCH("wojciechowski",LOWER(R306)))),"Własny","Zewnętrzny")))</f>
        <v>Zewnętrzny</v>
      </c>
      <c r="AH306" s="19" t="n">
        <f aca="false">Z306*Q306</f>
        <v>0</v>
      </c>
      <c r="AI306" s="19" t="str">
        <f aca="false">UPPER(TEXT(C306,"mmmm"))</f>
        <v>AUGUST</v>
      </c>
      <c r="AJ306" s="19" t="str">
        <f aca="false">IF(C306="","",TEXT(C306,"rrrr"))</f>
        <v>CE5786CE5786</v>
      </c>
      <c r="AK306" s="10"/>
      <c r="AL306" s="11" t="n">
        <v>200</v>
      </c>
      <c r="AM306" s="10" t="s">
        <v>581</v>
      </c>
      <c r="AN306" s="10" t="s">
        <v>49</v>
      </c>
      <c r="AO306" s="10"/>
      <c r="AP306" s="10"/>
      <c r="AQ306" s="10"/>
      <c r="AR306" s="10" t="s">
        <v>66</v>
      </c>
      <c r="AS306" s="10"/>
      <c r="AT306" s="15" t="n">
        <v>1</v>
      </c>
    </row>
    <row r="307" customFormat="false" ht="28.5" hidden="false" customHeight="true" outlineLevel="0" collapsed="false">
      <c r="A307" s="12" t="n">
        <v>46239</v>
      </c>
      <c r="B307" s="12" t="s">
        <v>106</v>
      </c>
      <c r="C307" s="12" t="n">
        <v>46239</v>
      </c>
      <c r="D307" s="10" t="s">
        <v>106</v>
      </c>
      <c r="E307" s="10" t="s">
        <v>559</v>
      </c>
      <c r="F307" s="49" t="s">
        <v>582</v>
      </c>
      <c r="G307" s="14" t="s">
        <v>49</v>
      </c>
      <c r="H307" s="10" t="s">
        <v>76</v>
      </c>
      <c r="I307" s="15" t="n">
        <v>90</v>
      </c>
      <c r="J307" s="10" t="s">
        <v>51</v>
      </c>
      <c r="K307" s="15" t="n">
        <v>0</v>
      </c>
      <c r="L307" s="11" t="n">
        <v>0</v>
      </c>
      <c r="M307" s="11" t="n">
        <v>0</v>
      </c>
      <c r="N307" s="10" t="s">
        <v>52</v>
      </c>
      <c r="O307" s="10" t="s">
        <v>67</v>
      </c>
      <c r="P307" s="10"/>
      <c r="Q307" s="16" t="n">
        <v>0</v>
      </c>
      <c r="R307" s="10" t="s">
        <v>182</v>
      </c>
      <c r="S307" s="10" t="s">
        <v>509</v>
      </c>
      <c r="T307" s="10" t="n">
        <v>107</v>
      </c>
      <c r="U307" s="11" t="n">
        <f aca="false">IF(E307="TRANSPORT",IF(T307="","",T307*5),IF(AL307="","",AL307))</f>
        <v>535</v>
      </c>
      <c r="V307" s="10" t="s">
        <v>561</v>
      </c>
      <c r="W307" s="15" t="s">
        <v>70</v>
      </c>
      <c r="X307" s="15"/>
      <c r="Y307" s="17" t="n">
        <v>46244.4309490741</v>
      </c>
      <c r="Z307" s="18" t="n">
        <f aca="false">IF(I307="",0,IF(ISNUMBER(SEARCH("mp",LOWER(J307))),I307,IF(ISNUMBER(SEARCH("ton",LOWER(J307))),I307/0.33,IF(ISNUMBER(SEARCH("m3",LOWER(J307))),I307*4,I307))))</f>
        <v>90</v>
      </c>
      <c r="AA307" s="18" t="n">
        <f aca="false">IF(I307="",0,IF(ISNUMBER(SEARCH("mp",LOWER(J307))),I307*0.33,IF(ISNUMBER(SEARCH("ton",LOWER(J307))),I307,I307*0.33)))</f>
        <v>29.7</v>
      </c>
      <c r="AB307" s="18" t="n">
        <f aca="false">Tabela_dane[[#This Row],[Wolumen_t]]*8.5</f>
        <v>252.45</v>
      </c>
      <c r="AC307" s="18" t="n">
        <f aca="false">IF(G307&lt;&gt;"TAK",0,IF(OR(E307="ZAKUP",E307="PRODUKCJA"),Z307,IF(OR(E307="SPRZEDAŻ",E307="ZUŻYCIE"),-Z307,0)))</f>
        <v>-90</v>
      </c>
      <c r="AD307" s="18" t="n">
        <f aca="false">IF(G307&lt;&gt;"TAK",0,IF(OR(E307="ZAKUP",E307="PRODUKCJA"),AA307,IF(OR(E307="SPRZEDAŻ",E307="ZUŻYCIE"),-AA307,0)))</f>
        <v>-29.7</v>
      </c>
      <c r="AE307" s="19" t="n">
        <f aca="false">IF(E307="ZAKUP",IF(L307&lt;&gt;"",L307,IF(K307&lt;&gt;"",Z307*K307,0)),0)</f>
        <v>0</v>
      </c>
      <c r="AF307" s="19" t="n">
        <f aca="false">IF(E307="SPRZEDAŻ",IF(M307&lt;&gt;"",Z307*M307,0),0)</f>
        <v>0</v>
      </c>
      <c r="AG307" s="19" t="str">
        <f aca="false">IF(R307="","",IF(LOWER(R307)="brak","Brak",IF(OR(ISNUMBER(SEARCH("ric pl",LOWER(R307))),ISNUMBER(SEARCH("wojciechowski",LOWER(R307)))),"Własny","Zewnętrzny")))</f>
        <v>Zewnętrzny</v>
      </c>
      <c r="AH307" s="19" t="n">
        <f aca="false">Z307*Q307</f>
        <v>0</v>
      </c>
      <c r="AI307" s="19" t="str">
        <f aca="false">UPPER(TEXT(C307,"mmmm"))</f>
        <v>AUGUST</v>
      </c>
      <c r="AJ307" s="19" t="str">
        <f aca="false">IF(C307="","",TEXT(C307,"rrrr"))</f>
        <v>CE5786CE5786</v>
      </c>
      <c r="AK307" s="10"/>
      <c r="AL307" s="11" t="n">
        <v>535</v>
      </c>
      <c r="AM307" s="10" t="s">
        <v>583</v>
      </c>
      <c r="AN307" s="10" t="s">
        <v>49</v>
      </c>
      <c r="AO307" s="10"/>
      <c r="AP307" s="10"/>
      <c r="AQ307" s="10"/>
      <c r="AR307" s="10" t="s">
        <v>66</v>
      </c>
      <c r="AS307" s="10"/>
      <c r="AT307" s="15" t="n">
        <v>1</v>
      </c>
    </row>
    <row r="308" customFormat="false" ht="28.5" hidden="false" customHeight="true" outlineLevel="0" collapsed="false">
      <c r="A308" s="12" t="n">
        <v>46240</v>
      </c>
      <c r="B308" s="12" t="s">
        <v>54</v>
      </c>
      <c r="C308" s="12" t="n">
        <v>46240</v>
      </c>
      <c r="D308" s="10" t="s">
        <v>54</v>
      </c>
      <c r="E308" s="10" t="s">
        <v>107</v>
      </c>
      <c r="F308" s="22" t="s">
        <v>584</v>
      </c>
      <c r="G308" s="14" t="s">
        <v>49</v>
      </c>
      <c r="H308" s="10"/>
      <c r="I308" s="15" t="n">
        <v>90</v>
      </c>
      <c r="J308" s="10" t="s">
        <v>51</v>
      </c>
      <c r="K308" s="15" t="n">
        <v>0</v>
      </c>
      <c r="L308" s="11" t="n">
        <v>0</v>
      </c>
      <c r="M308" s="11" t="n">
        <v>0</v>
      </c>
      <c r="N308" s="10" t="s">
        <v>52</v>
      </c>
      <c r="O308" s="10" t="s">
        <v>67</v>
      </c>
      <c r="P308" s="10"/>
      <c r="Q308" s="16" t="n">
        <v>0</v>
      </c>
      <c r="R308" s="10" t="s">
        <v>94</v>
      </c>
      <c r="S308" s="10" t="s">
        <v>95</v>
      </c>
      <c r="T308" s="10" t="n">
        <v>40</v>
      </c>
      <c r="U308" s="11" t="n">
        <f aca="false">IF(E308="TRANSPORT",IF(T308="","",T308*5),IF(AL308="","",AL308))</f>
        <v>200</v>
      </c>
      <c r="V308" s="10" t="s">
        <v>106</v>
      </c>
      <c r="W308" s="15" t="s">
        <v>70</v>
      </c>
      <c r="X308" s="15" t="s">
        <v>54</v>
      </c>
      <c r="Y308" s="17" t="n">
        <v>46244.4322453704</v>
      </c>
      <c r="Z308" s="18" t="n">
        <f aca="false">IF(I308="",0,IF(ISNUMBER(SEARCH("mp",LOWER(J308))),I308,IF(ISNUMBER(SEARCH("ton",LOWER(J308))),I308/0.33,IF(ISNUMBER(SEARCH("m3",LOWER(J308))),I308*4,I308))))</f>
        <v>90</v>
      </c>
      <c r="AA308" s="18" t="n">
        <f aca="false">IF(I308="",0,IF(ISNUMBER(SEARCH("mp",LOWER(J308))),I308*0.33,IF(ISNUMBER(SEARCH("ton",LOWER(J308))),I308,I308*0.33)))</f>
        <v>29.7</v>
      </c>
      <c r="AB308" s="18" t="n">
        <f aca="false">Tabela_dane[[#This Row],[Wolumen_t]]*8.5</f>
        <v>252.45</v>
      </c>
      <c r="AC308" s="18" t="n">
        <f aca="false">IF(G308&lt;&gt;"TAK",0,IF(OR(E308="ZAKUP",E308="PRODUKCJA"),Z308,IF(OR(E308="SPRZEDAŻ",E308="ZUŻYCIE"),-Z308,0)))</f>
        <v>0</v>
      </c>
      <c r="AD308" s="18" t="n">
        <f aca="false">IF(G308&lt;&gt;"TAK",0,IF(OR(E308="ZAKUP",E308="PRODUKCJA"),AA308,IF(OR(E308="SPRZEDAŻ",E308="ZUŻYCIE"),-AA308,0)))</f>
        <v>0</v>
      </c>
      <c r="AE308" s="19" t="n">
        <f aca="false">IF(E308="ZAKUP",IF(L308&lt;&gt;"",L308,IF(K308&lt;&gt;"",Z308*K308,0)),0)</f>
        <v>0</v>
      </c>
      <c r="AF308" s="19" t="n">
        <f aca="false">IF(E308="SPRZEDAŻ",IF(M308&lt;&gt;"",Z308*M308,0),0)</f>
        <v>0</v>
      </c>
      <c r="AG308" s="19" t="str">
        <f aca="false">IF(R308="","",IF(LOWER(R308)="brak","Brak",IF(OR(ISNUMBER(SEARCH("ric pl",LOWER(R308))),ISNUMBER(SEARCH("wojciechowski",LOWER(R308)))),"Własny","Zewnętrzny")))</f>
        <v>Zewnętrzny</v>
      </c>
      <c r="AH308" s="19" t="n">
        <f aca="false">Z308*Q308</f>
        <v>0</v>
      </c>
      <c r="AI308" s="19" t="str">
        <f aca="false">UPPER(TEXT(C308,"mmmm"))</f>
        <v>AUGUST</v>
      </c>
      <c r="AJ308" s="19" t="str">
        <f aca="false">IF(C308="","",TEXT(C308,"rrrr"))</f>
        <v>CE5786CE5786</v>
      </c>
      <c r="AK308" s="10"/>
      <c r="AL308" s="11" t="n">
        <v>200</v>
      </c>
      <c r="AM308" s="10" t="s">
        <v>585</v>
      </c>
      <c r="AN308" s="10" t="s">
        <v>49</v>
      </c>
      <c r="AO308" s="10"/>
      <c r="AP308" s="10"/>
      <c r="AQ308" s="10"/>
      <c r="AR308" s="10" t="s">
        <v>66</v>
      </c>
      <c r="AS308" s="10"/>
      <c r="AT308" s="15" t="n">
        <v>1</v>
      </c>
    </row>
    <row r="309" customFormat="false" ht="28.5" hidden="false" customHeight="true" outlineLevel="0" collapsed="false">
      <c r="A309" s="12" t="n">
        <v>46240</v>
      </c>
      <c r="B309" s="12" t="s">
        <v>106</v>
      </c>
      <c r="C309" s="12" t="n">
        <v>46240</v>
      </c>
      <c r="D309" s="10" t="s">
        <v>106</v>
      </c>
      <c r="E309" s="10" t="s">
        <v>559</v>
      </c>
      <c r="F309" s="49" t="s">
        <v>586</v>
      </c>
      <c r="G309" s="14" t="s">
        <v>49</v>
      </c>
      <c r="H309" s="10" t="s">
        <v>76</v>
      </c>
      <c r="I309" s="15" t="n">
        <v>90</v>
      </c>
      <c r="J309" s="10" t="s">
        <v>51</v>
      </c>
      <c r="K309" s="15" t="n">
        <v>0</v>
      </c>
      <c r="L309" s="11" t="n">
        <v>0</v>
      </c>
      <c r="M309" s="11" t="n">
        <v>0</v>
      </c>
      <c r="N309" s="10" t="s">
        <v>52</v>
      </c>
      <c r="O309" s="10" t="s">
        <v>67</v>
      </c>
      <c r="P309" s="10"/>
      <c r="Q309" s="16" t="n">
        <v>0</v>
      </c>
      <c r="R309" s="10" t="s">
        <v>94</v>
      </c>
      <c r="S309" s="10" t="s">
        <v>95</v>
      </c>
      <c r="T309" s="10" t="n">
        <v>107</v>
      </c>
      <c r="U309" s="11" t="n">
        <f aca="false">IF(E309="TRANSPORT",IF(T309="","",T309*5),IF(AL309="","",AL309))</f>
        <v>535</v>
      </c>
      <c r="V309" s="10" t="s">
        <v>561</v>
      </c>
      <c r="W309" s="15" t="s">
        <v>70</v>
      </c>
      <c r="X309" s="15"/>
      <c r="Y309" s="17" t="n">
        <v>46244.4327662037</v>
      </c>
      <c r="Z309" s="18" t="n">
        <f aca="false">IF(I309="",0,IF(ISNUMBER(SEARCH("mp",LOWER(J309))),I309,IF(ISNUMBER(SEARCH("ton",LOWER(J309))),I309/0.33,IF(ISNUMBER(SEARCH("m3",LOWER(J309))),I309*4,I309))))</f>
        <v>90</v>
      </c>
      <c r="AA309" s="18" t="n">
        <f aca="false">IF(I309="",0,IF(ISNUMBER(SEARCH("mp",LOWER(J309))),I309*0.33,IF(ISNUMBER(SEARCH("ton",LOWER(J309))),I309,I309*0.33)))</f>
        <v>29.7</v>
      </c>
      <c r="AB309" s="18" t="n">
        <f aca="false">Tabela_dane[[#This Row],[Wolumen_t]]*8.5</f>
        <v>252.45</v>
      </c>
      <c r="AC309" s="18" t="n">
        <f aca="false">IF(G309&lt;&gt;"TAK",0,IF(OR(E309="ZAKUP",E309="PRODUKCJA"),Z309,IF(OR(E309="SPRZEDAŻ",E309="ZUŻYCIE"),-Z309,0)))</f>
        <v>-90</v>
      </c>
      <c r="AD309" s="18" t="n">
        <f aca="false">IF(G309&lt;&gt;"TAK",0,IF(OR(E309="ZAKUP",E309="PRODUKCJA"),AA309,IF(OR(E309="SPRZEDAŻ",E309="ZUŻYCIE"),-AA309,0)))</f>
        <v>-29.7</v>
      </c>
      <c r="AE309" s="19" t="n">
        <f aca="false">IF(E309="ZAKUP",IF(L309&lt;&gt;"",L309,IF(K309&lt;&gt;"",Z309*K309,0)),0)</f>
        <v>0</v>
      </c>
      <c r="AF309" s="19" t="n">
        <f aca="false">IF(E309="SPRZEDAŻ",IF(M309&lt;&gt;"",Z309*M309,0),0)</f>
        <v>0</v>
      </c>
      <c r="AG309" s="19" t="str">
        <f aca="false">IF(R309="","",IF(LOWER(R309)="brak","Brak",IF(OR(ISNUMBER(SEARCH("ric pl",LOWER(R309))),ISNUMBER(SEARCH("wojciechowski",LOWER(R309)))),"Własny","Zewnętrzny")))</f>
        <v>Zewnętrzny</v>
      </c>
      <c r="AH309" s="19" t="n">
        <f aca="false">Z309*Q309</f>
        <v>0</v>
      </c>
      <c r="AI309" s="19" t="str">
        <f aca="false">UPPER(TEXT(C309,"mmmm"))</f>
        <v>AUGUST</v>
      </c>
      <c r="AJ309" s="19" t="str">
        <f aca="false">IF(C309="","",TEXT(C309,"rrrr"))</f>
        <v>CE5786CE5786</v>
      </c>
      <c r="AK309" s="10"/>
      <c r="AL309" s="11" t="n">
        <v>535</v>
      </c>
      <c r="AM309" s="10" t="s">
        <v>587</v>
      </c>
      <c r="AN309" s="10" t="s">
        <v>49</v>
      </c>
      <c r="AO309" s="10"/>
      <c r="AP309" s="10"/>
      <c r="AQ309" s="10"/>
      <c r="AR309" s="10" t="s">
        <v>66</v>
      </c>
      <c r="AS309" s="10"/>
      <c r="AT309" s="15" t="n">
        <v>1</v>
      </c>
    </row>
    <row r="310" customFormat="false" ht="28.5" hidden="false" customHeight="true" outlineLevel="0" collapsed="false">
      <c r="A310" s="12" t="n">
        <v>46240</v>
      </c>
      <c r="B310" s="12" t="s">
        <v>54</v>
      </c>
      <c r="C310" s="12" t="n">
        <v>46240</v>
      </c>
      <c r="D310" s="10" t="s">
        <v>54</v>
      </c>
      <c r="E310" s="10" t="s">
        <v>107</v>
      </c>
      <c r="F310" s="22" t="s">
        <v>588</v>
      </c>
      <c r="G310" s="14" t="s">
        <v>49</v>
      </c>
      <c r="H310" s="10"/>
      <c r="I310" s="15" t="n">
        <v>90</v>
      </c>
      <c r="J310" s="10" t="s">
        <v>51</v>
      </c>
      <c r="K310" s="15" t="n">
        <v>0</v>
      </c>
      <c r="L310" s="11" t="n">
        <v>0</v>
      </c>
      <c r="M310" s="11" t="n">
        <v>0</v>
      </c>
      <c r="N310" s="10" t="s">
        <v>52</v>
      </c>
      <c r="O310" s="10" t="s">
        <v>67</v>
      </c>
      <c r="P310" s="10"/>
      <c r="Q310" s="16" t="n">
        <v>0</v>
      </c>
      <c r="R310" s="10" t="s">
        <v>68</v>
      </c>
      <c r="S310" s="10" t="s">
        <v>69</v>
      </c>
      <c r="T310" s="10" t="n">
        <v>40</v>
      </c>
      <c r="U310" s="11" t="n">
        <f aca="false">IF(E310="TRANSPORT",IF(T310="","",T310*5),IF(AL310="","",AL310))</f>
        <v>200</v>
      </c>
      <c r="V310" s="10" t="s">
        <v>106</v>
      </c>
      <c r="W310" s="15" t="s">
        <v>65</v>
      </c>
      <c r="X310" s="15"/>
      <c r="Y310" s="17" t="n">
        <v>46244.4341087963</v>
      </c>
      <c r="Z310" s="18" t="n">
        <f aca="false">IF(I310="",0,IF(ISNUMBER(SEARCH("mp",LOWER(J310))),I310,IF(ISNUMBER(SEARCH("ton",LOWER(J310))),I310/0.33,IF(ISNUMBER(SEARCH("m3",LOWER(J310))),I310*4,I310))))</f>
        <v>90</v>
      </c>
      <c r="AA310" s="18" t="n">
        <f aca="false">IF(I310="",0,IF(ISNUMBER(SEARCH("mp",LOWER(J310))),I310*0.33,IF(ISNUMBER(SEARCH("ton",LOWER(J310))),I310,I310*0.33)))</f>
        <v>29.7</v>
      </c>
      <c r="AB310" s="18" t="n">
        <f aca="false">Tabela_dane[[#This Row],[Wolumen_t]]*8.5</f>
        <v>252.45</v>
      </c>
      <c r="AC310" s="18" t="n">
        <f aca="false">IF(G310&lt;&gt;"TAK",0,IF(OR(E310="ZAKUP",E310="PRODUKCJA"),Z310,IF(OR(E310="SPRZEDAŻ",E310="ZUŻYCIE"),-Z310,0)))</f>
        <v>0</v>
      </c>
      <c r="AD310" s="18" t="n">
        <f aca="false">IF(G310&lt;&gt;"TAK",0,IF(OR(E310="ZAKUP",E310="PRODUKCJA"),AA310,IF(OR(E310="SPRZEDAŻ",E310="ZUŻYCIE"),-AA310,0)))</f>
        <v>0</v>
      </c>
      <c r="AE310" s="19" t="n">
        <f aca="false">IF(E310="ZAKUP",IF(L310&lt;&gt;"",L310,IF(K310&lt;&gt;"",Z310*K310,0)),0)</f>
        <v>0</v>
      </c>
      <c r="AF310" s="19" t="n">
        <f aca="false">IF(E310="SPRZEDAŻ",IF(M310&lt;&gt;"",Z310*M310,0),0)</f>
        <v>0</v>
      </c>
      <c r="AG310" s="19" t="str">
        <f aca="false">IF(R310="","",IF(LOWER(R310)="brak","Brak",IF(OR(ISNUMBER(SEARCH("ric pl",LOWER(R310))),ISNUMBER(SEARCH("wojciechowski",LOWER(R310)))),"Własny","Zewnętrzny")))</f>
        <v>Zewnętrzny</v>
      </c>
      <c r="AH310" s="19" t="n">
        <f aca="false">Z310*Q310</f>
        <v>0</v>
      </c>
      <c r="AI310" s="19" t="str">
        <f aca="false">UPPER(TEXT(C310,"mmmm"))</f>
        <v>AUGUST</v>
      </c>
      <c r="AJ310" s="19" t="str">
        <f aca="false">IF(C310="","",TEXT(C310,"rrrr"))</f>
        <v>CE5786CE5786</v>
      </c>
      <c r="AK310" s="10"/>
      <c r="AL310" s="11" t="n">
        <v>200</v>
      </c>
      <c r="AM310" s="10" t="s">
        <v>589</v>
      </c>
      <c r="AN310" s="10" t="s">
        <v>49</v>
      </c>
      <c r="AO310" s="10"/>
      <c r="AP310" s="10"/>
      <c r="AQ310" s="10"/>
      <c r="AR310" s="10" t="s">
        <v>66</v>
      </c>
      <c r="AS310" s="10"/>
      <c r="AT310" s="15" t="n">
        <v>1</v>
      </c>
    </row>
    <row r="311" customFormat="false" ht="28.5" hidden="false" customHeight="true" outlineLevel="0" collapsed="false">
      <c r="A311" s="12" t="n">
        <v>46240</v>
      </c>
      <c r="B311" s="12" t="s">
        <v>106</v>
      </c>
      <c r="C311" s="12" t="n">
        <v>46240</v>
      </c>
      <c r="D311" s="10" t="s">
        <v>106</v>
      </c>
      <c r="E311" s="10" t="s">
        <v>559</v>
      </c>
      <c r="F311" s="49" t="s">
        <v>590</v>
      </c>
      <c r="G311" s="14" t="s">
        <v>49</v>
      </c>
      <c r="H311" s="10" t="s">
        <v>76</v>
      </c>
      <c r="I311" s="15" t="n">
        <v>90</v>
      </c>
      <c r="J311" s="10" t="s">
        <v>51</v>
      </c>
      <c r="K311" s="15" t="n">
        <v>0</v>
      </c>
      <c r="L311" s="11" t="n">
        <v>0</v>
      </c>
      <c r="M311" s="11" t="n">
        <v>0</v>
      </c>
      <c r="N311" s="10" t="s">
        <v>52</v>
      </c>
      <c r="O311" s="10" t="s">
        <v>67</v>
      </c>
      <c r="P311" s="10"/>
      <c r="Q311" s="16" t="n">
        <v>0</v>
      </c>
      <c r="R311" s="10" t="s">
        <v>68</v>
      </c>
      <c r="S311" s="10" t="s">
        <v>69</v>
      </c>
      <c r="T311" s="10" t="n">
        <v>107</v>
      </c>
      <c r="U311" s="11" t="n">
        <f aca="false">IF(E311="TRANSPORT",IF(T311="","",T311*5),IF(AL311="","",AL311))</f>
        <v>535</v>
      </c>
      <c r="V311" s="10" t="s">
        <v>561</v>
      </c>
      <c r="W311" s="15" t="s">
        <v>70</v>
      </c>
      <c r="X311" s="15"/>
      <c r="Y311" s="17" t="n">
        <v>46244.4348148148</v>
      </c>
      <c r="Z311" s="18" t="n">
        <f aca="false">IF(I311="",0,IF(ISNUMBER(SEARCH("mp",LOWER(J311))),I311,IF(ISNUMBER(SEARCH("ton",LOWER(J311))),I311/0.33,IF(ISNUMBER(SEARCH("m3",LOWER(J311))),I311*4,I311))))</f>
        <v>90</v>
      </c>
      <c r="AA311" s="18" t="n">
        <f aca="false">IF(I311="",0,IF(ISNUMBER(SEARCH("mp",LOWER(J311))),I311*0.33,IF(ISNUMBER(SEARCH("ton",LOWER(J311))),I311,I311*0.33)))</f>
        <v>29.7</v>
      </c>
      <c r="AB311" s="18" t="n">
        <f aca="false">Tabela_dane[[#This Row],[Wolumen_t]]*8.5</f>
        <v>252.45</v>
      </c>
      <c r="AC311" s="18" t="n">
        <f aca="false">IF(G311&lt;&gt;"TAK",0,IF(OR(E311="ZAKUP",E311="PRODUKCJA"),Z311,IF(OR(E311="SPRZEDAŻ",E311="ZUŻYCIE"),-Z311,0)))</f>
        <v>-90</v>
      </c>
      <c r="AD311" s="18" t="n">
        <f aca="false">IF(G311&lt;&gt;"TAK",0,IF(OR(E311="ZAKUP",E311="PRODUKCJA"),AA311,IF(OR(E311="SPRZEDAŻ",E311="ZUŻYCIE"),-AA311,0)))</f>
        <v>-29.7</v>
      </c>
      <c r="AE311" s="19" t="n">
        <f aca="false">IF(E311="ZAKUP",IF(L311&lt;&gt;"",L311,IF(K311&lt;&gt;"",Z311*K311,0)),0)</f>
        <v>0</v>
      </c>
      <c r="AF311" s="19" t="n">
        <f aca="false">IF(E311="SPRZEDAŻ",IF(M311&lt;&gt;"",Z311*M311,0),0)</f>
        <v>0</v>
      </c>
      <c r="AG311" s="19" t="str">
        <f aca="false">IF(R311="","",IF(LOWER(R311)="brak","Brak",IF(OR(ISNUMBER(SEARCH("ric pl",LOWER(R311))),ISNUMBER(SEARCH("wojciechowski",LOWER(R311)))),"Własny","Zewnętrzny")))</f>
        <v>Zewnętrzny</v>
      </c>
      <c r="AH311" s="19" t="n">
        <f aca="false">Z311*Q311</f>
        <v>0</v>
      </c>
      <c r="AI311" s="19" t="str">
        <f aca="false">UPPER(TEXT(C311,"mmmm"))</f>
        <v>AUGUST</v>
      </c>
      <c r="AJ311" s="19" t="str">
        <f aca="false">IF(C311="","",TEXT(C311,"rrrr"))</f>
        <v>CE5786CE5786</v>
      </c>
      <c r="AK311" s="10"/>
      <c r="AL311" s="11" t="n">
        <v>535</v>
      </c>
      <c r="AM311" s="10" t="s">
        <v>591</v>
      </c>
      <c r="AN311" s="10" t="s">
        <v>49</v>
      </c>
      <c r="AO311" s="10"/>
      <c r="AP311" s="10"/>
      <c r="AQ311" s="10"/>
      <c r="AR311" s="10" t="s">
        <v>66</v>
      </c>
      <c r="AS311" s="10"/>
      <c r="AT311" s="15" t="n">
        <v>1</v>
      </c>
    </row>
    <row r="312" customFormat="false" ht="28.5" hidden="false" customHeight="true" outlineLevel="0" collapsed="false">
      <c r="A312" s="12" t="n">
        <v>46240</v>
      </c>
      <c r="B312" s="12" t="s">
        <v>54</v>
      </c>
      <c r="C312" s="12" t="n">
        <v>46240</v>
      </c>
      <c r="D312" s="10" t="s">
        <v>54</v>
      </c>
      <c r="E312" s="10" t="s">
        <v>107</v>
      </c>
      <c r="F312" s="22" t="s">
        <v>592</v>
      </c>
      <c r="G312" s="14" t="s">
        <v>49</v>
      </c>
      <c r="H312" s="10"/>
      <c r="I312" s="15" t="n">
        <v>90</v>
      </c>
      <c r="J312" s="10" t="s">
        <v>51</v>
      </c>
      <c r="K312" s="15" t="n">
        <v>0</v>
      </c>
      <c r="L312" s="11" t="n">
        <v>0</v>
      </c>
      <c r="M312" s="11" t="n">
        <v>0</v>
      </c>
      <c r="N312" s="10" t="s">
        <v>52</v>
      </c>
      <c r="O312" s="10" t="s">
        <v>67</v>
      </c>
      <c r="P312" s="10"/>
      <c r="Q312" s="16" t="n">
        <v>0</v>
      </c>
      <c r="R312" s="10" t="s">
        <v>182</v>
      </c>
      <c r="S312" s="10" t="s">
        <v>509</v>
      </c>
      <c r="T312" s="10" t="n">
        <v>40</v>
      </c>
      <c r="U312" s="11" t="n">
        <f aca="false">IF(E312="TRANSPORT",IF(T312="","",T312*5),IF(AL312="","",AL312))</f>
        <v>200</v>
      </c>
      <c r="V312" s="10" t="s">
        <v>106</v>
      </c>
      <c r="W312" s="15" t="s">
        <v>70</v>
      </c>
      <c r="X312" s="15"/>
      <c r="Y312" s="17" t="n">
        <v>46244.4378703704</v>
      </c>
      <c r="Z312" s="18" t="n">
        <f aca="false">IF(I312="",0,IF(ISNUMBER(SEARCH("mp",LOWER(J312))),I312,IF(ISNUMBER(SEARCH("ton",LOWER(J312))),I312/0.33,IF(ISNUMBER(SEARCH("m3",LOWER(J312))),I312*4,I312))))</f>
        <v>90</v>
      </c>
      <c r="AA312" s="18" t="n">
        <f aca="false">IF(I312="",0,IF(ISNUMBER(SEARCH("mp",LOWER(J312))),I312*0.33,IF(ISNUMBER(SEARCH("ton",LOWER(J312))),I312,I312*0.33)))</f>
        <v>29.7</v>
      </c>
      <c r="AB312" s="18" t="n">
        <f aca="false">Tabela_dane[[#This Row],[Wolumen_t]]*8.5</f>
        <v>252.45</v>
      </c>
      <c r="AC312" s="18" t="n">
        <f aca="false">IF(G312&lt;&gt;"TAK",0,IF(OR(E312="ZAKUP",E312="PRODUKCJA"),Z312,IF(OR(E312="SPRZEDAŻ",E312="ZUŻYCIE"),-Z312,0)))</f>
        <v>0</v>
      </c>
      <c r="AD312" s="18" t="n">
        <f aca="false">IF(G312&lt;&gt;"TAK",0,IF(OR(E312="ZAKUP",E312="PRODUKCJA"),AA312,IF(OR(E312="SPRZEDAŻ",E312="ZUŻYCIE"),-AA312,0)))</f>
        <v>0</v>
      </c>
      <c r="AE312" s="19" t="n">
        <f aca="false">IF(E312="ZAKUP",IF(L312&lt;&gt;"",L312,IF(K312&lt;&gt;"",Z312*K312,0)),0)</f>
        <v>0</v>
      </c>
      <c r="AF312" s="19" t="n">
        <f aca="false">IF(E312="SPRZEDAŻ",IF(M312&lt;&gt;"",Z312*M312,0),0)</f>
        <v>0</v>
      </c>
      <c r="AG312" s="19" t="str">
        <f aca="false">IF(R312="","",IF(LOWER(R312)="brak","Brak",IF(OR(ISNUMBER(SEARCH("ric pl",LOWER(R312))),ISNUMBER(SEARCH("wojciechowski",LOWER(R312)))),"Własny","Zewnętrzny")))</f>
        <v>Zewnętrzny</v>
      </c>
      <c r="AH312" s="19" t="n">
        <f aca="false">Z312*Q312</f>
        <v>0</v>
      </c>
      <c r="AI312" s="19" t="str">
        <f aca="false">UPPER(TEXT(C312,"mmmm"))</f>
        <v>AUGUST</v>
      </c>
      <c r="AJ312" s="19" t="str">
        <f aca="false">IF(C312="","",TEXT(C312,"rrrr"))</f>
        <v>CE5786CE5786</v>
      </c>
      <c r="AK312" s="10"/>
      <c r="AL312" s="11" t="n">
        <v>200</v>
      </c>
      <c r="AM312" s="10" t="s">
        <v>593</v>
      </c>
      <c r="AN312" s="10" t="s">
        <v>49</v>
      </c>
      <c r="AO312" s="10"/>
      <c r="AP312" s="10"/>
      <c r="AQ312" s="10"/>
      <c r="AR312" s="10" t="s">
        <v>66</v>
      </c>
      <c r="AS312" s="10"/>
      <c r="AT312" s="15" t="n">
        <v>1</v>
      </c>
    </row>
    <row r="313" customFormat="false" ht="28.5" hidden="false" customHeight="true" outlineLevel="0" collapsed="false">
      <c r="A313" s="12" t="n">
        <v>46240</v>
      </c>
      <c r="B313" s="12" t="s">
        <v>106</v>
      </c>
      <c r="C313" s="12" t="n">
        <v>46240</v>
      </c>
      <c r="D313" s="10" t="s">
        <v>106</v>
      </c>
      <c r="E313" s="10" t="s">
        <v>559</v>
      </c>
      <c r="F313" s="49" t="s">
        <v>594</v>
      </c>
      <c r="G313" s="14" t="s">
        <v>49</v>
      </c>
      <c r="H313" s="10" t="s">
        <v>76</v>
      </c>
      <c r="I313" s="15" t="n">
        <v>90</v>
      </c>
      <c r="J313" s="10" t="s">
        <v>51</v>
      </c>
      <c r="K313" s="15" t="n">
        <v>0</v>
      </c>
      <c r="L313" s="11" t="n">
        <v>0</v>
      </c>
      <c r="M313" s="11" t="n">
        <v>0</v>
      </c>
      <c r="N313" s="10" t="s">
        <v>52</v>
      </c>
      <c r="O313" s="10" t="s">
        <v>67</v>
      </c>
      <c r="P313" s="10"/>
      <c r="Q313" s="16" t="n">
        <v>0</v>
      </c>
      <c r="R313" s="10" t="s">
        <v>182</v>
      </c>
      <c r="S313" s="10" t="s">
        <v>509</v>
      </c>
      <c r="T313" s="10" t="n">
        <v>107</v>
      </c>
      <c r="U313" s="11" t="n">
        <f aca="false">IF(E313="TRANSPORT",IF(T313="","",T313*5),IF(AL313="","",AL313))</f>
        <v>535</v>
      </c>
      <c r="V313" s="10" t="s">
        <v>561</v>
      </c>
      <c r="W313" s="15" t="s">
        <v>70</v>
      </c>
      <c r="X313" s="15"/>
      <c r="Y313" s="17" t="n">
        <v>46244.4385532407</v>
      </c>
      <c r="Z313" s="18" t="n">
        <f aca="false">IF(I313="",0,IF(ISNUMBER(SEARCH("mp",LOWER(J313))),I313,IF(ISNUMBER(SEARCH("ton",LOWER(J313))),I313/0.33,IF(ISNUMBER(SEARCH("m3",LOWER(J313))),I313*4,I313))))</f>
        <v>90</v>
      </c>
      <c r="AA313" s="18" t="n">
        <f aca="false">IF(I313="",0,IF(ISNUMBER(SEARCH("mp",LOWER(J313))),I313*0.33,IF(ISNUMBER(SEARCH("ton",LOWER(J313))),I313,I313*0.33)))</f>
        <v>29.7</v>
      </c>
      <c r="AB313" s="18" t="n">
        <f aca="false">Tabela_dane[[#This Row],[Wolumen_t]]*8.5</f>
        <v>252.45</v>
      </c>
      <c r="AC313" s="18" t="n">
        <f aca="false">IF(G313&lt;&gt;"TAK",0,IF(OR(E313="ZAKUP",E313="PRODUKCJA"),Z313,IF(OR(E313="SPRZEDAŻ",E313="ZUŻYCIE"),-Z313,0)))</f>
        <v>-90</v>
      </c>
      <c r="AD313" s="18" t="n">
        <f aca="false">IF(G313&lt;&gt;"TAK",0,IF(OR(E313="ZAKUP",E313="PRODUKCJA"),AA313,IF(OR(E313="SPRZEDAŻ",E313="ZUŻYCIE"),-AA313,0)))</f>
        <v>-29.7</v>
      </c>
      <c r="AE313" s="19" t="n">
        <f aca="false">IF(E313="ZAKUP",IF(L313&lt;&gt;"",L313,IF(K313&lt;&gt;"",Z313*K313,0)),0)</f>
        <v>0</v>
      </c>
      <c r="AF313" s="19" t="n">
        <f aca="false">IF(E313="SPRZEDAŻ",IF(M313&lt;&gt;"",Z313*M313,0),0)</f>
        <v>0</v>
      </c>
      <c r="AG313" s="19" t="str">
        <f aca="false">IF(R313="","",IF(LOWER(R313)="brak","Brak",IF(OR(ISNUMBER(SEARCH("ric pl",LOWER(R313))),ISNUMBER(SEARCH("wojciechowski",LOWER(R313)))),"Własny","Zewnętrzny")))</f>
        <v>Zewnętrzny</v>
      </c>
      <c r="AH313" s="19" t="n">
        <f aca="false">Z313*Q313</f>
        <v>0</v>
      </c>
      <c r="AI313" s="19" t="str">
        <f aca="false">UPPER(TEXT(C313,"mmmm"))</f>
        <v>AUGUST</v>
      </c>
      <c r="AJ313" s="19" t="str">
        <f aca="false">IF(C313="","",TEXT(C313,"rrrr"))</f>
        <v>CE5786CE5786</v>
      </c>
      <c r="AK313" s="10"/>
      <c r="AL313" s="11" t="n">
        <v>535</v>
      </c>
      <c r="AM313" s="10" t="s">
        <v>595</v>
      </c>
      <c r="AN313" s="10" t="s">
        <v>49</v>
      </c>
      <c r="AO313" s="10"/>
      <c r="AP313" s="10"/>
      <c r="AQ313" s="10"/>
      <c r="AR313" s="10" t="s">
        <v>66</v>
      </c>
      <c r="AS313" s="10"/>
      <c r="AT313" s="15" t="n">
        <v>1</v>
      </c>
    </row>
    <row r="314" customFormat="false" ht="28.5" hidden="false" customHeight="true" outlineLevel="0" collapsed="false">
      <c r="A314" s="12" t="n">
        <v>46240</v>
      </c>
      <c r="B314" s="12" t="s">
        <v>54</v>
      </c>
      <c r="C314" s="12" t="n">
        <v>46240</v>
      </c>
      <c r="D314" s="10" t="s">
        <v>54</v>
      </c>
      <c r="E314" s="10" t="s">
        <v>107</v>
      </c>
      <c r="F314" s="22" t="s">
        <v>596</v>
      </c>
      <c r="G314" s="14" t="s">
        <v>49</v>
      </c>
      <c r="H314" s="10"/>
      <c r="I314" s="15" t="n">
        <v>90</v>
      </c>
      <c r="J314" s="10" t="s">
        <v>51</v>
      </c>
      <c r="K314" s="15" t="n">
        <v>0</v>
      </c>
      <c r="L314" s="11" t="n">
        <v>0</v>
      </c>
      <c r="M314" s="11" t="n">
        <v>0</v>
      </c>
      <c r="N314" s="10" t="s">
        <v>52</v>
      </c>
      <c r="O314" s="10" t="s">
        <v>67</v>
      </c>
      <c r="P314" s="10"/>
      <c r="Q314" s="16" t="n">
        <v>0</v>
      </c>
      <c r="R314" s="10" t="s">
        <v>68</v>
      </c>
      <c r="S314" s="10" t="s">
        <v>69</v>
      </c>
      <c r="T314" s="10" t="n">
        <v>40</v>
      </c>
      <c r="U314" s="11" t="n">
        <f aca="false">IF(E314="TRANSPORT",IF(T314="","",T314*5),IF(AL314="","",AL314))</f>
        <v>200</v>
      </c>
      <c r="V314" s="10" t="s">
        <v>106</v>
      </c>
      <c r="W314" s="15" t="s">
        <v>70</v>
      </c>
      <c r="X314" s="15"/>
      <c r="Y314" s="17" t="n">
        <v>46244.4400925926</v>
      </c>
      <c r="Z314" s="18" t="n">
        <f aca="false">IF(I314="",0,IF(ISNUMBER(SEARCH("mp",LOWER(J314))),I314,IF(ISNUMBER(SEARCH("ton",LOWER(J314))),I314/0.33,IF(ISNUMBER(SEARCH("m3",LOWER(J314))),I314*4,I314))))</f>
        <v>90</v>
      </c>
      <c r="AA314" s="18" t="n">
        <f aca="false">IF(I314="",0,IF(ISNUMBER(SEARCH("mp",LOWER(J314))),I314*0.33,IF(ISNUMBER(SEARCH("ton",LOWER(J314))),I314,I314*0.33)))</f>
        <v>29.7</v>
      </c>
      <c r="AB314" s="18" t="n">
        <f aca="false">Tabela_dane[[#This Row],[Wolumen_t]]*8.5</f>
        <v>252.45</v>
      </c>
      <c r="AC314" s="18" t="n">
        <f aca="false">IF(G314&lt;&gt;"TAK",0,IF(OR(E314="ZAKUP",E314="PRODUKCJA"),Z314,IF(OR(E314="SPRZEDAŻ",E314="ZUŻYCIE"),-Z314,0)))</f>
        <v>0</v>
      </c>
      <c r="AD314" s="18" t="n">
        <f aca="false">IF(G314&lt;&gt;"TAK",0,IF(OR(E314="ZAKUP",E314="PRODUKCJA"),AA314,IF(OR(E314="SPRZEDAŻ",E314="ZUŻYCIE"),-AA314,0)))</f>
        <v>0</v>
      </c>
      <c r="AE314" s="19" t="n">
        <f aca="false">IF(E314="ZAKUP",IF(L314&lt;&gt;"",L314,IF(K314&lt;&gt;"",Z314*K314,0)),0)</f>
        <v>0</v>
      </c>
      <c r="AF314" s="19" t="n">
        <f aca="false">IF(E314="SPRZEDAŻ",IF(M314&lt;&gt;"",Z314*M314,0),0)</f>
        <v>0</v>
      </c>
      <c r="AG314" s="19" t="str">
        <f aca="false">IF(R314="","",IF(LOWER(R314)="brak","Brak",IF(OR(ISNUMBER(SEARCH("ric pl",LOWER(R314))),ISNUMBER(SEARCH("wojciechowski",LOWER(R314)))),"Własny","Zewnętrzny")))</f>
        <v>Zewnętrzny</v>
      </c>
      <c r="AH314" s="19" t="n">
        <f aca="false">Z314*Q314</f>
        <v>0</v>
      </c>
      <c r="AI314" s="19" t="str">
        <f aca="false">UPPER(TEXT(C314,"mmmm"))</f>
        <v>AUGUST</v>
      </c>
      <c r="AJ314" s="19" t="str">
        <f aca="false">IF(C314="","",TEXT(C314,"rrrr"))</f>
        <v>CE5786CE5786</v>
      </c>
      <c r="AK314" s="10"/>
      <c r="AL314" s="11" t="n">
        <v>200</v>
      </c>
      <c r="AM314" s="10" t="s">
        <v>597</v>
      </c>
      <c r="AN314" s="10" t="s">
        <v>49</v>
      </c>
      <c r="AO314" s="10"/>
      <c r="AP314" s="10"/>
      <c r="AQ314" s="10"/>
      <c r="AR314" s="10" t="s">
        <v>66</v>
      </c>
      <c r="AS314" s="10"/>
      <c r="AT314" s="15" t="n">
        <v>1</v>
      </c>
    </row>
    <row r="315" customFormat="false" ht="28.5" hidden="false" customHeight="true" outlineLevel="0" collapsed="false">
      <c r="A315" s="12" t="n">
        <v>46240</v>
      </c>
      <c r="B315" s="12" t="s">
        <v>106</v>
      </c>
      <c r="C315" s="12" t="n">
        <v>46240</v>
      </c>
      <c r="D315" s="10" t="s">
        <v>106</v>
      </c>
      <c r="E315" s="10" t="s">
        <v>559</v>
      </c>
      <c r="F315" s="49" t="s">
        <v>598</v>
      </c>
      <c r="G315" s="14" t="s">
        <v>49</v>
      </c>
      <c r="H315" s="10" t="s">
        <v>76</v>
      </c>
      <c r="I315" s="15" t="n">
        <v>90</v>
      </c>
      <c r="J315" s="10" t="s">
        <v>51</v>
      </c>
      <c r="K315" s="15" t="n">
        <v>0</v>
      </c>
      <c r="L315" s="11" t="n">
        <v>0</v>
      </c>
      <c r="M315" s="11" t="n">
        <v>0</v>
      </c>
      <c r="N315" s="10" t="s">
        <v>52</v>
      </c>
      <c r="O315" s="10" t="s">
        <v>67</v>
      </c>
      <c r="P315" s="10"/>
      <c r="Q315" s="16" t="n">
        <v>0</v>
      </c>
      <c r="R315" s="10" t="s">
        <v>68</v>
      </c>
      <c r="S315" s="10" t="s">
        <v>69</v>
      </c>
      <c r="T315" s="10" t="n">
        <v>107</v>
      </c>
      <c r="U315" s="11" t="n">
        <f aca="false">IF(E315="TRANSPORT",IF(T315="","",T315*5),IF(AL315="","",AL315))</f>
        <v>535</v>
      </c>
      <c r="V315" s="10" t="s">
        <v>561</v>
      </c>
      <c r="W315" s="15" t="s">
        <v>70</v>
      </c>
      <c r="X315" s="15"/>
      <c r="Y315" s="17" t="n">
        <v>46244.4406134259</v>
      </c>
      <c r="Z315" s="18" t="n">
        <f aca="false">IF(I315="",0,IF(ISNUMBER(SEARCH("mp",LOWER(J315))),I315,IF(ISNUMBER(SEARCH("ton",LOWER(J315))),I315/0.33,IF(ISNUMBER(SEARCH("m3",LOWER(J315))),I315*4,I315))))</f>
        <v>90</v>
      </c>
      <c r="AA315" s="18" t="n">
        <f aca="false">IF(I315="",0,IF(ISNUMBER(SEARCH("mp",LOWER(J315))),I315*0.33,IF(ISNUMBER(SEARCH("ton",LOWER(J315))),I315,I315*0.33)))</f>
        <v>29.7</v>
      </c>
      <c r="AB315" s="18" t="n">
        <f aca="false">Tabela_dane[[#This Row],[Wolumen_t]]*8.5</f>
        <v>252.45</v>
      </c>
      <c r="AC315" s="18" t="n">
        <f aca="false">IF(G315&lt;&gt;"TAK",0,IF(OR(E315="ZAKUP",E315="PRODUKCJA"),Z315,IF(OR(E315="SPRZEDAŻ",E315="ZUŻYCIE"),-Z315,0)))</f>
        <v>-90</v>
      </c>
      <c r="AD315" s="18" t="n">
        <f aca="false">IF(G315&lt;&gt;"TAK",0,IF(OR(E315="ZAKUP",E315="PRODUKCJA"),AA315,IF(OR(E315="SPRZEDAŻ",E315="ZUŻYCIE"),-AA315,0)))</f>
        <v>-29.7</v>
      </c>
      <c r="AE315" s="19" t="n">
        <f aca="false">IF(E315="ZAKUP",IF(L315&lt;&gt;"",L315,IF(K315&lt;&gt;"",Z315*K315,0)),0)</f>
        <v>0</v>
      </c>
      <c r="AF315" s="19" t="n">
        <f aca="false">IF(E315="SPRZEDAŻ",IF(M315&lt;&gt;"",Z315*M315,0),0)</f>
        <v>0</v>
      </c>
      <c r="AG315" s="19" t="str">
        <f aca="false">IF(R315="","",IF(LOWER(R315)="brak","Brak",IF(OR(ISNUMBER(SEARCH("ric pl",LOWER(R315))),ISNUMBER(SEARCH("wojciechowski",LOWER(R315)))),"Własny","Zewnętrzny")))</f>
        <v>Zewnętrzny</v>
      </c>
      <c r="AH315" s="19" t="n">
        <f aca="false">Z315*Q315</f>
        <v>0</v>
      </c>
      <c r="AI315" s="19" t="str">
        <f aca="false">UPPER(TEXT(C315,"mmmm"))</f>
        <v>AUGUST</v>
      </c>
      <c r="AJ315" s="19" t="str">
        <f aca="false">IF(C315="","",TEXT(C315,"rrrr"))</f>
        <v>CE5786CE5786</v>
      </c>
      <c r="AK315" s="10"/>
      <c r="AL315" s="11" t="n">
        <v>535</v>
      </c>
      <c r="AM315" s="10" t="s">
        <v>599</v>
      </c>
      <c r="AN315" s="10" t="s">
        <v>49</v>
      </c>
      <c r="AO315" s="10"/>
      <c r="AP315" s="10"/>
      <c r="AQ315" s="10"/>
      <c r="AR315" s="10" t="s">
        <v>66</v>
      </c>
      <c r="AS315" s="10"/>
      <c r="AT315" s="15" t="n">
        <v>1</v>
      </c>
    </row>
    <row r="316" customFormat="false" ht="28.5" hidden="false" customHeight="true" outlineLevel="0" collapsed="false">
      <c r="A316" s="12" t="n">
        <v>46240</v>
      </c>
      <c r="B316" s="12" t="s">
        <v>54</v>
      </c>
      <c r="C316" s="12" t="n">
        <v>46240</v>
      </c>
      <c r="D316" s="10" t="s">
        <v>54</v>
      </c>
      <c r="E316" s="10" t="s">
        <v>107</v>
      </c>
      <c r="F316" s="22" t="s">
        <v>600</v>
      </c>
      <c r="G316" s="14" t="s">
        <v>49</v>
      </c>
      <c r="H316" s="10"/>
      <c r="I316" s="15" t="n">
        <v>90</v>
      </c>
      <c r="J316" s="10" t="s">
        <v>51</v>
      </c>
      <c r="K316" s="15" t="n">
        <v>0</v>
      </c>
      <c r="L316" s="11" t="n">
        <v>0</v>
      </c>
      <c r="M316" s="11" t="n">
        <v>0</v>
      </c>
      <c r="N316" s="10" t="s">
        <v>52</v>
      </c>
      <c r="O316" s="10" t="s">
        <v>67</v>
      </c>
      <c r="P316" s="10"/>
      <c r="Q316" s="16" t="n">
        <v>0</v>
      </c>
      <c r="R316" s="10" t="s">
        <v>182</v>
      </c>
      <c r="S316" s="10" t="s">
        <v>509</v>
      </c>
      <c r="T316" s="10" t="n">
        <v>40</v>
      </c>
      <c r="U316" s="11" t="n">
        <f aca="false">IF(E316="TRANSPORT",IF(T316="","",T316*5),IF(AL316="","",AL316))</f>
        <v>200</v>
      </c>
      <c r="V316" s="10" t="s">
        <v>106</v>
      </c>
      <c r="W316" s="15" t="s">
        <v>70</v>
      </c>
      <c r="X316" s="15"/>
      <c r="Y316" s="17" t="n">
        <v>46244.4413657407</v>
      </c>
      <c r="Z316" s="18" t="n">
        <f aca="false">IF(I316="",0,IF(ISNUMBER(SEARCH("mp",LOWER(J316))),I316,IF(ISNUMBER(SEARCH("ton",LOWER(J316))),I316/0.33,IF(ISNUMBER(SEARCH("m3",LOWER(J316))),I316*4,I316))))</f>
        <v>90</v>
      </c>
      <c r="AA316" s="18" t="n">
        <f aca="false">IF(I316="",0,IF(ISNUMBER(SEARCH("mp",LOWER(J316))),I316*0.33,IF(ISNUMBER(SEARCH("ton",LOWER(J316))),I316,I316*0.33)))</f>
        <v>29.7</v>
      </c>
      <c r="AB316" s="18" t="n">
        <f aca="false">Tabela_dane[[#This Row],[Wolumen_t]]*8.5</f>
        <v>252.45</v>
      </c>
      <c r="AC316" s="18" t="n">
        <f aca="false">IF(G316&lt;&gt;"TAK",0,IF(OR(E316="ZAKUP",E316="PRODUKCJA"),Z316,IF(OR(E316="SPRZEDAŻ",E316="ZUŻYCIE"),-Z316,0)))</f>
        <v>0</v>
      </c>
      <c r="AD316" s="18" t="n">
        <f aca="false">IF(G316&lt;&gt;"TAK",0,IF(OR(E316="ZAKUP",E316="PRODUKCJA"),AA316,IF(OR(E316="SPRZEDAŻ",E316="ZUŻYCIE"),-AA316,0)))</f>
        <v>0</v>
      </c>
      <c r="AE316" s="19" t="n">
        <f aca="false">IF(E316="ZAKUP",IF(L316&lt;&gt;"",L316,IF(K316&lt;&gt;"",Z316*K316,0)),0)</f>
        <v>0</v>
      </c>
      <c r="AF316" s="19" t="n">
        <f aca="false">IF(E316="SPRZEDAŻ",IF(M316&lt;&gt;"",Z316*M316,0),0)</f>
        <v>0</v>
      </c>
      <c r="AG316" s="19" t="str">
        <f aca="false">IF(R316="","",IF(LOWER(R316)="brak","Brak",IF(OR(ISNUMBER(SEARCH("ric pl",LOWER(R316))),ISNUMBER(SEARCH("wojciechowski",LOWER(R316)))),"Własny","Zewnętrzny")))</f>
        <v>Zewnętrzny</v>
      </c>
      <c r="AH316" s="19" t="n">
        <f aca="false">Z316*Q316</f>
        <v>0</v>
      </c>
      <c r="AI316" s="19" t="str">
        <f aca="false">UPPER(TEXT(C316,"mmmm"))</f>
        <v>AUGUST</v>
      </c>
      <c r="AJ316" s="19" t="str">
        <f aca="false">IF(C316="","",TEXT(C316,"rrrr"))</f>
        <v>CE5786CE5786</v>
      </c>
      <c r="AK316" s="10"/>
      <c r="AL316" s="11" t="n">
        <v>200</v>
      </c>
      <c r="AM316" s="10" t="s">
        <v>601</v>
      </c>
      <c r="AN316" s="10" t="s">
        <v>49</v>
      </c>
      <c r="AO316" s="10"/>
      <c r="AP316" s="10"/>
      <c r="AQ316" s="10"/>
      <c r="AR316" s="10" t="s">
        <v>66</v>
      </c>
      <c r="AS316" s="10"/>
      <c r="AT316" s="15" t="n">
        <v>1</v>
      </c>
    </row>
    <row r="317" customFormat="false" ht="28.5" hidden="false" customHeight="true" outlineLevel="0" collapsed="false">
      <c r="A317" s="12" t="n">
        <v>46240</v>
      </c>
      <c r="B317" s="12" t="s">
        <v>106</v>
      </c>
      <c r="C317" s="12" t="n">
        <v>46240</v>
      </c>
      <c r="D317" s="10" t="s">
        <v>106</v>
      </c>
      <c r="E317" s="10" t="s">
        <v>559</v>
      </c>
      <c r="F317" s="49" t="s">
        <v>602</v>
      </c>
      <c r="G317" s="14" t="s">
        <v>49</v>
      </c>
      <c r="H317" s="10" t="s">
        <v>76</v>
      </c>
      <c r="I317" s="15" t="n">
        <v>90</v>
      </c>
      <c r="J317" s="10" t="s">
        <v>51</v>
      </c>
      <c r="K317" s="15" t="n">
        <v>0</v>
      </c>
      <c r="L317" s="11" t="n">
        <v>0</v>
      </c>
      <c r="M317" s="11" t="n">
        <v>0</v>
      </c>
      <c r="N317" s="10" t="s">
        <v>52</v>
      </c>
      <c r="O317" s="10" t="s">
        <v>67</v>
      </c>
      <c r="P317" s="10"/>
      <c r="Q317" s="16" t="n">
        <v>0</v>
      </c>
      <c r="R317" s="10" t="s">
        <v>182</v>
      </c>
      <c r="S317" s="10" t="s">
        <v>509</v>
      </c>
      <c r="T317" s="10" t="n">
        <v>107</v>
      </c>
      <c r="U317" s="11" t="n">
        <f aca="false">IF(E317="TRANSPORT",IF(T317="","",T317*5),IF(AL317="","",AL317))</f>
        <v>535</v>
      </c>
      <c r="V317" s="10" t="s">
        <v>561</v>
      </c>
      <c r="W317" s="15" t="s">
        <v>70</v>
      </c>
      <c r="X317" s="15"/>
      <c r="Y317" s="17" t="n">
        <v>46244.4418634259</v>
      </c>
      <c r="Z317" s="18" t="n">
        <f aca="false">IF(I317="",0,IF(ISNUMBER(SEARCH("mp",LOWER(J317))),I317,IF(ISNUMBER(SEARCH("ton",LOWER(J317))),I317/0.33,IF(ISNUMBER(SEARCH("m3",LOWER(J317))),I317*4,I317))))</f>
        <v>90</v>
      </c>
      <c r="AA317" s="18" t="n">
        <f aca="false">IF(I317="",0,IF(ISNUMBER(SEARCH("mp",LOWER(J317))),I317*0.33,IF(ISNUMBER(SEARCH("ton",LOWER(J317))),I317,I317*0.33)))</f>
        <v>29.7</v>
      </c>
      <c r="AB317" s="18" t="n">
        <f aca="false">Tabela_dane[[#This Row],[Wolumen_t]]*8.5</f>
        <v>252.45</v>
      </c>
      <c r="AC317" s="18" t="n">
        <f aca="false">IF(G317&lt;&gt;"TAK",0,IF(OR(E317="ZAKUP",E317="PRODUKCJA"),Z317,IF(OR(E317="SPRZEDAŻ",E317="ZUŻYCIE"),-Z317,0)))</f>
        <v>-90</v>
      </c>
      <c r="AD317" s="18" t="n">
        <f aca="false">IF(G317&lt;&gt;"TAK",0,IF(OR(E317="ZAKUP",E317="PRODUKCJA"),AA317,IF(OR(E317="SPRZEDAŻ",E317="ZUŻYCIE"),-AA317,0)))</f>
        <v>-29.7</v>
      </c>
      <c r="AE317" s="19" t="n">
        <f aca="false">IF(E317="ZAKUP",IF(L317&lt;&gt;"",L317,IF(K317&lt;&gt;"",Z317*K317,0)),0)</f>
        <v>0</v>
      </c>
      <c r="AF317" s="19" t="n">
        <f aca="false">IF(E317="SPRZEDAŻ",IF(M317&lt;&gt;"",Z317*M317,0),0)</f>
        <v>0</v>
      </c>
      <c r="AG317" s="19" t="str">
        <f aca="false">IF(R317="","",IF(LOWER(R317)="brak","Brak",IF(OR(ISNUMBER(SEARCH("ric pl",LOWER(R317))),ISNUMBER(SEARCH("wojciechowski",LOWER(R317)))),"Własny","Zewnętrzny")))</f>
        <v>Zewnętrzny</v>
      </c>
      <c r="AH317" s="19" t="n">
        <f aca="false">Z317*Q317</f>
        <v>0</v>
      </c>
      <c r="AI317" s="19" t="str">
        <f aca="false">UPPER(TEXT(C317,"mmmm"))</f>
        <v>AUGUST</v>
      </c>
      <c r="AJ317" s="19" t="str">
        <f aca="false">IF(C317="","",TEXT(C317,"rrrr"))</f>
        <v>CE5786CE5786</v>
      </c>
      <c r="AK317" s="10"/>
      <c r="AL317" s="11" t="n">
        <v>535</v>
      </c>
      <c r="AM317" s="10" t="s">
        <v>603</v>
      </c>
      <c r="AN317" s="10" t="s">
        <v>49</v>
      </c>
      <c r="AO317" s="10"/>
      <c r="AP317" s="10"/>
      <c r="AQ317" s="10"/>
      <c r="AR317" s="10" t="s">
        <v>66</v>
      </c>
      <c r="AS317" s="10"/>
      <c r="AT317" s="15" t="n">
        <v>1</v>
      </c>
    </row>
    <row r="318" customFormat="false" ht="28.5" hidden="false" customHeight="true" outlineLevel="0" collapsed="false">
      <c r="A318" s="12" t="n">
        <v>46241</v>
      </c>
      <c r="B318" s="12" t="s">
        <v>54</v>
      </c>
      <c r="C318" s="12" t="n">
        <v>46241</v>
      </c>
      <c r="D318" s="10" t="s">
        <v>54</v>
      </c>
      <c r="E318" s="10" t="s">
        <v>107</v>
      </c>
      <c r="F318" s="22" t="s">
        <v>604</v>
      </c>
      <c r="G318" s="14" t="s">
        <v>49</v>
      </c>
      <c r="H318" s="10"/>
      <c r="I318" s="15" t="n">
        <v>90</v>
      </c>
      <c r="J318" s="10" t="s">
        <v>51</v>
      </c>
      <c r="K318" s="15" t="n">
        <v>0</v>
      </c>
      <c r="L318" s="11" t="n">
        <v>0</v>
      </c>
      <c r="M318" s="11" t="n">
        <v>0</v>
      </c>
      <c r="N318" s="10" t="s">
        <v>52</v>
      </c>
      <c r="O318" s="10" t="s">
        <v>67</v>
      </c>
      <c r="P318" s="10"/>
      <c r="Q318" s="16" t="n">
        <v>0</v>
      </c>
      <c r="R318" s="10" t="s">
        <v>94</v>
      </c>
      <c r="S318" s="10" t="s">
        <v>95</v>
      </c>
      <c r="T318" s="10" t="n">
        <v>40</v>
      </c>
      <c r="U318" s="11" t="n">
        <f aca="false">IF(E318="TRANSPORT",IF(T318="","",T318*5),IF(AL318="","",AL318))</f>
        <v>200</v>
      </c>
      <c r="V318" s="10" t="s">
        <v>106</v>
      </c>
      <c r="W318" s="15" t="s">
        <v>65</v>
      </c>
      <c r="X318" s="15"/>
      <c r="Y318" s="17" t="n">
        <v>46244.4432060185</v>
      </c>
      <c r="Z318" s="18" t="n">
        <f aca="false">IF(I318="",0,IF(ISNUMBER(SEARCH("mp",LOWER(J318))),I318,IF(ISNUMBER(SEARCH("ton",LOWER(J318))),I318/0.33,IF(ISNUMBER(SEARCH("m3",LOWER(J318))),I318*4,I318))))</f>
        <v>90</v>
      </c>
      <c r="AA318" s="18" t="n">
        <f aca="false">IF(I318="",0,IF(ISNUMBER(SEARCH("mp",LOWER(J318))),I318*0.33,IF(ISNUMBER(SEARCH("ton",LOWER(J318))),I318,I318*0.33)))</f>
        <v>29.7</v>
      </c>
      <c r="AB318" s="18" t="n">
        <f aca="false">Tabela_dane[[#This Row],[Wolumen_t]]*8.5</f>
        <v>252.45</v>
      </c>
      <c r="AC318" s="18" t="n">
        <f aca="false">IF(G318&lt;&gt;"TAK",0,IF(OR(E318="ZAKUP",E318="PRODUKCJA"),Z318,IF(OR(E318="SPRZEDAŻ",E318="ZUŻYCIE"),-Z318,0)))</f>
        <v>0</v>
      </c>
      <c r="AD318" s="18" t="n">
        <f aca="false">IF(G318&lt;&gt;"TAK",0,IF(OR(E318="ZAKUP",E318="PRODUKCJA"),AA318,IF(OR(E318="SPRZEDAŻ",E318="ZUŻYCIE"),-AA318,0)))</f>
        <v>0</v>
      </c>
      <c r="AE318" s="19" t="n">
        <f aca="false">IF(E318="ZAKUP",IF(L318&lt;&gt;"",L318,IF(K318&lt;&gt;"",Z318*K318,0)),0)</f>
        <v>0</v>
      </c>
      <c r="AF318" s="19" t="n">
        <f aca="false">IF(E318="SPRZEDAŻ",IF(M318&lt;&gt;"",Z318*M318,0),0)</f>
        <v>0</v>
      </c>
      <c r="AG318" s="19" t="str">
        <f aca="false">IF(R318="","",IF(LOWER(R318)="brak","Brak",IF(OR(ISNUMBER(SEARCH("ric pl",LOWER(R318))),ISNUMBER(SEARCH("wojciechowski",LOWER(R318)))),"Własny","Zewnętrzny")))</f>
        <v>Zewnętrzny</v>
      </c>
      <c r="AH318" s="19" t="n">
        <f aca="false">Z318*Q318</f>
        <v>0</v>
      </c>
      <c r="AI318" s="19" t="str">
        <f aca="false">UPPER(TEXT(C318,"mmmm"))</f>
        <v>AUGUST</v>
      </c>
      <c r="AJ318" s="19" t="str">
        <f aca="false">IF(C318="","",TEXT(C318,"rrrr"))</f>
        <v>CE5786CE5786</v>
      </c>
      <c r="AK318" s="10"/>
      <c r="AL318" s="11" t="n">
        <v>200</v>
      </c>
      <c r="AM318" s="10" t="s">
        <v>605</v>
      </c>
      <c r="AN318" s="10" t="s">
        <v>49</v>
      </c>
      <c r="AO318" s="10"/>
      <c r="AP318" s="10"/>
      <c r="AQ318" s="10"/>
      <c r="AR318" s="10" t="s">
        <v>66</v>
      </c>
      <c r="AS318" s="10"/>
      <c r="AT318" s="15" t="n">
        <v>1</v>
      </c>
    </row>
    <row r="319" customFormat="false" ht="28.5" hidden="false" customHeight="true" outlineLevel="0" collapsed="false">
      <c r="A319" s="12" t="n">
        <v>46241</v>
      </c>
      <c r="B319" s="12" t="s">
        <v>106</v>
      </c>
      <c r="C319" s="12" t="n">
        <v>46241</v>
      </c>
      <c r="D319" s="10" t="s">
        <v>106</v>
      </c>
      <c r="E319" s="10" t="s">
        <v>559</v>
      </c>
      <c r="F319" s="49" t="s">
        <v>606</v>
      </c>
      <c r="G319" s="14" t="s">
        <v>49</v>
      </c>
      <c r="H319" s="10" t="s">
        <v>76</v>
      </c>
      <c r="I319" s="15" t="n">
        <v>90</v>
      </c>
      <c r="J319" s="10" t="s">
        <v>51</v>
      </c>
      <c r="K319" s="15" t="n">
        <v>0</v>
      </c>
      <c r="L319" s="11" t="n">
        <v>0</v>
      </c>
      <c r="M319" s="11" t="n">
        <v>0</v>
      </c>
      <c r="N319" s="10" t="s">
        <v>52</v>
      </c>
      <c r="O319" s="10" t="s">
        <v>67</v>
      </c>
      <c r="P319" s="10"/>
      <c r="Q319" s="16" t="n">
        <v>0</v>
      </c>
      <c r="R319" s="10" t="s">
        <v>94</v>
      </c>
      <c r="S319" s="10" t="s">
        <v>95</v>
      </c>
      <c r="T319" s="10" t="n">
        <v>107</v>
      </c>
      <c r="U319" s="11" t="n">
        <f aca="false">IF(E319="TRANSPORT",IF(T319="","",T319*5),IF(AL319="","",AL319))</f>
        <v>535</v>
      </c>
      <c r="V319" s="10" t="s">
        <v>561</v>
      </c>
      <c r="W319" s="15" t="s">
        <v>65</v>
      </c>
      <c r="X319" s="15"/>
      <c r="Y319" s="17" t="n">
        <v>46244.4436921296</v>
      </c>
      <c r="Z319" s="18" t="n">
        <f aca="false">IF(I319="",0,IF(ISNUMBER(SEARCH("mp",LOWER(J319))),I319,IF(ISNUMBER(SEARCH("ton",LOWER(J319))),I319/0.33,IF(ISNUMBER(SEARCH("m3",LOWER(J319))),I319*4,I319))))</f>
        <v>90</v>
      </c>
      <c r="AA319" s="18" t="n">
        <f aca="false">IF(I319="",0,IF(ISNUMBER(SEARCH("mp",LOWER(J319))),I319*0.33,IF(ISNUMBER(SEARCH("ton",LOWER(J319))),I319,I319*0.33)))</f>
        <v>29.7</v>
      </c>
      <c r="AB319" s="18" t="n">
        <f aca="false">Tabela_dane[[#This Row],[Wolumen_t]]*8.5</f>
        <v>252.45</v>
      </c>
      <c r="AC319" s="18" t="n">
        <f aca="false">IF(G319&lt;&gt;"TAK",0,IF(OR(E319="ZAKUP",E319="PRODUKCJA"),Z319,IF(OR(E319="SPRZEDAŻ",E319="ZUŻYCIE"),-Z319,0)))</f>
        <v>-90</v>
      </c>
      <c r="AD319" s="18" t="n">
        <f aca="false">IF(G319&lt;&gt;"TAK",0,IF(OR(E319="ZAKUP",E319="PRODUKCJA"),AA319,IF(OR(E319="SPRZEDAŻ",E319="ZUŻYCIE"),-AA319,0)))</f>
        <v>-29.7</v>
      </c>
      <c r="AE319" s="19" t="n">
        <f aca="false">IF(E319="ZAKUP",IF(L319&lt;&gt;"",L319,IF(K319&lt;&gt;"",Z319*K319,0)),0)</f>
        <v>0</v>
      </c>
      <c r="AF319" s="19" t="n">
        <f aca="false">IF(E319="SPRZEDAŻ",IF(M319&lt;&gt;"",Z319*M319,0),0)</f>
        <v>0</v>
      </c>
      <c r="AG319" s="19" t="str">
        <f aca="false">IF(R319="","",IF(LOWER(R319)="brak","Brak",IF(OR(ISNUMBER(SEARCH("ric pl",LOWER(R319))),ISNUMBER(SEARCH("wojciechowski",LOWER(R319)))),"Własny","Zewnętrzny")))</f>
        <v>Zewnętrzny</v>
      </c>
      <c r="AH319" s="19" t="n">
        <f aca="false">Z319*Q319</f>
        <v>0</v>
      </c>
      <c r="AI319" s="19" t="str">
        <f aca="false">UPPER(TEXT(C319,"mmmm"))</f>
        <v>AUGUST</v>
      </c>
      <c r="AJ319" s="19" t="str">
        <f aca="false">IF(C319="","",TEXT(C319,"rrrr"))</f>
        <v>CE5786CE5786</v>
      </c>
      <c r="AK319" s="10"/>
      <c r="AL319" s="11" t="n">
        <v>535</v>
      </c>
      <c r="AM319" s="10" t="s">
        <v>607</v>
      </c>
      <c r="AN319" s="10" t="s">
        <v>49</v>
      </c>
      <c r="AO319" s="10"/>
      <c r="AP319" s="10"/>
      <c r="AQ319" s="10"/>
      <c r="AR319" s="10" t="s">
        <v>66</v>
      </c>
      <c r="AS319" s="10"/>
      <c r="AT319" s="15" t="n">
        <v>1</v>
      </c>
    </row>
    <row r="320" customFormat="false" ht="28.5" hidden="false" customHeight="true" outlineLevel="0" collapsed="false">
      <c r="A320" s="12" t="n">
        <v>46241</v>
      </c>
      <c r="B320" s="12" t="s">
        <v>54</v>
      </c>
      <c r="C320" s="12" t="n">
        <v>46241</v>
      </c>
      <c r="D320" s="10" t="s">
        <v>54</v>
      </c>
      <c r="E320" s="10" t="s">
        <v>107</v>
      </c>
      <c r="F320" s="22" t="s">
        <v>608</v>
      </c>
      <c r="G320" s="14" t="s">
        <v>49</v>
      </c>
      <c r="H320" s="10"/>
      <c r="I320" s="15" t="n">
        <v>90</v>
      </c>
      <c r="J320" s="10" t="s">
        <v>51</v>
      </c>
      <c r="K320" s="15" t="n">
        <v>0</v>
      </c>
      <c r="L320" s="11" t="n">
        <v>0</v>
      </c>
      <c r="M320" s="11" t="n">
        <v>0</v>
      </c>
      <c r="N320" s="10" t="s">
        <v>52</v>
      </c>
      <c r="O320" s="10" t="s">
        <v>67</v>
      </c>
      <c r="P320" s="10"/>
      <c r="Q320" s="16" t="n">
        <v>0</v>
      </c>
      <c r="R320" s="10" t="s">
        <v>68</v>
      </c>
      <c r="S320" s="10" t="s">
        <v>69</v>
      </c>
      <c r="T320" s="10" t="n">
        <v>40</v>
      </c>
      <c r="U320" s="11" t="n">
        <f aca="false">IF(E320="TRANSPORT",IF(T320="","",T320*5),IF(AL320="","",AL320))</f>
        <v>200</v>
      </c>
      <c r="V320" s="10" t="s">
        <v>106</v>
      </c>
      <c r="W320" s="15" t="s">
        <v>70</v>
      </c>
      <c r="X320" s="15"/>
      <c r="Y320" s="17" t="n">
        <v>46244.4445023148</v>
      </c>
      <c r="Z320" s="18" t="n">
        <f aca="false">IF(I320="",0,IF(ISNUMBER(SEARCH("mp",LOWER(J320))),I320,IF(ISNUMBER(SEARCH("ton",LOWER(J320))),I320/0.33,IF(ISNUMBER(SEARCH("m3",LOWER(J320))),I320*4,I320))))</f>
        <v>90</v>
      </c>
      <c r="AA320" s="18" t="n">
        <f aca="false">IF(I320="",0,IF(ISNUMBER(SEARCH("mp",LOWER(J320))),I320*0.33,IF(ISNUMBER(SEARCH("ton",LOWER(J320))),I320,I320*0.33)))</f>
        <v>29.7</v>
      </c>
      <c r="AB320" s="18" t="n">
        <f aca="false">Tabela_dane[[#This Row],[Wolumen_t]]*8.5</f>
        <v>252.45</v>
      </c>
      <c r="AC320" s="18" t="n">
        <f aca="false">IF(G320&lt;&gt;"TAK",0,IF(OR(E320="ZAKUP",E320="PRODUKCJA"),Z320,IF(OR(E320="SPRZEDAŻ",E320="ZUŻYCIE"),-Z320,0)))</f>
        <v>0</v>
      </c>
      <c r="AD320" s="18" t="n">
        <f aca="false">IF(G320&lt;&gt;"TAK",0,IF(OR(E320="ZAKUP",E320="PRODUKCJA"),AA320,IF(OR(E320="SPRZEDAŻ",E320="ZUŻYCIE"),-AA320,0)))</f>
        <v>0</v>
      </c>
      <c r="AE320" s="19" t="n">
        <f aca="false">IF(E320="ZAKUP",IF(L320&lt;&gt;"",L320,IF(K320&lt;&gt;"",Z320*K320,0)),0)</f>
        <v>0</v>
      </c>
      <c r="AF320" s="19" t="n">
        <f aca="false">IF(E320="SPRZEDAŻ",IF(M320&lt;&gt;"",Z320*M320,0),0)</f>
        <v>0</v>
      </c>
      <c r="AG320" s="19" t="str">
        <f aca="false">IF(R320="","",IF(LOWER(R320)="brak","Brak",IF(OR(ISNUMBER(SEARCH("ric pl",LOWER(R320))),ISNUMBER(SEARCH("wojciechowski",LOWER(R320)))),"Własny","Zewnętrzny")))</f>
        <v>Zewnętrzny</v>
      </c>
      <c r="AH320" s="19" t="n">
        <f aca="false">Z320*Q320</f>
        <v>0</v>
      </c>
      <c r="AI320" s="19" t="str">
        <f aca="false">UPPER(TEXT(C320,"mmmm"))</f>
        <v>AUGUST</v>
      </c>
      <c r="AJ320" s="19" t="str">
        <f aca="false">IF(C320="","",TEXT(C320,"rrrr"))</f>
        <v>CE5786CE5786</v>
      </c>
      <c r="AK320" s="10"/>
      <c r="AL320" s="11" t="n">
        <v>200</v>
      </c>
      <c r="AM320" s="10" t="s">
        <v>609</v>
      </c>
      <c r="AN320" s="10" t="s">
        <v>49</v>
      </c>
      <c r="AO320" s="10"/>
      <c r="AP320" s="10"/>
      <c r="AQ320" s="10"/>
      <c r="AR320" s="10" t="s">
        <v>66</v>
      </c>
      <c r="AS320" s="10"/>
      <c r="AT320" s="15" t="n">
        <v>1</v>
      </c>
    </row>
    <row r="321" customFormat="false" ht="28.5" hidden="false" customHeight="true" outlineLevel="0" collapsed="false">
      <c r="A321" s="12" t="n">
        <v>46241</v>
      </c>
      <c r="B321" s="12" t="s">
        <v>106</v>
      </c>
      <c r="C321" s="12" t="n">
        <v>46241</v>
      </c>
      <c r="D321" s="10" t="s">
        <v>106</v>
      </c>
      <c r="E321" s="10" t="s">
        <v>559</v>
      </c>
      <c r="F321" s="49" t="s">
        <v>610</v>
      </c>
      <c r="G321" s="14" t="s">
        <v>49</v>
      </c>
      <c r="H321" s="10" t="s">
        <v>76</v>
      </c>
      <c r="I321" s="15" t="n">
        <v>90</v>
      </c>
      <c r="J321" s="10" t="s">
        <v>51</v>
      </c>
      <c r="K321" s="15" t="n">
        <v>0</v>
      </c>
      <c r="L321" s="11" t="n">
        <v>0</v>
      </c>
      <c r="M321" s="11" t="n">
        <v>0</v>
      </c>
      <c r="N321" s="10" t="s">
        <v>52</v>
      </c>
      <c r="O321" s="10" t="s">
        <v>67</v>
      </c>
      <c r="P321" s="10"/>
      <c r="Q321" s="16" t="n">
        <v>0</v>
      </c>
      <c r="R321" s="10" t="s">
        <v>68</v>
      </c>
      <c r="S321" s="10" t="s">
        <v>69</v>
      </c>
      <c r="T321" s="10" t="n">
        <v>107</v>
      </c>
      <c r="U321" s="11" t="n">
        <f aca="false">IF(E321="TRANSPORT",IF(T321="","",T321*5),IF(AL321="","",AL321))</f>
        <v>535</v>
      </c>
      <c r="V321" s="10" t="s">
        <v>561</v>
      </c>
      <c r="W321" s="15" t="s">
        <v>70</v>
      </c>
      <c r="X321" s="15"/>
      <c r="Y321" s="17" t="n">
        <v>46244.4449537037</v>
      </c>
      <c r="Z321" s="18" t="n">
        <f aca="false">IF(I321="",0,IF(ISNUMBER(SEARCH("mp",LOWER(J321))),I321,IF(ISNUMBER(SEARCH("ton",LOWER(J321))),I321/0.33,IF(ISNUMBER(SEARCH("m3",LOWER(J321))),I321*4,I321))))</f>
        <v>90</v>
      </c>
      <c r="AA321" s="18" t="n">
        <f aca="false">IF(I321="",0,IF(ISNUMBER(SEARCH("mp",LOWER(J321))),I321*0.33,IF(ISNUMBER(SEARCH("ton",LOWER(J321))),I321,I321*0.33)))</f>
        <v>29.7</v>
      </c>
      <c r="AB321" s="18" t="n">
        <f aca="false">Tabela_dane[[#This Row],[Wolumen_t]]*8.5</f>
        <v>252.45</v>
      </c>
      <c r="AC321" s="18" t="n">
        <f aca="false">IF(G321&lt;&gt;"TAK",0,IF(OR(E321="ZAKUP",E321="PRODUKCJA"),Z321,IF(OR(E321="SPRZEDAŻ",E321="ZUŻYCIE"),-Z321,0)))</f>
        <v>-90</v>
      </c>
      <c r="AD321" s="18" t="n">
        <f aca="false">IF(G321&lt;&gt;"TAK",0,IF(OR(E321="ZAKUP",E321="PRODUKCJA"),AA321,IF(OR(E321="SPRZEDAŻ",E321="ZUŻYCIE"),-AA321,0)))</f>
        <v>-29.7</v>
      </c>
      <c r="AE321" s="19" t="n">
        <f aca="false">IF(E321="ZAKUP",IF(L321&lt;&gt;"",L321,IF(K321&lt;&gt;"",Z321*K321,0)),0)</f>
        <v>0</v>
      </c>
      <c r="AF321" s="19" t="n">
        <f aca="false">IF(E321="SPRZEDAŻ",IF(M321&lt;&gt;"",Z321*M321,0),0)</f>
        <v>0</v>
      </c>
      <c r="AG321" s="19" t="str">
        <f aca="false">IF(R321="","",IF(LOWER(R321)="brak","Brak",IF(OR(ISNUMBER(SEARCH("ric pl",LOWER(R321))),ISNUMBER(SEARCH("wojciechowski",LOWER(R321)))),"Własny","Zewnętrzny")))</f>
        <v>Zewnętrzny</v>
      </c>
      <c r="AH321" s="19" t="n">
        <f aca="false">Z321*Q321</f>
        <v>0</v>
      </c>
      <c r="AI321" s="19" t="str">
        <f aca="false">UPPER(TEXT(C321,"mmmm"))</f>
        <v>AUGUST</v>
      </c>
      <c r="AJ321" s="19" t="str">
        <f aca="false">IF(C321="","",TEXT(C321,"rrrr"))</f>
        <v>CE5786CE5786</v>
      </c>
      <c r="AK321" s="10"/>
      <c r="AL321" s="11" t="n">
        <v>535</v>
      </c>
      <c r="AM321" s="10" t="s">
        <v>611</v>
      </c>
      <c r="AN321" s="10" t="s">
        <v>49</v>
      </c>
      <c r="AO321" s="10"/>
      <c r="AP321" s="10"/>
      <c r="AQ321" s="10"/>
      <c r="AR321" s="10" t="s">
        <v>66</v>
      </c>
      <c r="AS321" s="10"/>
      <c r="AT321" s="15" t="n">
        <v>1</v>
      </c>
    </row>
    <row r="322" customFormat="false" ht="28.5" hidden="false" customHeight="true" outlineLevel="0" collapsed="false">
      <c r="A322" s="12" t="n">
        <v>46241</v>
      </c>
      <c r="B322" s="12" t="s">
        <v>54</v>
      </c>
      <c r="C322" s="12" t="n">
        <v>46241</v>
      </c>
      <c r="D322" s="10" t="s">
        <v>54</v>
      </c>
      <c r="E322" s="10" t="s">
        <v>107</v>
      </c>
      <c r="F322" s="22" t="s">
        <v>612</v>
      </c>
      <c r="G322" s="14" t="s">
        <v>49</v>
      </c>
      <c r="H322" s="10"/>
      <c r="I322" s="15" t="n">
        <v>90</v>
      </c>
      <c r="J322" s="10" t="s">
        <v>51</v>
      </c>
      <c r="K322" s="15" t="n">
        <v>0</v>
      </c>
      <c r="L322" s="11" t="n">
        <v>0</v>
      </c>
      <c r="M322" s="11" t="n">
        <v>0</v>
      </c>
      <c r="N322" s="10" t="s">
        <v>52</v>
      </c>
      <c r="O322" s="10" t="s">
        <v>67</v>
      </c>
      <c r="P322" s="10"/>
      <c r="Q322" s="16" t="n">
        <v>0</v>
      </c>
      <c r="R322" s="10" t="s">
        <v>68</v>
      </c>
      <c r="S322" s="10" t="s">
        <v>69</v>
      </c>
      <c r="T322" s="10" t="n">
        <v>40</v>
      </c>
      <c r="U322" s="11" t="n">
        <f aca="false">IF(E322="TRANSPORT",IF(T322="","",T322*5),IF(AL322="","",AL322))</f>
        <v>200</v>
      </c>
      <c r="V322" s="10" t="s">
        <v>106</v>
      </c>
      <c r="W322" s="15" t="s">
        <v>70</v>
      </c>
      <c r="X322" s="15"/>
      <c r="Y322" s="17" t="n">
        <v>46249.567037037</v>
      </c>
      <c r="Z322" s="18" t="n">
        <f aca="false">IF(I322="",0,IF(ISNUMBER(SEARCH("mp",LOWER(J322))),I322,IF(ISNUMBER(SEARCH("ton",LOWER(J322))),I322/0.33,IF(ISNUMBER(SEARCH("m3",LOWER(J322))),I322*4,I322))))</f>
        <v>90</v>
      </c>
      <c r="AA322" s="18" t="n">
        <f aca="false">IF(I322="",0,IF(ISNUMBER(SEARCH("mp",LOWER(J322))),I322*0.33,IF(ISNUMBER(SEARCH("ton",LOWER(J322))),I322,I322*0.33)))</f>
        <v>29.7</v>
      </c>
      <c r="AB322" s="18" t="n">
        <f aca="false">Tabela_dane[[#This Row],[Wolumen_t]]*8.5</f>
        <v>252.45</v>
      </c>
      <c r="AC322" s="18" t="n">
        <f aca="false">IF(G322&lt;&gt;"TAK",0,IF(OR(E322="ZAKUP",E322="PRODUKCJA"),Z322,IF(OR(E322="SPRZEDAŻ",E322="ZUŻYCIE"),-Z322,0)))</f>
        <v>0</v>
      </c>
      <c r="AD322" s="18" t="n">
        <f aca="false">IF(G322&lt;&gt;"TAK",0,IF(OR(E322="ZAKUP",E322="PRODUKCJA"),AA322,IF(OR(E322="SPRZEDAŻ",E322="ZUŻYCIE"),-AA322,0)))</f>
        <v>0</v>
      </c>
      <c r="AE322" s="19" t="n">
        <f aca="false">IF(E322="ZAKUP",IF(L322&lt;&gt;"",L322,IF(K322&lt;&gt;"",Z322*K322,0)),0)</f>
        <v>0</v>
      </c>
      <c r="AF322" s="19" t="n">
        <f aca="false">IF(E322="SPRZEDAŻ",IF(M322&lt;&gt;"",Z322*M322,0),0)</f>
        <v>0</v>
      </c>
      <c r="AG322" s="19" t="str">
        <f aca="false">IF(R322="","",IF(LOWER(R322)="brak","Brak",IF(OR(ISNUMBER(SEARCH("ric pl",LOWER(R322))),ISNUMBER(SEARCH("wojciechowski",LOWER(R322)))),"Własny","Zewnętrzny")))</f>
        <v>Zewnętrzny</v>
      </c>
      <c r="AH322" s="19" t="n">
        <f aca="false">Z322*Q322</f>
        <v>0</v>
      </c>
      <c r="AI322" s="19" t="str">
        <f aca="false">UPPER(TEXT(C322,"mmmm"))</f>
        <v>AUGUST</v>
      </c>
      <c r="AJ322" s="19" t="str">
        <f aca="false">IF(C322="","",TEXT(C322,"rrrr"))</f>
        <v>CE5786CE5786</v>
      </c>
      <c r="AK322" s="10"/>
      <c r="AL322" s="11" t="n">
        <v>200</v>
      </c>
      <c r="AM322" s="10" t="s">
        <v>613</v>
      </c>
      <c r="AN322" s="10" t="s">
        <v>49</v>
      </c>
      <c r="AO322" s="10"/>
      <c r="AP322" s="10"/>
      <c r="AQ322" s="10"/>
      <c r="AR322" s="10" t="s">
        <v>66</v>
      </c>
      <c r="AS322" s="10"/>
      <c r="AT322" s="15" t="n">
        <v>1</v>
      </c>
    </row>
    <row r="323" customFormat="false" ht="28.5" hidden="false" customHeight="true" outlineLevel="0" collapsed="false">
      <c r="A323" s="12" t="n">
        <v>46241</v>
      </c>
      <c r="B323" s="12" t="s">
        <v>106</v>
      </c>
      <c r="C323" s="12" t="n">
        <v>46241</v>
      </c>
      <c r="D323" s="10" t="s">
        <v>106</v>
      </c>
      <c r="E323" s="10" t="s">
        <v>559</v>
      </c>
      <c r="F323" s="49" t="s">
        <v>614</v>
      </c>
      <c r="G323" s="14" t="s">
        <v>49</v>
      </c>
      <c r="H323" s="10" t="s">
        <v>76</v>
      </c>
      <c r="I323" s="15" t="n">
        <v>90</v>
      </c>
      <c r="J323" s="10" t="s">
        <v>51</v>
      </c>
      <c r="K323" s="15" t="n">
        <v>0</v>
      </c>
      <c r="L323" s="11" t="n">
        <v>0</v>
      </c>
      <c r="M323" s="11" t="n">
        <v>0</v>
      </c>
      <c r="N323" s="10" t="s">
        <v>52</v>
      </c>
      <c r="O323" s="10" t="s">
        <v>67</v>
      </c>
      <c r="P323" s="10"/>
      <c r="Q323" s="16" t="n">
        <v>0</v>
      </c>
      <c r="R323" s="10" t="s">
        <v>68</v>
      </c>
      <c r="S323" s="10" t="s">
        <v>69</v>
      </c>
      <c r="T323" s="10" t="n">
        <v>107</v>
      </c>
      <c r="U323" s="11" t="n">
        <f aca="false">IF(E323="TRANSPORT",IF(T323="","",T323*5),IF(AL323="","",AL323))</f>
        <v>535</v>
      </c>
      <c r="V323" s="10" t="s">
        <v>561</v>
      </c>
      <c r="W323" s="15" t="s">
        <v>70</v>
      </c>
      <c r="X323" s="15"/>
      <c r="Y323" s="17" t="n">
        <v>46249.5677777778</v>
      </c>
      <c r="Z323" s="18" t="n">
        <f aca="false">IF(I323="",0,IF(ISNUMBER(SEARCH("mp",LOWER(J323))),I323,IF(ISNUMBER(SEARCH("ton",LOWER(J323))),I323/0.33,IF(ISNUMBER(SEARCH("m3",LOWER(J323))),I323*4,I323))))</f>
        <v>90</v>
      </c>
      <c r="AA323" s="18" t="n">
        <f aca="false">IF(I323="",0,IF(ISNUMBER(SEARCH("mp",LOWER(J323))),I323*0.33,IF(ISNUMBER(SEARCH("ton",LOWER(J323))),I323,I323*0.33)))</f>
        <v>29.7</v>
      </c>
      <c r="AB323" s="18" t="n">
        <f aca="false">Tabela_dane[[#This Row],[Wolumen_t]]*8.5</f>
        <v>252.45</v>
      </c>
      <c r="AC323" s="18" t="n">
        <f aca="false">IF(G323&lt;&gt;"TAK",0,IF(OR(E323="ZAKUP",E323="PRODUKCJA"),Z323,IF(OR(E323="SPRZEDAŻ",E323="ZUŻYCIE"),-Z323,0)))</f>
        <v>-90</v>
      </c>
      <c r="AD323" s="18" t="n">
        <f aca="false">IF(G323&lt;&gt;"TAK",0,IF(OR(E323="ZAKUP",E323="PRODUKCJA"),AA323,IF(OR(E323="SPRZEDAŻ",E323="ZUŻYCIE"),-AA323,0)))</f>
        <v>-29.7</v>
      </c>
      <c r="AE323" s="19" t="n">
        <f aca="false">IF(E323="ZAKUP",IF(L323&lt;&gt;"",L323,IF(K323&lt;&gt;"",Z323*K323,0)),0)</f>
        <v>0</v>
      </c>
      <c r="AF323" s="19" t="n">
        <f aca="false">IF(E323="SPRZEDAŻ",IF(M323&lt;&gt;"",Z323*M323,0),0)</f>
        <v>0</v>
      </c>
      <c r="AG323" s="19" t="str">
        <f aca="false">IF(R323="","",IF(LOWER(R323)="brak","Brak",IF(OR(ISNUMBER(SEARCH("ric pl",LOWER(R323))),ISNUMBER(SEARCH("wojciechowski",LOWER(R323)))),"Własny","Zewnętrzny")))</f>
        <v>Zewnętrzny</v>
      </c>
      <c r="AH323" s="19" t="n">
        <f aca="false">Z323*Q323</f>
        <v>0</v>
      </c>
      <c r="AI323" s="19" t="str">
        <f aca="false">UPPER(TEXT(C323,"mmmm"))</f>
        <v>AUGUST</v>
      </c>
      <c r="AJ323" s="19" t="str">
        <f aca="false">IF(C323="","",TEXT(C323,"rrrr"))</f>
        <v>CE5786CE5786</v>
      </c>
      <c r="AK323" s="10"/>
      <c r="AL323" s="11" t="n">
        <v>535</v>
      </c>
      <c r="AM323" s="10" t="s">
        <v>615</v>
      </c>
      <c r="AN323" s="10" t="s">
        <v>49</v>
      </c>
      <c r="AO323" s="10"/>
      <c r="AP323" s="10"/>
      <c r="AQ323" s="10"/>
      <c r="AR323" s="10" t="s">
        <v>66</v>
      </c>
      <c r="AS323" s="10"/>
      <c r="AT323" s="15" t="n">
        <v>1</v>
      </c>
    </row>
    <row r="324" customFormat="false" ht="28.5" hidden="false" customHeight="true" outlineLevel="0" collapsed="false">
      <c r="A324" s="12" t="n">
        <v>46241</v>
      </c>
      <c r="B324" s="12" t="s">
        <v>54</v>
      </c>
      <c r="C324" s="12" t="n">
        <v>46241</v>
      </c>
      <c r="D324" s="10" t="s">
        <v>54</v>
      </c>
      <c r="E324" s="10" t="s">
        <v>107</v>
      </c>
      <c r="F324" s="22" t="s">
        <v>616</v>
      </c>
      <c r="G324" s="14" t="s">
        <v>49</v>
      </c>
      <c r="H324" s="10"/>
      <c r="I324" s="15" t="n">
        <v>90</v>
      </c>
      <c r="J324" s="10" t="s">
        <v>51</v>
      </c>
      <c r="K324" s="15" t="n">
        <v>0</v>
      </c>
      <c r="L324" s="11" t="n">
        <v>0</v>
      </c>
      <c r="M324" s="11" t="n">
        <v>0</v>
      </c>
      <c r="N324" s="10" t="s">
        <v>52</v>
      </c>
      <c r="O324" s="10" t="s">
        <v>67</v>
      </c>
      <c r="P324" s="10"/>
      <c r="Q324" s="16" t="n">
        <v>0</v>
      </c>
      <c r="R324" s="10" t="s">
        <v>94</v>
      </c>
      <c r="S324" s="10" t="s">
        <v>95</v>
      </c>
      <c r="T324" s="10" t="n">
        <v>40</v>
      </c>
      <c r="U324" s="11" t="n">
        <f aca="false">IF(E324="TRANSPORT",IF(T324="","",T324*5),IF(AL324="","",AL324))</f>
        <v>200</v>
      </c>
      <c r="V324" s="10" t="s">
        <v>106</v>
      </c>
      <c r="W324" s="15" t="s">
        <v>65</v>
      </c>
      <c r="X324" s="15"/>
      <c r="Y324" s="17" t="n">
        <v>46249.8510532407</v>
      </c>
      <c r="Z324" s="18" t="n">
        <f aca="false">IF(I324="",0,IF(ISNUMBER(SEARCH("mp",LOWER(J324))),I324,IF(ISNUMBER(SEARCH("ton",LOWER(J324))),I324/0.33,IF(ISNUMBER(SEARCH("m3",LOWER(J324))),I324*4,I324))))</f>
        <v>90</v>
      </c>
      <c r="AA324" s="18" t="n">
        <f aca="false">IF(I324="",0,IF(ISNUMBER(SEARCH("mp",LOWER(J324))),I324*0.33,IF(ISNUMBER(SEARCH("ton",LOWER(J324))),I324,I324*0.33)))</f>
        <v>29.7</v>
      </c>
      <c r="AB324" s="18" t="n">
        <f aca="false">Tabela_dane[[#This Row],[Wolumen_t]]*8.5</f>
        <v>252.45</v>
      </c>
      <c r="AC324" s="18" t="n">
        <f aca="false">IF(G324&lt;&gt;"TAK",0,IF(OR(E324="ZAKUP",E324="PRODUKCJA"),Z324,IF(OR(E324="SPRZEDAŻ",E324="ZUŻYCIE"),-Z324,0)))</f>
        <v>0</v>
      </c>
      <c r="AD324" s="18" t="n">
        <f aca="false">IF(G324&lt;&gt;"TAK",0,IF(OR(E324="ZAKUP",E324="PRODUKCJA"),AA324,IF(OR(E324="SPRZEDAŻ",E324="ZUŻYCIE"),-AA324,0)))</f>
        <v>0</v>
      </c>
      <c r="AE324" s="19" t="n">
        <f aca="false">IF(E324="ZAKUP",IF(L324&lt;&gt;"",L324,IF(K324&lt;&gt;"",Z324*K324,0)),0)</f>
        <v>0</v>
      </c>
      <c r="AF324" s="19" t="n">
        <f aca="false">IF(E324="SPRZEDAŻ",IF(M324&lt;&gt;"",Z324*M324,0),0)</f>
        <v>0</v>
      </c>
      <c r="AG324" s="19" t="str">
        <f aca="false">IF(R324="","",IF(LOWER(R324)="brak","Brak",IF(OR(ISNUMBER(SEARCH("ric pl",LOWER(R324))),ISNUMBER(SEARCH("wojciechowski",LOWER(R324)))),"Własny","Zewnętrzny")))</f>
        <v>Zewnętrzny</v>
      </c>
      <c r="AH324" s="19" t="n">
        <f aca="false">Z324*Q324</f>
        <v>0</v>
      </c>
      <c r="AI324" s="19" t="str">
        <f aca="false">UPPER(TEXT(C324,"mmmm"))</f>
        <v>AUGUST</v>
      </c>
      <c r="AJ324" s="19" t="str">
        <f aca="false">IF(C324="","",TEXT(C324,"rrrr"))</f>
        <v>CE5786CE5786</v>
      </c>
      <c r="AK324" s="10"/>
      <c r="AL324" s="11" t="n">
        <v>200</v>
      </c>
      <c r="AM324" s="10" t="s">
        <v>617</v>
      </c>
      <c r="AN324" s="10" t="s">
        <v>49</v>
      </c>
      <c r="AO324" s="10"/>
      <c r="AP324" s="10"/>
      <c r="AQ324" s="10"/>
      <c r="AR324" s="10" t="s">
        <v>66</v>
      </c>
      <c r="AS324" s="10"/>
      <c r="AT324" s="15" t="n">
        <v>1</v>
      </c>
    </row>
    <row r="325" customFormat="false" ht="28.5" hidden="false" customHeight="true" outlineLevel="0" collapsed="false">
      <c r="A325" s="12" t="n">
        <v>46241</v>
      </c>
      <c r="B325" s="12" t="s">
        <v>106</v>
      </c>
      <c r="C325" s="12" t="n">
        <v>46241</v>
      </c>
      <c r="D325" s="10" t="s">
        <v>106</v>
      </c>
      <c r="E325" s="10" t="s">
        <v>559</v>
      </c>
      <c r="F325" s="49" t="s">
        <v>618</v>
      </c>
      <c r="G325" s="14" t="s">
        <v>49</v>
      </c>
      <c r="H325" s="10" t="s">
        <v>76</v>
      </c>
      <c r="I325" s="15" t="n">
        <v>90</v>
      </c>
      <c r="J325" s="10" t="s">
        <v>51</v>
      </c>
      <c r="K325" s="15" t="n">
        <v>0</v>
      </c>
      <c r="L325" s="11" t="n">
        <v>0</v>
      </c>
      <c r="M325" s="11" t="n">
        <v>0</v>
      </c>
      <c r="N325" s="10" t="s">
        <v>52</v>
      </c>
      <c r="O325" s="10" t="s">
        <v>67</v>
      </c>
      <c r="P325" s="10"/>
      <c r="Q325" s="16" t="n">
        <v>0</v>
      </c>
      <c r="R325" s="10" t="s">
        <v>94</v>
      </c>
      <c r="S325" s="10" t="s">
        <v>95</v>
      </c>
      <c r="T325" s="10" t="n">
        <v>107</v>
      </c>
      <c r="U325" s="11" t="n">
        <f aca="false">IF(E325="TRANSPORT",IF(T325="","",T325*5),IF(AL325="","",AL325))</f>
        <v>535</v>
      </c>
      <c r="V325" s="10" t="s">
        <v>561</v>
      </c>
      <c r="W325" s="15" t="s">
        <v>70</v>
      </c>
      <c r="X325" s="15"/>
      <c r="Y325" s="17" t="n">
        <v>46249.8518402778</v>
      </c>
      <c r="Z325" s="18" t="n">
        <f aca="false">IF(I325="",0,IF(ISNUMBER(SEARCH("mp",LOWER(J325))),I325,IF(ISNUMBER(SEARCH("ton",LOWER(J325))),I325/0.33,IF(ISNUMBER(SEARCH("m3",LOWER(J325))),I325*4,I325))))</f>
        <v>90</v>
      </c>
      <c r="AA325" s="18" t="n">
        <f aca="false">IF(I325="",0,IF(ISNUMBER(SEARCH("mp",LOWER(J325))),I325*0.33,IF(ISNUMBER(SEARCH("ton",LOWER(J325))),I325,I325*0.33)))</f>
        <v>29.7</v>
      </c>
      <c r="AB325" s="18" t="n">
        <f aca="false">Tabela_dane[[#This Row],[Wolumen_t]]*8.5</f>
        <v>252.45</v>
      </c>
      <c r="AC325" s="18" t="n">
        <f aca="false">IF(G325&lt;&gt;"TAK",0,IF(OR(E325="ZAKUP",E325="PRODUKCJA"),Z325,IF(OR(E325="SPRZEDAŻ",E325="ZUŻYCIE"),-Z325,0)))</f>
        <v>-90</v>
      </c>
      <c r="AD325" s="18" t="n">
        <f aca="false">IF(G325&lt;&gt;"TAK",0,IF(OR(E325="ZAKUP",E325="PRODUKCJA"),AA325,IF(OR(E325="SPRZEDAŻ",E325="ZUŻYCIE"),-AA325,0)))</f>
        <v>-29.7</v>
      </c>
      <c r="AE325" s="19" t="n">
        <f aca="false">IF(E325="ZAKUP",IF(L325&lt;&gt;"",L325,IF(K325&lt;&gt;"",Z325*K325,0)),0)</f>
        <v>0</v>
      </c>
      <c r="AF325" s="19" t="n">
        <f aca="false">IF(E325="SPRZEDAŻ",IF(M325&lt;&gt;"",Z325*M325,0),0)</f>
        <v>0</v>
      </c>
      <c r="AG325" s="19" t="str">
        <f aca="false">IF(R325="","",IF(LOWER(R325)="brak","Brak",IF(OR(ISNUMBER(SEARCH("ric pl",LOWER(R325))),ISNUMBER(SEARCH("wojciechowski",LOWER(R325)))),"Własny","Zewnętrzny")))</f>
        <v>Zewnętrzny</v>
      </c>
      <c r="AH325" s="19" t="n">
        <f aca="false">Z325*Q325</f>
        <v>0</v>
      </c>
      <c r="AI325" s="19" t="str">
        <f aca="false">UPPER(TEXT(C325,"mmmm"))</f>
        <v>AUGUST</v>
      </c>
      <c r="AJ325" s="19" t="str">
        <f aca="false">IF(C325="","",TEXT(C325,"rrrr"))</f>
        <v>CE5786CE5786</v>
      </c>
      <c r="AK325" s="10"/>
      <c r="AL325" s="11" t="n">
        <v>535</v>
      </c>
      <c r="AM325" s="10" t="s">
        <v>619</v>
      </c>
      <c r="AN325" s="10" t="s">
        <v>49</v>
      </c>
      <c r="AO325" s="10"/>
      <c r="AP325" s="10"/>
      <c r="AQ325" s="10"/>
      <c r="AR325" s="10" t="s">
        <v>66</v>
      </c>
      <c r="AS325" s="10"/>
      <c r="AT325" s="15" t="n">
        <v>1</v>
      </c>
    </row>
    <row r="326" customFormat="false" ht="28.5" hidden="false" customHeight="true" outlineLevel="0" collapsed="false">
      <c r="A326" s="12" t="n">
        <v>46241</v>
      </c>
      <c r="B326" s="12" t="s">
        <v>54</v>
      </c>
      <c r="C326" s="12" t="n">
        <v>46241</v>
      </c>
      <c r="D326" s="10" t="s">
        <v>54</v>
      </c>
      <c r="E326" s="10" t="s">
        <v>107</v>
      </c>
      <c r="F326" s="22" t="s">
        <v>620</v>
      </c>
      <c r="G326" s="14" t="s">
        <v>49</v>
      </c>
      <c r="H326" s="10"/>
      <c r="I326" s="15" t="n">
        <v>90</v>
      </c>
      <c r="J326" s="10" t="s">
        <v>51</v>
      </c>
      <c r="K326" s="15" t="n">
        <v>0</v>
      </c>
      <c r="L326" s="11" t="n">
        <v>0</v>
      </c>
      <c r="M326" s="11" t="n">
        <v>0</v>
      </c>
      <c r="N326" s="10" t="s">
        <v>52</v>
      </c>
      <c r="O326" s="10" t="s">
        <v>67</v>
      </c>
      <c r="P326" s="10"/>
      <c r="Q326" s="16" t="n">
        <v>0</v>
      </c>
      <c r="R326" s="10" t="s">
        <v>182</v>
      </c>
      <c r="S326" s="10" t="s">
        <v>509</v>
      </c>
      <c r="T326" s="10" t="n">
        <v>40</v>
      </c>
      <c r="U326" s="11" t="n">
        <f aca="false">IF(E326="TRANSPORT",IF(T326="","",T326*5),IF(AL326="","",AL326))</f>
        <v>200</v>
      </c>
      <c r="V326" s="10" t="s">
        <v>106</v>
      </c>
      <c r="W326" s="15" t="s">
        <v>70</v>
      </c>
      <c r="X326" s="15"/>
      <c r="Y326" s="17" t="n">
        <v>46249.8556481482</v>
      </c>
      <c r="Z326" s="18" t="n">
        <f aca="false">IF(I326="",0,IF(ISNUMBER(SEARCH("mp",LOWER(J326))),I326,IF(ISNUMBER(SEARCH("ton",LOWER(J326))),I326/0.33,IF(ISNUMBER(SEARCH("m3",LOWER(J326))),I326*4,I326))))</f>
        <v>90</v>
      </c>
      <c r="AA326" s="18" t="n">
        <f aca="false">IF(I326="",0,IF(ISNUMBER(SEARCH("mp",LOWER(J326))),I326*0.33,IF(ISNUMBER(SEARCH("ton",LOWER(J326))),I326,I326*0.33)))</f>
        <v>29.7</v>
      </c>
      <c r="AB326" s="18" t="n">
        <f aca="false">Tabela_dane[[#This Row],[Wolumen_t]]*8.5</f>
        <v>252.45</v>
      </c>
      <c r="AC326" s="18" t="n">
        <f aca="false">IF(G326&lt;&gt;"TAK",0,IF(OR(E326="ZAKUP",E326="PRODUKCJA"),Z326,IF(OR(E326="SPRZEDAŻ",E326="ZUŻYCIE"),-Z326,0)))</f>
        <v>0</v>
      </c>
      <c r="AD326" s="18" t="n">
        <f aca="false">IF(G326&lt;&gt;"TAK",0,IF(OR(E326="ZAKUP",E326="PRODUKCJA"),AA326,IF(OR(E326="SPRZEDAŻ",E326="ZUŻYCIE"),-AA326,0)))</f>
        <v>0</v>
      </c>
      <c r="AE326" s="19" t="n">
        <f aca="false">IF(E326="ZAKUP",IF(L326&lt;&gt;"",L326,IF(K326&lt;&gt;"",Z326*K326,0)),0)</f>
        <v>0</v>
      </c>
      <c r="AF326" s="19" t="n">
        <f aca="false">IF(E326="SPRZEDAŻ",IF(M326&lt;&gt;"",Z326*M326,0),0)</f>
        <v>0</v>
      </c>
      <c r="AG326" s="19" t="str">
        <f aca="false">IF(R326="","",IF(LOWER(R326)="brak","Brak",IF(OR(ISNUMBER(SEARCH("ric pl",LOWER(R326))),ISNUMBER(SEARCH("wojciechowski",LOWER(R326)))),"Własny","Zewnętrzny")))</f>
        <v>Zewnętrzny</v>
      </c>
      <c r="AH326" s="19" t="n">
        <f aca="false">Z326*Q326</f>
        <v>0</v>
      </c>
      <c r="AI326" s="19" t="str">
        <f aca="false">UPPER(TEXT(C326,"mmmm"))</f>
        <v>AUGUST</v>
      </c>
      <c r="AJ326" s="19" t="str">
        <f aca="false">IF(C326="","",TEXT(C326,"rrrr"))</f>
        <v>CE5786CE5786</v>
      </c>
      <c r="AK326" s="10"/>
      <c r="AL326" s="11" t="n">
        <v>200</v>
      </c>
      <c r="AM326" s="10" t="s">
        <v>621</v>
      </c>
      <c r="AN326" s="10" t="s">
        <v>49</v>
      </c>
      <c r="AO326" s="10"/>
      <c r="AP326" s="10"/>
      <c r="AQ326" s="10"/>
      <c r="AR326" s="10" t="s">
        <v>66</v>
      </c>
      <c r="AS326" s="10"/>
      <c r="AT326" s="15" t="n">
        <v>1</v>
      </c>
    </row>
    <row r="327" customFormat="false" ht="28.5" hidden="false" customHeight="true" outlineLevel="0" collapsed="false">
      <c r="A327" s="12" t="n">
        <v>46241</v>
      </c>
      <c r="B327" s="12" t="s">
        <v>106</v>
      </c>
      <c r="C327" s="12" t="n">
        <v>46241</v>
      </c>
      <c r="D327" s="10" t="s">
        <v>106</v>
      </c>
      <c r="E327" s="10" t="s">
        <v>559</v>
      </c>
      <c r="F327" s="49" t="s">
        <v>622</v>
      </c>
      <c r="G327" s="14" t="s">
        <v>49</v>
      </c>
      <c r="H327" s="10" t="s">
        <v>76</v>
      </c>
      <c r="I327" s="15" t="n">
        <v>90</v>
      </c>
      <c r="J327" s="10" t="s">
        <v>51</v>
      </c>
      <c r="K327" s="15" t="n">
        <v>0</v>
      </c>
      <c r="L327" s="11" t="n">
        <v>0</v>
      </c>
      <c r="M327" s="11" t="n">
        <v>0</v>
      </c>
      <c r="N327" s="10" t="s">
        <v>52</v>
      </c>
      <c r="O327" s="10" t="s">
        <v>67</v>
      </c>
      <c r="P327" s="10"/>
      <c r="Q327" s="16" t="n">
        <v>0</v>
      </c>
      <c r="R327" s="10" t="s">
        <v>182</v>
      </c>
      <c r="S327" s="10" t="s">
        <v>509</v>
      </c>
      <c r="T327" s="10" t="n">
        <v>107</v>
      </c>
      <c r="U327" s="11" t="n">
        <f aca="false">IF(E327="TRANSPORT",IF(T327="","",T327*5),IF(AL327="","",AL327))</f>
        <v>535</v>
      </c>
      <c r="V327" s="10" t="s">
        <v>561</v>
      </c>
      <c r="W327" s="15" t="s">
        <v>70</v>
      </c>
      <c r="X327" s="15"/>
      <c r="Y327" s="17" t="n">
        <v>46249.8563773148</v>
      </c>
      <c r="Z327" s="18" t="n">
        <f aca="false">IF(I327="",0,IF(ISNUMBER(SEARCH("mp",LOWER(J327))),I327,IF(ISNUMBER(SEARCH("ton",LOWER(J327))),I327/0.33,IF(ISNUMBER(SEARCH("m3",LOWER(J327))),I327*4,I327))))</f>
        <v>90</v>
      </c>
      <c r="AA327" s="18" t="n">
        <f aca="false">IF(I327="",0,IF(ISNUMBER(SEARCH("mp",LOWER(J327))),I327*0.33,IF(ISNUMBER(SEARCH("ton",LOWER(J327))),I327,I327*0.33)))</f>
        <v>29.7</v>
      </c>
      <c r="AB327" s="18" t="n">
        <f aca="false">Tabela_dane[[#This Row],[Wolumen_t]]*8.5</f>
        <v>252.45</v>
      </c>
      <c r="AC327" s="18" t="n">
        <f aca="false">IF(G327&lt;&gt;"TAK",0,IF(OR(E327="ZAKUP",E327="PRODUKCJA"),Z327,IF(OR(E327="SPRZEDAŻ",E327="ZUŻYCIE"),-Z327,0)))</f>
        <v>-90</v>
      </c>
      <c r="AD327" s="18" t="n">
        <f aca="false">IF(G327&lt;&gt;"TAK",0,IF(OR(E327="ZAKUP",E327="PRODUKCJA"),AA327,IF(OR(E327="SPRZEDAŻ",E327="ZUŻYCIE"),-AA327,0)))</f>
        <v>-29.7</v>
      </c>
      <c r="AE327" s="19" t="n">
        <f aca="false">IF(E327="ZAKUP",IF(L327&lt;&gt;"",L327,IF(K327&lt;&gt;"",Z327*K327,0)),0)</f>
        <v>0</v>
      </c>
      <c r="AF327" s="19" t="n">
        <f aca="false">IF(E327="SPRZEDAŻ",IF(M327&lt;&gt;"",Z327*M327,0),0)</f>
        <v>0</v>
      </c>
      <c r="AG327" s="19" t="str">
        <f aca="false">IF(R327="","",IF(LOWER(R327)="brak","Brak",IF(OR(ISNUMBER(SEARCH("ric pl",LOWER(R327))),ISNUMBER(SEARCH("wojciechowski",LOWER(R327)))),"Własny","Zewnętrzny")))</f>
        <v>Zewnętrzny</v>
      </c>
      <c r="AH327" s="19" t="n">
        <f aca="false">Z327*Q327</f>
        <v>0</v>
      </c>
      <c r="AI327" s="19" t="str">
        <f aca="false">UPPER(TEXT(C327,"mmmm"))</f>
        <v>AUGUST</v>
      </c>
      <c r="AJ327" s="19" t="str">
        <f aca="false">IF(C327="","",TEXT(C327,"rrrr"))</f>
        <v>CE5786CE5786</v>
      </c>
      <c r="AK327" s="10"/>
      <c r="AL327" s="11" t="n">
        <v>535</v>
      </c>
      <c r="AM327" s="10" t="s">
        <v>623</v>
      </c>
      <c r="AN327" s="10" t="s">
        <v>49</v>
      </c>
      <c r="AO327" s="10"/>
      <c r="AP327" s="10"/>
      <c r="AQ327" s="10"/>
      <c r="AR327" s="10" t="s">
        <v>66</v>
      </c>
      <c r="AS327" s="10"/>
      <c r="AT327" s="15" t="n">
        <v>1</v>
      </c>
    </row>
    <row r="328" customFormat="false" ht="28.5" hidden="false" customHeight="true" outlineLevel="0" collapsed="false">
      <c r="A328" s="12" t="n">
        <v>46240</v>
      </c>
      <c r="B328" s="12" t="s">
        <v>217</v>
      </c>
      <c r="C328" s="12" t="n">
        <v>46242</v>
      </c>
      <c r="D328" s="10" t="s">
        <v>218</v>
      </c>
      <c r="E328" s="10" t="s">
        <v>63</v>
      </c>
      <c r="F328" s="50" t="s">
        <v>624</v>
      </c>
      <c r="G328" s="14" t="s">
        <v>49</v>
      </c>
      <c r="H328" s="10" t="s">
        <v>76</v>
      </c>
      <c r="I328" s="15" t="n">
        <v>1158.85</v>
      </c>
      <c r="J328" s="10" t="s">
        <v>103</v>
      </c>
      <c r="K328" s="15" t="n">
        <v>0</v>
      </c>
      <c r="L328" s="11" t="n">
        <v>0</v>
      </c>
      <c r="M328" s="11" t="n">
        <v>0</v>
      </c>
      <c r="N328" s="10" t="s">
        <v>625</v>
      </c>
      <c r="O328" s="10"/>
      <c r="P328" s="10"/>
      <c r="Q328" s="16" t="n">
        <v>0</v>
      </c>
      <c r="R328" s="10" t="s">
        <v>221</v>
      </c>
      <c r="S328" s="10"/>
      <c r="T328" s="10" t="n">
        <v>0</v>
      </c>
      <c r="U328" s="11" t="n">
        <f aca="false">IF(E328="TRANSPORT",IF(T328="","",T328*5),IF(AL328="","",AL328))</f>
        <v>0</v>
      </c>
      <c r="V328" s="10" t="s">
        <v>54</v>
      </c>
      <c r="W328" s="15" t="s">
        <v>626</v>
      </c>
      <c r="X328" s="15"/>
      <c r="Y328" s="17" t="n">
        <v>46255.5832523148</v>
      </c>
      <c r="Z328" s="18" t="n">
        <f aca="false">IF(I328="",0,IF(ISNUMBER(SEARCH("mp",LOWER(J328))),I328,IF(ISNUMBER(SEARCH("ton",LOWER(J328))),I328/0.33,IF(ISNUMBER(SEARCH("m3",LOWER(J328))),I328*4,I328))))</f>
        <v>3511.66666666667</v>
      </c>
      <c r="AA328" s="18" t="n">
        <f aca="false">IF(I328="",0,IF(ISNUMBER(SEARCH("mp",LOWER(J328))),I328*0.33,IF(ISNUMBER(SEARCH("ton",LOWER(J328))),I328,I328*0.33)))</f>
        <v>1158.85</v>
      </c>
      <c r="AB328" s="18" t="n">
        <f aca="false">Tabela_dane[[#This Row],[Wolumen_t]]*8.5</f>
        <v>9850.225</v>
      </c>
      <c r="AC328" s="18" t="n">
        <f aca="false">IF(G328&lt;&gt;"TAK",0,IF(OR(E328="ZAKUP",E328="PRODUKCJA"),Z328,IF(OR(E328="SPRZEDAŻ",E328="ZUŻYCIE"),-Z328,0)))</f>
        <v>3511.66666666667</v>
      </c>
      <c r="AD328" s="18" t="n">
        <f aca="false">IF(G328&lt;&gt;"TAK",0,IF(OR(E328="ZAKUP",E328="PRODUKCJA"),AA328,IF(OR(E328="SPRZEDAŻ",E328="ZUŻYCIE"),-AA328,0)))</f>
        <v>1158.85</v>
      </c>
      <c r="AE328" s="19" t="n">
        <f aca="false">IF(E328="ZAKUP",IF(L328&lt;&gt;"",L328,IF(K328&lt;&gt;"",Z328*K328,0)),0)</f>
        <v>0</v>
      </c>
      <c r="AF328" s="19" t="n">
        <f aca="false">IF(E328="SPRZEDAŻ",IF(M328&lt;&gt;"",Z328*M328,0),0)</f>
        <v>0</v>
      </c>
      <c r="AG328" s="19" t="str">
        <f aca="false">IF(R328="","",IF(LOWER(R328)="brak","Brak",IF(OR(ISNUMBER(SEARCH("ric pl",LOWER(R328))),ISNUMBER(SEARCH("wojciechowski",LOWER(R328)))),"Własny","Zewnętrzny")))</f>
        <v>Zewnętrzny</v>
      </c>
      <c r="AH328" s="19" t="n">
        <f aca="false">Z328*Q328</f>
        <v>0</v>
      </c>
      <c r="AI328" s="19" t="str">
        <f aca="false">UPPER(TEXT(C328,"mmmm"))</f>
        <v>AUGUST</v>
      </c>
      <c r="AJ328" s="19" t="str">
        <f aca="false">IF(C328="","",TEXT(C328,"rrrr"))</f>
        <v>CE5786CE5786</v>
      </c>
      <c r="AK328" s="10"/>
      <c r="AL328" s="11" t="n">
        <v>0</v>
      </c>
      <c r="AM328" s="10" t="s">
        <v>627</v>
      </c>
      <c r="AN328" s="10" t="s">
        <v>49</v>
      </c>
      <c r="AO328" s="10"/>
      <c r="AP328" s="10"/>
      <c r="AQ328" s="10"/>
      <c r="AR328" s="10" t="s">
        <v>66</v>
      </c>
      <c r="AS328" s="10"/>
      <c r="AT328" s="15" t="n">
        <v>1</v>
      </c>
    </row>
    <row r="329" customFormat="false" ht="28.5" hidden="false" customHeight="true" outlineLevel="0" collapsed="false">
      <c r="A329" s="12" t="n">
        <v>46244</v>
      </c>
      <c r="B329" s="12" t="s">
        <v>54</v>
      </c>
      <c r="C329" s="12" t="n">
        <v>46244</v>
      </c>
      <c r="D329" s="10" t="s">
        <v>54</v>
      </c>
      <c r="E329" s="10" t="s">
        <v>107</v>
      </c>
      <c r="F329" s="22" t="s">
        <v>628</v>
      </c>
      <c r="G329" s="14" t="s">
        <v>49</v>
      </c>
      <c r="H329" s="10"/>
      <c r="I329" s="15" t="n">
        <v>90</v>
      </c>
      <c r="J329" s="10" t="s">
        <v>51</v>
      </c>
      <c r="K329" s="15" t="n">
        <v>0</v>
      </c>
      <c r="L329" s="11" t="n">
        <v>0</v>
      </c>
      <c r="M329" s="11" t="n">
        <v>0</v>
      </c>
      <c r="N329" s="10" t="s">
        <v>52</v>
      </c>
      <c r="O329" s="10" t="s">
        <v>67</v>
      </c>
      <c r="P329" s="10"/>
      <c r="Q329" s="16" t="n">
        <v>0</v>
      </c>
      <c r="R329" s="10" t="s">
        <v>94</v>
      </c>
      <c r="S329" s="10" t="s">
        <v>95</v>
      </c>
      <c r="T329" s="10" t="n">
        <v>40</v>
      </c>
      <c r="U329" s="11" t="n">
        <f aca="false">IF(E329="TRANSPORT",IF(T329="","",T329*5),IF(AL329="","",AL329))</f>
        <v>200</v>
      </c>
      <c r="V329" s="10" t="s">
        <v>106</v>
      </c>
      <c r="W329" s="15" t="s">
        <v>629</v>
      </c>
      <c r="X329" s="15" t="s">
        <v>54</v>
      </c>
      <c r="Y329" s="17" t="n">
        <v>46246.9708564815</v>
      </c>
      <c r="Z329" s="18" t="n">
        <f aca="false">IF(I329="",0,IF(ISNUMBER(SEARCH("mp",LOWER(J329))),I329,IF(ISNUMBER(SEARCH("ton",LOWER(J329))),I329/0.33,IF(ISNUMBER(SEARCH("m3",LOWER(J329))),I329*4,I329))))</f>
        <v>90</v>
      </c>
      <c r="AA329" s="18" t="n">
        <f aca="false">IF(I329="",0,IF(ISNUMBER(SEARCH("mp",LOWER(J329))),I329*0.33,IF(ISNUMBER(SEARCH("ton",LOWER(J329))),I329,I329*0.33)))</f>
        <v>29.7</v>
      </c>
      <c r="AB329" s="18" t="n">
        <f aca="false">Tabela_dane[[#This Row],[Wolumen_t]]*8.5</f>
        <v>252.45</v>
      </c>
      <c r="AC329" s="18" t="n">
        <f aca="false">IF(G329&lt;&gt;"TAK",0,IF(OR(E329="ZAKUP",E329="PRODUKCJA"),Z329,IF(OR(E329="SPRZEDAŻ",E329="ZUŻYCIE"),-Z329,0)))</f>
        <v>0</v>
      </c>
      <c r="AD329" s="18" t="n">
        <f aca="false">IF(G329&lt;&gt;"TAK",0,IF(OR(E329="ZAKUP",E329="PRODUKCJA"),AA329,IF(OR(E329="SPRZEDAŻ",E329="ZUŻYCIE"),-AA329,0)))</f>
        <v>0</v>
      </c>
      <c r="AE329" s="19" t="n">
        <f aca="false">IF(E329="ZAKUP",IF(L329&lt;&gt;"",L329,IF(K329&lt;&gt;"",Z329*K329,0)),0)</f>
        <v>0</v>
      </c>
      <c r="AF329" s="19" t="n">
        <f aca="false">IF(E329="SPRZEDAŻ",IF(M329&lt;&gt;"",Z329*M329,0),0)</f>
        <v>0</v>
      </c>
      <c r="AG329" s="19" t="str">
        <f aca="false">IF(R329="","",IF(LOWER(R329)="brak","Brak",IF(OR(ISNUMBER(SEARCH("ric pl",LOWER(R329))),ISNUMBER(SEARCH("wojciechowski",LOWER(R329)))),"Własny","Zewnętrzny")))</f>
        <v>Zewnętrzny</v>
      </c>
      <c r="AH329" s="19" t="n">
        <f aca="false">Z329*Q329</f>
        <v>0</v>
      </c>
      <c r="AI329" s="19" t="str">
        <f aca="false">UPPER(TEXT(C329,"mmmm"))</f>
        <v>AUGUST</v>
      </c>
      <c r="AJ329" s="19" t="str">
        <f aca="false">IF(C329="","",TEXT(C329,"rrrr"))</f>
        <v>CE5786CE5786</v>
      </c>
      <c r="AK329" s="10"/>
      <c r="AL329" s="11" t="n">
        <v>200</v>
      </c>
      <c r="AM329" s="10" t="s">
        <v>630</v>
      </c>
      <c r="AN329" s="10" t="s">
        <v>49</v>
      </c>
      <c r="AO329" s="10"/>
      <c r="AP329" s="10"/>
      <c r="AQ329" s="10"/>
      <c r="AR329" s="10" t="s">
        <v>66</v>
      </c>
      <c r="AS329" s="10"/>
      <c r="AT329" s="15" t="n">
        <v>1</v>
      </c>
    </row>
    <row r="330" customFormat="false" ht="28.5" hidden="false" customHeight="true" outlineLevel="0" collapsed="false">
      <c r="A330" s="12" t="n">
        <v>46244</v>
      </c>
      <c r="B330" s="12" t="s">
        <v>106</v>
      </c>
      <c r="C330" s="12" t="n">
        <v>46244</v>
      </c>
      <c r="D330" s="10" t="s">
        <v>106</v>
      </c>
      <c r="E330" s="10" t="s">
        <v>559</v>
      </c>
      <c r="F330" s="49" t="s">
        <v>631</v>
      </c>
      <c r="G330" s="14" t="s">
        <v>49</v>
      </c>
      <c r="H330" s="10" t="s">
        <v>76</v>
      </c>
      <c r="I330" s="15" t="n">
        <v>90</v>
      </c>
      <c r="J330" s="10" t="s">
        <v>51</v>
      </c>
      <c r="K330" s="15" t="n">
        <v>0</v>
      </c>
      <c r="L330" s="11" t="n">
        <v>0</v>
      </c>
      <c r="M330" s="11" t="n">
        <v>0</v>
      </c>
      <c r="N330" s="10" t="s">
        <v>52</v>
      </c>
      <c r="O330" s="10" t="s">
        <v>67</v>
      </c>
      <c r="P330" s="10"/>
      <c r="Q330" s="16" t="n">
        <v>0</v>
      </c>
      <c r="R330" s="10" t="s">
        <v>94</v>
      </c>
      <c r="S330" s="10" t="s">
        <v>95</v>
      </c>
      <c r="T330" s="10" t="n">
        <v>107</v>
      </c>
      <c r="U330" s="11" t="n">
        <f aca="false">IF(E330="TRANSPORT",IF(T330="","",T330*5),IF(AL330="","",AL330))</f>
        <v>535</v>
      </c>
      <c r="V330" s="10" t="s">
        <v>561</v>
      </c>
      <c r="W330" s="15" t="s">
        <v>629</v>
      </c>
      <c r="X330" s="15"/>
      <c r="Y330" s="17" t="n">
        <v>46246.9747453704</v>
      </c>
      <c r="Z330" s="18" t="n">
        <f aca="false">IF(I330="",0,IF(ISNUMBER(SEARCH("mp",LOWER(J330))),I330,IF(ISNUMBER(SEARCH("ton",LOWER(J330))),I330/0.33,IF(ISNUMBER(SEARCH("m3",LOWER(J330))),I330*4,I330))))</f>
        <v>90</v>
      </c>
      <c r="AA330" s="18" t="n">
        <f aca="false">IF(I330="",0,IF(ISNUMBER(SEARCH("mp",LOWER(J330))),I330*0.33,IF(ISNUMBER(SEARCH("ton",LOWER(J330))),I330,I330*0.33)))</f>
        <v>29.7</v>
      </c>
      <c r="AB330" s="18" t="n">
        <f aca="false">Tabela_dane[[#This Row],[Wolumen_t]]*8.5</f>
        <v>252.45</v>
      </c>
      <c r="AC330" s="18" t="n">
        <f aca="false">IF(G330&lt;&gt;"TAK",0,IF(OR(E330="ZAKUP",E330="PRODUKCJA"),Z330,IF(OR(E330="SPRZEDAŻ",E330="ZUŻYCIE"),-Z330,0)))</f>
        <v>-90</v>
      </c>
      <c r="AD330" s="18" t="n">
        <f aca="false">IF(G330&lt;&gt;"TAK",0,IF(OR(E330="ZAKUP",E330="PRODUKCJA"),AA330,IF(OR(E330="SPRZEDAŻ",E330="ZUŻYCIE"),-AA330,0)))</f>
        <v>-29.7</v>
      </c>
      <c r="AE330" s="19" t="n">
        <f aca="false">IF(E330="ZAKUP",IF(L330&lt;&gt;"",L330,IF(K330&lt;&gt;"",Z330*K330,0)),0)</f>
        <v>0</v>
      </c>
      <c r="AF330" s="19" t="n">
        <f aca="false">IF(E330="SPRZEDAŻ",IF(M330&lt;&gt;"",Z330*M330,0),0)</f>
        <v>0</v>
      </c>
      <c r="AG330" s="19" t="str">
        <f aca="false">IF(R330="","",IF(LOWER(R330)="brak","Brak",IF(OR(ISNUMBER(SEARCH("ric pl",LOWER(R330))),ISNUMBER(SEARCH("wojciechowski",LOWER(R330)))),"Własny","Zewnętrzny")))</f>
        <v>Zewnętrzny</v>
      </c>
      <c r="AH330" s="19" t="n">
        <f aca="false">Z330*Q330</f>
        <v>0</v>
      </c>
      <c r="AI330" s="19" t="str">
        <f aca="false">UPPER(TEXT(C330,"mmmm"))</f>
        <v>AUGUST</v>
      </c>
      <c r="AJ330" s="19" t="str">
        <f aca="false">IF(C330="","",TEXT(C330,"rrrr"))</f>
        <v>CE5786CE5786</v>
      </c>
      <c r="AK330" s="10"/>
      <c r="AL330" s="11" t="n">
        <v>535</v>
      </c>
      <c r="AM330" s="10" t="s">
        <v>632</v>
      </c>
      <c r="AN330" s="10" t="s">
        <v>49</v>
      </c>
      <c r="AO330" s="10"/>
      <c r="AP330" s="10"/>
      <c r="AQ330" s="10"/>
      <c r="AR330" s="10" t="s">
        <v>66</v>
      </c>
      <c r="AS330" s="10"/>
      <c r="AT330" s="15" t="n">
        <v>1</v>
      </c>
    </row>
    <row r="331" customFormat="false" ht="28.5" hidden="false" customHeight="true" outlineLevel="0" collapsed="false">
      <c r="A331" s="12" t="n">
        <v>46244</v>
      </c>
      <c r="B331" s="12" t="s">
        <v>54</v>
      </c>
      <c r="C331" s="12" t="n">
        <v>46244</v>
      </c>
      <c r="D331" s="10" t="s">
        <v>54</v>
      </c>
      <c r="E331" s="10" t="s">
        <v>107</v>
      </c>
      <c r="F331" s="22" t="s">
        <v>633</v>
      </c>
      <c r="G331" s="14" t="s">
        <v>49</v>
      </c>
      <c r="H331" s="10"/>
      <c r="I331" s="15" t="n">
        <v>90</v>
      </c>
      <c r="J331" s="10" t="s">
        <v>51</v>
      </c>
      <c r="K331" s="15" t="n">
        <v>0</v>
      </c>
      <c r="L331" s="11" t="n">
        <v>0</v>
      </c>
      <c r="M331" s="11" t="n">
        <v>0</v>
      </c>
      <c r="N331" s="10" t="s">
        <v>52</v>
      </c>
      <c r="O331" s="10" t="s">
        <v>67</v>
      </c>
      <c r="P331" s="10"/>
      <c r="Q331" s="16" t="n">
        <v>0</v>
      </c>
      <c r="R331" s="10" t="s">
        <v>68</v>
      </c>
      <c r="S331" s="10" t="s">
        <v>69</v>
      </c>
      <c r="T331" s="10" t="n">
        <v>40</v>
      </c>
      <c r="U331" s="11" t="n">
        <f aca="false">IF(E331="TRANSPORT",IF(T331="","",T331*5),IF(AL331="","",AL331))</f>
        <v>200</v>
      </c>
      <c r="V331" s="10" t="s">
        <v>106</v>
      </c>
      <c r="W331" s="15" t="s">
        <v>629</v>
      </c>
      <c r="X331" s="15" t="s">
        <v>54</v>
      </c>
      <c r="Y331" s="17" t="n">
        <v>46246.9766898148</v>
      </c>
      <c r="Z331" s="18" t="n">
        <f aca="false">IF(I331="",0,IF(ISNUMBER(SEARCH("mp",LOWER(J331))),I331,IF(ISNUMBER(SEARCH("ton",LOWER(J331))),I331/0.33,IF(ISNUMBER(SEARCH("m3",LOWER(J331))),I331*4,I331))))</f>
        <v>90</v>
      </c>
      <c r="AA331" s="18" t="n">
        <f aca="false">IF(I331="",0,IF(ISNUMBER(SEARCH("mp",LOWER(J331))),I331*0.33,IF(ISNUMBER(SEARCH("ton",LOWER(J331))),I331,I331*0.33)))</f>
        <v>29.7</v>
      </c>
      <c r="AB331" s="18" t="n">
        <f aca="false">Tabela_dane[[#This Row],[Wolumen_t]]*8.5</f>
        <v>252.45</v>
      </c>
      <c r="AC331" s="18" t="n">
        <f aca="false">IF(G331&lt;&gt;"TAK",0,IF(OR(E331="ZAKUP",E331="PRODUKCJA"),Z331,IF(OR(E331="SPRZEDAŻ",E331="ZUŻYCIE"),-Z331,0)))</f>
        <v>0</v>
      </c>
      <c r="AD331" s="18" t="n">
        <f aca="false">IF(G331&lt;&gt;"TAK",0,IF(OR(E331="ZAKUP",E331="PRODUKCJA"),AA331,IF(OR(E331="SPRZEDAŻ",E331="ZUŻYCIE"),-AA331,0)))</f>
        <v>0</v>
      </c>
      <c r="AE331" s="19" t="n">
        <f aca="false">IF(E331="ZAKUP",IF(L331&lt;&gt;"",L331,IF(K331&lt;&gt;"",Z331*K331,0)),0)</f>
        <v>0</v>
      </c>
      <c r="AF331" s="19" t="n">
        <f aca="false">IF(E331="SPRZEDAŻ",IF(M331&lt;&gt;"",Z331*M331,0),0)</f>
        <v>0</v>
      </c>
      <c r="AG331" s="19" t="str">
        <f aca="false">IF(R331="","",IF(LOWER(R331)="brak","Brak",IF(OR(ISNUMBER(SEARCH("ric pl",LOWER(R331))),ISNUMBER(SEARCH("wojciechowski",LOWER(R331)))),"Własny","Zewnętrzny")))</f>
        <v>Zewnętrzny</v>
      </c>
      <c r="AH331" s="19" t="n">
        <f aca="false">Z331*Q331</f>
        <v>0</v>
      </c>
      <c r="AI331" s="19" t="str">
        <f aca="false">UPPER(TEXT(C331,"mmmm"))</f>
        <v>AUGUST</v>
      </c>
      <c r="AJ331" s="19" t="str">
        <f aca="false">IF(C331="","",TEXT(C331,"rrrr"))</f>
        <v>CE5786CE5786</v>
      </c>
      <c r="AK331" s="10"/>
      <c r="AL331" s="11" t="n">
        <v>200</v>
      </c>
      <c r="AM331" s="10" t="s">
        <v>634</v>
      </c>
      <c r="AN331" s="10" t="s">
        <v>49</v>
      </c>
      <c r="AO331" s="10"/>
      <c r="AP331" s="10"/>
      <c r="AQ331" s="10"/>
      <c r="AR331" s="10" t="s">
        <v>66</v>
      </c>
      <c r="AS331" s="10"/>
      <c r="AT331" s="15" t="n">
        <v>1</v>
      </c>
    </row>
    <row r="332" customFormat="false" ht="28.5" hidden="false" customHeight="true" outlineLevel="0" collapsed="false">
      <c r="A332" s="12" t="n">
        <v>46244</v>
      </c>
      <c r="B332" s="12" t="s">
        <v>106</v>
      </c>
      <c r="C332" s="12" t="n">
        <v>46244</v>
      </c>
      <c r="D332" s="10" t="s">
        <v>106</v>
      </c>
      <c r="E332" s="10" t="s">
        <v>559</v>
      </c>
      <c r="F332" s="49" t="s">
        <v>635</v>
      </c>
      <c r="G332" s="14" t="s">
        <v>49</v>
      </c>
      <c r="H332" s="10" t="s">
        <v>76</v>
      </c>
      <c r="I332" s="15" t="n">
        <v>90</v>
      </c>
      <c r="J332" s="10" t="s">
        <v>51</v>
      </c>
      <c r="K332" s="15" t="n">
        <v>0</v>
      </c>
      <c r="L332" s="11" t="n">
        <v>0</v>
      </c>
      <c r="M332" s="11" t="n">
        <v>0</v>
      </c>
      <c r="N332" s="10" t="s">
        <v>52</v>
      </c>
      <c r="O332" s="10" t="s">
        <v>67</v>
      </c>
      <c r="P332" s="10"/>
      <c r="Q332" s="16" t="n">
        <v>0</v>
      </c>
      <c r="R332" s="10" t="s">
        <v>68</v>
      </c>
      <c r="S332" s="10" t="s">
        <v>69</v>
      </c>
      <c r="T332" s="10" t="n">
        <v>107</v>
      </c>
      <c r="U332" s="11" t="n">
        <f aca="false">IF(E332="TRANSPORT",IF(T332="","",T332*5),IF(AL332="","",AL332))</f>
        <v>535</v>
      </c>
      <c r="V332" s="10" t="s">
        <v>561</v>
      </c>
      <c r="W332" s="15" t="s">
        <v>629</v>
      </c>
      <c r="X332" s="15"/>
      <c r="Y332" s="17" t="n">
        <v>46246.978900463</v>
      </c>
      <c r="Z332" s="18" t="n">
        <f aca="false">IF(I332="",0,IF(ISNUMBER(SEARCH("mp",LOWER(J332))),I332,IF(ISNUMBER(SEARCH("ton",LOWER(J332))),I332/0.33,IF(ISNUMBER(SEARCH("m3",LOWER(J332))),I332*4,I332))))</f>
        <v>90</v>
      </c>
      <c r="AA332" s="18" t="n">
        <f aca="false">IF(I332="",0,IF(ISNUMBER(SEARCH("mp",LOWER(J332))),I332*0.33,IF(ISNUMBER(SEARCH("ton",LOWER(J332))),I332,I332*0.33)))</f>
        <v>29.7</v>
      </c>
      <c r="AB332" s="18" t="n">
        <f aca="false">Tabela_dane[[#This Row],[Wolumen_t]]*8.5</f>
        <v>252.45</v>
      </c>
      <c r="AC332" s="18" t="n">
        <f aca="false">IF(G332&lt;&gt;"TAK",0,IF(OR(E332="ZAKUP",E332="PRODUKCJA"),Z332,IF(OR(E332="SPRZEDAŻ",E332="ZUŻYCIE"),-Z332,0)))</f>
        <v>-90</v>
      </c>
      <c r="AD332" s="18" t="n">
        <f aca="false">IF(G332&lt;&gt;"TAK",0,IF(OR(E332="ZAKUP",E332="PRODUKCJA"),AA332,IF(OR(E332="SPRZEDAŻ",E332="ZUŻYCIE"),-AA332,0)))</f>
        <v>-29.7</v>
      </c>
      <c r="AE332" s="19" t="n">
        <f aca="false">IF(E332="ZAKUP",IF(L332&lt;&gt;"",L332,IF(K332&lt;&gt;"",Z332*K332,0)),0)</f>
        <v>0</v>
      </c>
      <c r="AF332" s="19" t="n">
        <f aca="false">IF(E332="SPRZEDAŻ",IF(M332&lt;&gt;"",Z332*M332,0),0)</f>
        <v>0</v>
      </c>
      <c r="AG332" s="19" t="str">
        <f aca="false">IF(R332="","",IF(LOWER(R332)="brak","Brak",IF(OR(ISNUMBER(SEARCH("ric pl",LOWER(R332))),ISNUMBER(SEARCH("wojciechowski",LOWER(R332)))),"Własny","Zewnętrzny")))</f>
        <v>Zewnętrzny</v>
      </c>
      <c r="AH332" s="19" t="n">
        <f aca="false">Z332*Q332</f>
        <v>0</v>
      </c>
      <c r="AI332" s="19" t="str">
        <f aca="false">UPPER(TEXT(C332,"mmmm"))</f>
        <v>AUGUST</v>
      </c>
      <c r="AJ332" s="19" t="str">
        <f aca="false">IF(C332="","",TEXT(C332,"rrrr"))</f>
        <v>CE5786CE5786</v>
      </c>
      <c r="AK332" s="10"/>
      <c r="AL332" s="11" t="n">
        <v>535</v>
      </c>
      <c r="AM332" s="10" t="s">
        <v>636</v>
      </c>
      <c r="AN332" s="10" t="s">
        <v>49</v>
      </c>
      <c r="AO332" s="10"/>
      <c r="AP332" s="10"/>
      <c r="AQ332" s="10"/>
      <c r="AR332" s="10" t="s">
        <v>66</v>
      </c>
      <c r="AS332" s="10"/>
      <c r="AT332" s="15" t="n">
        <v>1</v>
      </c>
    </row>
    <row r="333" customFormat="false" ht="28.5" hidden="false" customHeight="true" outlineLevel="0" collapsed="false">
      <c r="A333" s="12" t="n">
        <v>46244</v>
      </c>
      <c r="B333" s="12" t="s">
        <v>54</v>
      </c>
      <c r="C333" s="12" t="n">
        <v>46244</v>
      </c>
      <c r="D333" s="10" t="s">
        <v>54</v>
      </c>
      <c r="E333" s="10" t="s">
        <v>107</v>
      </c>
      <c r="F333" s="22" t="s">
        <v>637</v>
      </c>
      <c r="G333" s="14" t="s">
        <v>49</v>
      </c>
      <c r="H333" s="10"/>
      <c r="I333" s="15" t="n">
        <v>90</v>
      </c>
      <c r="J333" s="10" t="s">
        <v>51</v>
      </c>
      <c r="K333" s="15" t="n">
        <v>0</v>
      </c>
      <c r="L333" s="11" t="n">
        <v>0</v>
      </c>
      <c r="M333" s="11" t="n">
        <v>0</v>
      </c>
      <c r="N333" s="10" t="s">
        <v>52</v>
      </c>
      <c r="O333" s="10" t="s">
        <v>67</v>
      </c>
      <c r="P333" s="10"/>
      <c r="Q333" s="16" t="n">
        <v>0</v>
      </c>
      <c r="R333" s="10" t="s">
        <v>68</v>
      </c>
      <c r="S333" s="10" t="s">
        <v>69</v>
      </c>
      <c r="T333" s="10" t="n">
        <v>40</v>
      </c>
      <c r="U333" s="11" t="n">
        <f aca="false">IF(E333="TRANSPORT",IF(T333="","",T333*5),IF(AL333="","",AL333))</f>
        <v>200</v>
      </c>
      <c r="V333" s="10" t="s">
        <v>106</v>
      </c>
      <c r="W333" s="15" t="s">
        <v>629</v>
      </c>
      <c r="X333" s="15" t="s">
        <v>54</v>
      </c>
      <c r="Y333" s="17" t="n">
        <v>46246.9808217593</v>
      </c>
      <c r="Z333" s="18" t="n">
        <f aca="false">IF(I333="",0,IF(ISNUMBER(SEARCH("mp",LOWER(J333))),I333,IF(ISNUMBER(SEARCH("ton",LOWER(J333))),I333/0.33,IF(ISNUMBER(SEARCH("m3",LOWER(J333))),I333*4,I333))))</f>
        <v>90</v>
      </c>
      <c r="AA333" s="18" t="n">
        <f aca="false">IF(I333="",0,IF(ISNUMBER(SEARCH("mp",LOWER(J333))),I333*0.33,IF(ISNUMBER(SEARCH("ton",LOWER(J333))),I333,I333*0.33)))</f>
        <v>29.7</v>
      </c>
      <c r="AB333" s="18" t="n">
        <f aca="false">Tabela_dane[[#This Row],[Wolumen_t]]*8.5</f>
        <v>252.45</v>
      </c>
      <c r="AC333" s="18" t="n">
        <f aca="false">IF(G333&lt;&gt;"TAK",0,IF(OR(E333="ZAKUP",E333="PRODUKCJA"),Z333,IF(OR(E333="SPRZEDAŻ",E333="ZUŻYCIE"),-Z333,0)))</f>
        <v>0</v>
      </c>
      <c r="AD333" s="18" t="n">
        <f aca="false">IF(G333&lt;&gt;"TAK",0,IF(OR(E333="ZAKUP",E333="PRODUKCJA"),AA333,IF(OR(E333="SPRZEDAŻ",E333="ZUŻYCIE"),-AA333,0)))</f>
        <v>0</v>
      </c>
      <c r="AE333" s="19" t="n">
        <f aca="false">IF(E333="ZAKUP",IF(L333&lt;&gt;"",L333,IF(K333&lt;&gt;"",Z333*K333,0)),0)</f>
        <v>0</v>
      </c>
      <c r="AF333" s="19" t="n">
        <f aca="false">IF(E333="SPRZEDAŻ",IF(M333&lt;&gt;"",Z333*M333,0),0)</f>
        <v>0</v>
      </c>
      <c r="AG333" s="19" t="str">
        <f aca="false">IF(R333="","",IF(LOWER(R333)="brak","Brak",IF(OR(ISNUMBER(SEARCH("ric pl",LOWER(R333))),ISNUMBER(SEARCH("wojciechowski",LOWER(R333)))),"Własny","Zewnętrzny")))</f>
        <v>Zewnętrzny</v>
      </c>
      <c r="AH333" s="19" t="n">
        <f aca="false">Z333*Q333</f>
        <v>0</v>
      </c>
      <c r="AI333" s="19" t="str">
        <f aca="false">UPPER(TEXT(C333,"mmmm"))</f>
        <v>AUGUST</v>
      </c>
      <c r="AJ333" s="19" t="str">
        <f aca="false">IF(C333="","",TEXT(C333,"rrrr"))</f>
        <v>CE5786CE5786</v>
      </c>
      <c r="AK333" s="10"/>
      <c r="AL333" s="11" t="n">
        <v>200</v>
      </c>
      <c r="AM333" s="10" t="s">
        <v>638</v>
      </c>
      <c r="AN333" s="10" t="s">
        <v>49</v>
      </c>
      <c r="AO333" s="10"/>
      <c r="AP333" s="10"/>
      <c r="AQ333" s="10"/>
      <c r="AR333" s="10" t="s">
        <v>66</v>
      </c>
      <c r="AS333" s="10"/>
      <c r="AT333" s="15" t="n">
        <v>1</v>
      </c>
    </row>
    <row r="334" customFormat="false" ht="59.25" hidden="false" customHeight="true" outlineLevel="0" collapsed="false">
      <c r="A334" s="12" t="n">
        <v>46244</v>
      </c>
      <c r="B334" s="12" t="s">
        <v>106</v>
      </c>
      <c r="C334" s="12" t="n">
        <v>46244</v>
      </c>
      <c r="D334" s="10" t="s">
        <v>106</v>
      </c>
      <c r="E334" s="10" t="s">
        <v>559</v>
      </c>
      <c r="F334" s="49" t="s">
        <v>639</v>
      </c>
      <c r="G334" s="14" t="s">
        <v>49</v>
      </c>
      <c r="H334" s="10" t="s">
        <v>76</v>
      </c>
      <c r="I334" s="15" t="n">
        <v>90</v>
      </c>
      <c r="J334" s="10" t="s">
        <v>51</v>
      </c>
      <c r="K334" s="15" t="n">
        <v>0</v>
      </c>
      <c r="L334" s="11" t="n">
        <v>0</v>
      </c>
      <c r="M334" s="11" t="n">
        <v>0</v>
      </c>
      <c r="N334" s="10" t="s">
        <v>52</v>
      </c>
      <c r="O334" s="10" t="s">
        <v>67</v>
      </c>
      <c r="P334" s="10"/>
      <c r="Q334" s="16" t="n">
        <v>0</v>
      </c>
      <c r="R334" s="10" t="s">
        <v>68</v>
      </c>
      <c r="S334" s="10" t="s">
        <v>69</v>
      </c>
      <c r="T334" s="10" t="n">
        <v>107</v>
      </c>
      <c r="U334" s="11" t="n">
        <f aca="false">IF(E334="TRANSPORT",IF(T334="","",T334*5),IF(AL334="","",AL334))</f>
        <v>535</v>
      </c>
      <c r="V334" s="10" t="s">
        <v>561</v>
      </c>
      <c r="W334" s="15" t="s">
        <v>629</v>
      </c>
      <c r="X334" s="15"/>
      <c r="Y334" s="17" t="n">
        <v>46246.9824189815</v>
      </c>
      <c r="Z334" s="18" t="n">
        <f aca="false">IF(I334="",0,IF(ISNUMBER(SEARCH("mp",LOWER(J334))),I334,IF(ISNUMBER(SEARCH("ton",LOWER(J334))),I334/0.33,IF(ISNUMBER(SEARCH("m3",LOWER(J334))),I334*4,I334))))</f>
        <v>90</v>
      </c>
      <c r="AA334" s="18" t="n">
        <f aca="false">IF(I334="",0,IF(ISNUMBER(SEARCH("mp",LOWER(J334))),I334*0.33,IF(ISNUMBER(SEARCH("ton",LOWER(J334))),I334,I334*0.33)))</f>
        <v>29.7</v>
      </c>
      <c r="AB334" s="18" t="n">
        <f aca="false">Tabela_dane[[#This Row],[Wolumen_t]]*8.5</f>
        <v>252.45</v>
      </c>
      <c r="AC334" s="18" t="n">
        <f aca="false">IF(G334&lt;&gt;"TAK",0,IF(OR(E334="ZAKUP",E334="PRODUKCJA"),Z334,IF(OR(E334="SPRZEDAŻ",E334="ZUŻYCIE"),-Z334,0)))</f>
        <v>-90</v>
      </c>
      <c r="AD334" s="18" t="n">
        <f aca="false">IF(G334&lt;&gt;"TAK",0,IF(OR(E334="ZAKUP",E334="PRODUKCJA"),AA334,IF(OR(E334="SPRZEDAŻ",E334="ZUŻYCIE"),-AA334,0)))</f>
        <v>-29.7</v>
      </c>
      <c r="AE334" s="19" t="n">
        <f aca="false">IF(E334="ZAKUP",IF(L334&lt;&gt;"",L334,IF(K334&lt;&gt;"",Z334*K334,0)),0)</f>
        <v>0</v>
      </c>
      <c r="AF334" s="19" t="n">
        <f aca="false">IF(E334="SPRZEDAŻ",IF(M334&lt;&gt;"",Z334*M334,0),0)</f>
        <v>0</v>
      </c>
      <c r="AG334" s="19" t="str">
        <f aca="false">IF(R334="","",IF(LOWER(R334)="brak","Brak",IF(OR(ISNUMBER(SEARCH("ric pl",LOWER(R334))),ISNUMBER(SEARCH("wojciechowski",LOWER(R334)))),"Własny","Zewnętrzny")))</f>
        <v>Zewnętrzny</v>
      </c>
      <c r="AH334" s="19" t="n">
        <f aca="false">Z334*Q334</f>
        <v>0</v>
      </c>
      <c r="AI334" s="19" t="str">
        <f aca="false">UPPER(TEXT(C334,"mmmm"))</f>
        <v>AUGUST</v>
      </c>
      <c r="AJ334" s="19" t="str">
        <f aca="false">IF(C334="","",TEXT(C334,"rrrr"))</f>
        <v>CE5786CE5786</v>
      </c>
      <c r="AK334" s="10"/>
      <c r="AL334" s="11" t="n">
        <v>535</v>
      </c>
      <c r="AM334" s="10" t="s">
        <v>640</v>
      </c>
      <c r="AN334" s="10" t="s">
        <v>49</v>
      </c>
      <c r="AO334" s="10"/>
      <c r="AP334" s="10"/>
      <c r="AQ334" s="10"/>
      <c r="AR334" s="10" t="s">
        <v>66</v>
      </c>
      <c r="AS334" s="10"/>
      <c r="AT334" s="15" t="n">
        <v>1</v>
      </c>
    </row>
    <row r="335" customFormat="false" ht="28.5" hidden="false" customHeight="true" outlineLevel="0" collapsed="false">
      <c r="A335" s="12" t="n">
        <v>46244</v>
      </c>
      <c r="B335" s="12" t="s">
        <v>641</v>
      </c>
      <c r="C335" s="12" t="n">
        <v>46244</v>
      </c>
      <c r="D335" s="10" t="s">
        <v>641</v>
      </c>
      <c r="E335" s="10" t="s">
        <v>107</v>
      </c>
      <c r="F335" s="22" t="s">
        <v>642</v>
      </c>
      <c r="G335" s="14" t="s">
        <v>49</v>
      </c>
      <c r="H335" s="10"/>
      <c r="I335" s="15" t="n">
        <v>80</v>
      </c>
      <c r="J335" s="10" t="s">
        <v>51</v>
      </c>
      <c r="K335" s="15" t="n">
        <v>0</v>
      </c>
      <c r="L335" s="11" t="n">
        <v>0</v>
      </c>
      <c r="M335" s="11" t="n">
        <v>0</v>
      </c>
      <c r="N335" s="10" t="s">
        <v>643</v>
      </c>
      <c r="O335" s="10" t="s">
        <v>67</v>
      </c>
      <c r="P335" s="10"/>
      <c r="Q335" s="16" t="n">
        <v>0</v>
      </c>
      <c r="R335" s="10" t="s">
        <v>182</v>
      </c>
      <c r="S335" s="10" t="s">
        <v>509</v>
      </c>
      <c r="T335" s="10" t="n">
        <v>340</v>
      </c>
      <c r="U335" s="11" t="n">
        <f aca="false">IF(E335="TRANSPORT",IF(T335="","",T335*5),IF(AL335="","",AL335))</f>
        <v>1700</v>
      </c>
      <c r="V335" s="10" t="s">
        <v>54</v>
      </c>
      <c r="W335" s="15" t="s">
        <v>629</v>
      </c>
      <c r="X335" s="15" t="s">
        <v>641</v>
      </c>
      <c r="Y335" s="17" t="n">
        <v>46246.990462963</v>
      </c>
      <c r="Z335" s="18" t="n">
        <f aca="false">IF(I335="",0,IF(ISNUMBER(SEARCH("mp",LOWER(J335))),I335,IF(ISNUMBER(SEARCH("ton",LOWER(J335))),I335/0.33,IF(ISNUMBER(SEARCH("m3",LOWER(J335))),I335*4,I335))))</f>
        <v>80</v>
      </c>
      <c r="AA335" s="18" t="n">
        <f aca="false">IF(I335="",0,IF(ISNUMBER(SEARCH("mp",LOWER(J335))),I335*0.33,IF(ISNUMBER(SEARCH("ton",LOWER(J335))),I335,I335*0.33)))</f>
        <v>26.4</v>
      </c>
      <c r="AB335" s="18" t="n">
        <f aca="false">Tabela_dane[[#This Row],[Wolumen_t]]*8.5</f>
        <v>224.4</v>
      </c>
      <c r="AC335" s="18" t="n">
        <f aca="false">IF(G335&lt;&gt;"TAK",0,IF(OR(E335="ZAKUP",E335="PRODUKCJA"),Z335,IF(OR(E335="SPRZEDAŻ",E335="ZUŻYCIE"),-Z335,0)))</f>
        <v>0</v>
      </c>
      <c r="AD335" s="18" t="n">
        <f aca="false">IF(G335&lt;&gt;"TAK",0,IF(OR(E335="ZAKUP",E335="PRODUKCJA"),AA335,IF(OR(E335="SPRZEDAŻ",E335="ZUŻYCIE"),-AA335,0)))</f>
        <v>0</v>
      </c>
      <c r="AE335" s="19" t="n">
        <f aca="false">IF(E335="ZAKUP",IF(L335&lt;&gt;"",L335,IF(K335&lt;&gt;"",Z335*K335,0)),0)</f>
        <v>0</v>
      </c>
      <c r="AF335" s="19" t="n">
        <f aca="false">IF(E335="SPRZEDAŻ",IF(M335&lt;&gt;"",Z335*M335,0),0)</f>
        <v>0</v>
      </c>
      <c r="AG335" s="19" t="str">
        <f aca="false">IF(R335="","",IF(LOWER(R335)="brak","Brak",IF(OR(ISNUMBER(SEARCH("ric pl",LOWER(R335))),ISNUMBER(SEARCH("wojciechowski",LOWER(R335)))),"Własny","Zewnętrzny")))</f>
        <v>Zewnętrzny</v>
      </c>
      <c r="AH335" s="19" t="n">
        <f aca="false">Z335*Q335</f>
        <v>0</v>
      </c>
      <c r="AI335" s="19" t="str">
        <f aca="false">UPPER(TEXT(C335,"mmmm"))</f>
        <v>AUGUST</v>
      </c>
      <c r="AJ335" s="19" t="str">
        <f aca="false">IF(C335="","",TEXT(C335,"rrrr"))</f>
        <v>CE5786CE5786</v>
      </c>
      <c r="AK335" s="10"/>
      <c r="AL335" s="11" t="n">
        <v>1700</v>
      </c>
      <c r="AM335" s="10" t="s">
        <v>644</v>
      </c>
      <c r="AN335" s="10" t="s">
        <v>49</v>
      </c>
      <c r="AO335" s="10"/>
      <c r="AP335" s="10"/>
      <c r="AQ335" s="10"/>
      <c r="AR335" s="10" t="s">
        <v>66</v>
      </c>
      <c r="AS335" s="10"/>
      <c r="AT335" s="15" t="n">
        <v>1</v>
      </c>
    </row>
    <row r="336" customFormat="false" ht="28.5" hidden="false" customHeight="true" outlineLevel="0" collapsed="false">
      <c r="A336" s="12" t="n">
        <v>46244</v>
      </c>
      <c r="B336" s="12"/>
      <c r="C336" s="12" t="n">
        <v>46244</v>
      </c>
      <c r="D336" s="10" t="s">
        <v>46</v>
      </c>
      <c r="E336" s="10" t="s">
        <v>63</v>
      </c>
      <c r="F336" s="20" t="s">
        <v>645</v>
      </c>
      <c r="G336" s="14" t="s">
        <v>49</v>
      </c>
      <c r="H336" s="10" t="s">
        <v>76</v>
      </c>
      <c r="I336" s="15" t="n">
        <v>29.96</v>
      </c>
      <c r="J336" s="10" t="s">
        <v>77</v>
      </c>
      <c r="K336" s="15" t="n">
        <v>230</v>
      </c>
      <c r="L336" s="11" t="n">
        <v>6890.8</v>
      </c>
      <c r="M336" s="11" t="n">
        <v>0</v>
      </c>
      <c r="N336" s="10" t="s">
        <v>64</v>
      </c>
      <c r="O336" s="10"/>
      <c r="P336" s="10"/>
      <c r="Q336" s="16" t="n">
        <v>0</v>
      </c>
      <c r="R336" s="10"/>
      <c r="S336" s="10"/>
      <c r="T336" s="10" t="n">
        <v>0</v>
      </c>
      <c r="U336" s="11" t="n">
        <f aca="false">IF(E336="TRANSPORT",IF(T336="","",T336*5),IF(AL336="","",AL336))</f>
        <v>0</v>
      </c>
      <c r="V336" s="10" t="s">
        <v>54</v>
      </c>
      <c r="W336" s="15" t="s">
        <v>302</v>
      </c>
      <c r="X336" s="15"/>
      <c r="Y336" s="17" t="n">
        <v>46249.866724537</v>
      </c>
      <c r="Z336" s="18" t="n">
        <f aca="false">IF(I336="",0,IF(ISNUMBER(SEARCH("mp",LOWER(J336))),I336,IF(ISNUMBER(SEARCH("ton",LOWER(J336))),I336/0.33,IF(ISNUMBER(SEARCH("m3",LOWER(J336))),I336*4,I336))))</f>
        <v>119.84</v>
      </c>
      <c r="AA336" s="18" t="n">
        <f aca="false">IF(I336="",0,IF(ISNUMBER(SEARCH("mp",LOWER(J336))),I336*0.33,IF(ISNUMBER(SEARCH("ton",LOWER(J336))),I336,I336*0.33)))</f>
        <v>9.8868</v>
      </c>
      <c r="AB336" s="18" t="n">
        <f aca="false">Tabela_dane[[#This Row],[Wolumen_t]]*8.5</f>
        <v>84.0378</v>
      </c>
      <c r="AC336" s="18" t="n">
        <f aca="false">IF(G336&lt;&gt;"TAK",0,IF(OR(E336="ZAKUP",E336="PRODUKCJA"),Z336,IF(OR(E336="SPRZEDAŻ",E336="ZUŻYCIE"),-Z336,0)))</f>
        <v>119.84</v>
      </c>
      <c r="AD336" s="18" t="n">
        <f aca="false">IF(G336&lt;&gt;"TAK",0,IF(OR(E336="ZAKUP",E336="PRODUKCJA"),AA336,IF(OR(E336="SPRZEDAŻ",E336="ZUŻYCIE"),-AA336,0)))</f>
        <v>9.8868</v>
      </c>
      <c r="AE336" s="19" t="n">
        <f aca="false">IF(E336="ZAKUP",IF(L336&lt;&gt;"",L336,IF(K336&lt;&gt;"",Z336*K336,0)),0)</f>
        <v>6890.8</v>
      </c>
      <c r="AF336" s="19" t="n">
        <f aca="false">IF(E336="SPRZEDAŻ",IF(M336&lt;&gt;"",Z336*M336,0),0)</f>
        <v>0</v>
      </c>
      <c r="AG336" s="19" t="str">
        <f aca="false">IF(R336="","",IF(LOWER(R336)="brak","Brak",IF(OR(ISNUMBER(SEARCH("ric pl",LOWER(R336))),ISNUMBER(SEARCH("wojciechowski",LOWER(R336)))),"Własny","Zewnętrzny")))</f>
        <v/>
      </c>
      <c r="AH336" s="19" t="n">
        <f aca="false">Z336*Q336</f>
        <v>0</v>
      </c>
      <c r="AI336" s="19" t="str">
        <f aca="false">UPPER(TEXT(C336,"mmmm"))</f>
        <v>AUGUST</v>
      </c>
      <c r="AJ336" s="19" t="str">
        <f aca="false">IF(C336="","",TEXT(C336,"rrrr"))</f>
        <v>CE5786CE5786</v>
      </c>
      <c r="AK336" s="10"/>
      <c r="AL336" s="11" t="n">
        <v>0</v>
      </c>
      <c r="AM336" s="10" t="s">
        <v>646</v>
      </c>
      <c r="AN336" s="10" t="s">
        <v>59</v>
      </c>
      <c r="AO336" s="10"/>
      <c r="AP336" s="10"/>
      <c r="AQ336" s="10"/>
      <c r="AR336" s="10" t="s">
        <v>66</v>
      </c>
      <c r="AS336" s="10"/>
      <c r="AT336" s="15" t="n">
        <v>1</v>
      </c>
    </row>
    <row r="337" customFormat="false" ht="28.5" hidden="false" customHeight="true" outlineLevel="0" collapsed="false">
      <c r="A337" s="12" t="n">
        <v>46244</v>
      </c>
      <c r="B337" s="12"/>
      <c r="C337" s="12" t="n">
        <v>46244</v>
      </c>
      <c r="D337" s="10" t="s">
        <v>46</v>
      </c>
      <c r="E337" s="10" t="s">
        <v>63</v>
      </c>
      <c r="F337" s="20" t="s">
        <v>647</v>
      </c>
      <c r="G337" s="14" t="s">
        <v>49</v>
      </c>
      <c r="H337" s="10" t="s">
        <v>76</v>
      </c>
      <c r="I337" s="15" t="n">
        <v>28.16</v>
      </c>
      <c r="J337" s="10" t="s">
        <v>77</v>
      </c>
      <c r="K337" s="15" t="n">
        <v>230</v>
      </c>
      <c r="L337" s="11" t="n">
        <v>6476.8</v>
      </c>
      <c r="M337" s="11" t="n">
        <v>0</v>
      </c>
      <c r="N337" s="10" t="s">
        <v>64</v>
      </c>
      <c r="O337" s="10"/>
      <c r="P337" s="10"/>
      <c r="Q337" s="16" t="n">
        <v>0</v>
      </c>
      <c r="R337" s="10"/>
      <c r="S337" s="10"/>
      <c r="T337" s="10" t="n">
        <v>0</v>
      </c>
      <c r="U337" s="11" t="n">
        <f aca="false">IF(E337="TRANSPORT",IF(T337="","",T337*5),IF(AL337="","",AL337))</f>
        <v>0</v>
      </c>
      <c r="V337" s="10" t="s">
        <v>54</v>
      </c>
      <c r="W337" s="15" t="s">
        <v>648</v>
      </c>
      <c r="X337" s="15"/>
      <c r="Y337" s="17" t="n">
        <v>46257.8318287037</v>
      </c>
      <c r="Z337" s="18" t="n">
        <f aca="false">IF(I337="",0,IF(ISNUMBER(SEARCH("mp",LOWER(J337))),I337,IF(ISNUMBER(SEARCH("ton",LOWER(J337))),I337/0.33,IF(ISNUMBER(SEARCH("m3",LOWER(J337))),I337*4,I337))))</f>
        <v>112.64</v>
      </c>
      <c r="AA337" s="18" t="n">
        <f aca="false">IF(I337="",0,IF(ISNUMBER(SEARCH("mp",LOWER(J337))),I337*0.33,IF(ISNUMBER(SEARCH("ton",LOWER(J337))),I337,I337*0.33)))</f>
        <v>9.2928</v>
      </c>
      <c r="AB337" s="18" t="n">
        <f aca="false">Tabela_dane[[#This Row],[Wolumen_t]]*8.5</f>
        <v>78.9888</v>
      </c>
      <c r="AC337" s="18" t="n">
        <f aca="false">IF(G337&lt;&gt;"TAK",0,IF(OR(E337="ZAKUP",E337="PRODUKCJA"),Z337,IF(OR(E337="SPRZEDAŻ",E337="ZUŻYCIE"),-Z337,0)))</f>
        <v>112.64</v>
      </c>
      <c r="AD337" s="18" t="n">
        <f aca="false">IF(G337&lt;&gt;"TAK",0,IF(OR(E337="ZAKUP",E337="PRODUKCJA"),AA337,IF(OR(E337="SPRZEDAŻ",E337="ZUŻYCIE"),-AA337,0)))</f>
        <v>9.2928</v>
      </c>
      <c r="AE337" s="19" t="n">
        <f aca="false">IF(E337="ZAKUP",IF(L337&lt;&gt;"",L337,IF(K337&lt;&gt;"",Z337*K337,0)),0)</f>
        <v>6476.8</v>
      </c>
      <c r="AF337" s="19" t="n">
        <f aca="false">IF(E337="SPRZEDAŻ",IF(M337&lt;&gt;"",Z337*M337,0),0)</f>
        <v>0</v>
      </c>
      <c r="AG337" s="19" t="str">
        <f aca="false">IF(R337="","",IF(LOWER(R337)="brak","Brak",IF(OR(ISNUMBER(SEARCH("ric pl",LOWER(R337))),ISNUMBER(SEARCH("wojciechowski",LOWER(R337)))),"Własny","Zewnętrzny")))</f>
        <v/>
      </c>
      <c r="AH337" s="19" t="n">
        <f aca="false">Z337*Q337</f>
        <v>0</v>
      </c>
      <c r="AI337" s="19" t="str">
        <f aca="false">UPPER(TEXT(C337,"mmmm"))</f>
        <v>AUGUST</v>
      </c>
      <c r="AJ337" s="19" t="str">
        <f aca="false">IF(C337="","",TEXT(C337,"rrrr"))</f>
        <v>CE5786CE5786</v>
      </c>
      <c r="AK337" s="10"/>
      <c r="AL337" s="11" t="n">
        <v>0</v>
      </c>
      <c r="AM337" s="10" t="s">
        <v>649</v>
      </c>
      <c r="AN337" s="10" t="s">
        <v>59</v>
      </c>
      <c r="AO337" s="10"/>
      <c r="AP337" s="10"/>
      <c r="AQ337" s="10"/>
      <c r="AR337" s="10" t="s">
        <v>66</v>
      </c>
      <c r="AS337" s="10"/>
      <c r="AT337" s="15" t="n">
        <v>1</v>
      </c>
    </row>
    <row r="338" customFormat="false" ht="61.5" hidden="false" customHeight="true" outlineLevel="0" collapsed="false">
      <c r="A338" s="12" t="n">
        <v>46245</v>
      </c>
      <c r="B338" s="12"/>
      <c r="C338" s="12" t="n">
        <v>46245</v>
      </c>
      <c r="D338" s="10" t="s">
        <v>650</v>
      </c>
      <c r="E338" s="10" t="s">
        <v>63</v>
      </c>
      <c r="F338" s="46" t="s">
        <v>651</v>
      </c>
      <c r="G338" s="14" t="s">
        <v>49</v>
      </c>
      <c r="H338" s="10" t="s">
        <v>50</v>
      </c>
      <c r="I338" s="15" t="n">
        <v>18</v>
      </c>
      <c r="J338" s="10" t="s">
        <v>77</v>
      </c>
      <c r="K338" s="15" t="n">
        <v>141</v>
      </c>
      <c r="L338" s="11" t="n">
        <v>2538</v>
      </c>
      <c r="M338" s="11" t="n">
        <v>0</v>
      </c>
      <c r="N338" s="10" t="s">
        <v>64</v>
      </c>
      <c r="O338" s="10" t="s">
        <v>67</v>
      </c>
      <c r="P338" s="10"/>
      <c r="Q338" s="16" t="n">
        <v>0</v>
      </c>
      <c r="R338" s="10"/>
      <c r="S338" s="10"/>
      <c r="T338" s="10" t="n">
        <v>0</v>
      </c>
      <c r="U338" s="11" t="n">
        <f aca="false">IF(E338="TRANSPORT",IF(T338="","",T338*5),IF(AL338="","",AL338))</f>
        <v>0</v>
      </c>
      <c r="V338" s="10" t="s">
        <v>54</v>
      </c>
      <c r="W338" s="15" t="s">
        <v>652</v>
      </c>
      <c r="X338" s="15" t="s">
        <v>54</v>
      </c>
      <c r="Y338" s="17" t="n">
        <v>46253.7900810185</v>
      </c>
      <c r="Z338" s="18" t="n">
        <f aca="false">IF(I338="",0,IF(ISNUMBER(SEARCH("mp",LOWER(J338))),I338,IF(ISNUMBER(SEARCH("ton",LOWER(J338))),I338/0.33,IF(ISNUMBER(SEARCH("m3",LOWER(J338))),I338*4,I338))))</f>
        <v>72</v>
      </c>
      <c r="AA338" s="18" t="n">
        <f aca="false">IF(I338="",0,IF(ISNUMBER(SEARCH("mp",LOWER(J338))),I338*0.33,IF(ISNUMBER(SEARCH("ton",LOWER(J338))),I338,I338*0.33)))</f>
        <v>5.94</v>
      </c>
      <c r="AB338" s="18" t="n">
        <f aca="false">Tabela_dane[[#This Row],[Wolumen_t]]*8.5</f>
        <v>50.49</v>
      </c>
      <c r="AC338" s="18" t="n">
        <f aca="false">IF(G338&lt;&gt;"TAK",0,IF(OR(E338="ZAKUP",E338="PRODUKCJA"),Z338,IF(OR(E338="SPRZEDAŻ",E338="ZUŻYCIE"),-Z338,0)))</f>
        <v>72</v>
      </c>
      <c r="AD338" s="18" t="n">
        <f aca="false">IF(G338&lt;&gt;"TAK",0,IF(OR(E338="ZAKUP",E338="PRODUKCJA"),AA338,IF(OR(E338="SPRZEDAŻ",E338="ZUŻYCIE"),-AA338,0)))</f>
        <v>5.94</v>
      </c>
      <c r="AE338" s="19" t="n">
        <f aca="false">IF(E338="ZAKUP",IF(L338&lt;&gt;"",L338,IF(K338&lt;&gt;"",Z338*K338,0)),0)</f>
        <v>2538</v>
      </c>
      <c r="AF338" s="19" t="n">
        <f aca="false">IF(E338="SPRZEDAŻ",IF(M338&lt;&gt;"",Z338*M338,0),0)</f>
        <v>0</v>
      </c>
      <c r="AG338" s="19" t="str">
        <f aca="false">IF(R338="","",IF(LOWER(R338)="brak","Brak",IF(OR(ISNUMBER(SEARCH("ric pl",LOWER(R338))),ISNUMBER(SEARCH("wojciechowski",LOWER(R338)))),"Własny","Zewnętrzny")))</f>
        <v/>
      </c>
      <c r="AH338" s="19" t="n">
        <f aca="false">Z338*Q338</f>
        <v>0</v>
      </c>
      <c r="AI338" s="19" t="str">
        <f aca="false">UPPER(TEXT(C338,"mmmm"))</f>
        <v>AUGUST</v>
      </c>
      <c r="AJ338" s="19" t="str">
        <f aca="false">IF(C338="","",TEXT(C338,"rrrr"))</f>
        <v>CE5786CE5786</v>
      </c>
      <c r="AK338" s="10"/>
      <c r="AL338" s="11" t="n">
        <v>0</v>
      </c>
      <c r="AM338" s="10" t="s">
        <v>653</v>
      </c>
      <c r="AN338" s="10" t="s">
        <v>59</v>
      </c>
      <c r="AO338" s="10"/>
      <c r="AP338" s="10"/>
      <c r="AQ338" s="10"/>
      <c r="AR338" s="10" t="s">
        <v>66</v>
      </c>
      <c r="AS338" s="10"/>
      <c r="AT338" s="15" t="n">
        <v>1</v>
      </c>
    </row>
    <row r="339" customFormat="false" ht="28.5" hidden="false" customHeight="true" outlineLevel="0" collapsed="false">
      <c r="A339" s="12" t="n">
        <v>46245</v>
      </c>
      <c r="B339" s="12"/>
      <c r="C339" s="12" t="n">
        <v>46245</v>
      </c>
      <c r="D339" s="10" t="s">
        <v>54</v>
      </c>
      <c r="E339" s="10" t="s">
        <v>47</v>
      </c>
      <c r="F339" s="13" t="s">
        <v>654</v>
      </c>
      <c r="G339" s="14" t="s">
        <v>49</v>
      </c>
      <c r="H339" s="10" t="s">
        <v>50</v>
      </c>
      <c r="I339" s="15" t="n">
        <v>72</v>
      </c>
      <c r="J339" s="10" t="s">
        <v>51</v>
      </c>
      <c r="K339" s="15" t="n">
        <v>0</v>
      </c>
      <c r="L339" s="11" t="n">
        <v>0</v>
      </c>
      <c r="M339" s="11" t="n">
        <v>0</v>
      </c>
      <c r="N339" s="10" t="s">
        <v>52</v>
      </c>
      <c r="O339" s="10" t="s">
        <v>67</v>
      </c>
      <c r="P339" s="10" t="s">
        <v>53</v>
      </c>
      <c r="Q339" s="16" t="n">
        <v>10</v>
      </c>
      <c r="R339" s="10"/>
      <c r="S339" s="10"/>
      <c r="T339" s="10" t="n">
        <v>0</v>
      </c>
      <c r="U339" s="11" t="n">
        <f aca="false">IF(E339="TRANSPORT",IF(T339="","",T339*5),IF(AL339="","",AL339))</f>
        <v>0</v>
      </c>
      <c r="V339" s="10" t="s">
        <v>54</v>
      </c>
      <c r="W339" s="15" t="s">
        <v>655</v>
      </c>
      <c r="X339" s="15" t="s">
        <v>54</v>
      </c>
      <c r="Y339" s="17" t="n">
        <v>46253.7928935185</v>
      </c>
      <c r="Z339" s="18" t="n">
        <f aca="false">IF(I339="",0,IF(ISNUMBER(SEARCH("mp",LOWER(J339))),I339,IF(ISNUMBER(SEARCH("ton",LOWER(J339))),I339/0.33,IF(ISNUMBER(SEARCH("m3",LOWER(J339))),I339*4,I339))))</f>
        <v>72</v>
      </c>
      <c r="AA339" s="18" t="n">
        <f aca="false">IF(I339="",0,IF(ISNUMBER(SEARCH("mp",LOWER(J339))),I339*0.33,IF(ISNUMBER(SEARCH("ton",LOWER(J339))),I339,I339*0.33)))</f>
        <v>23.76</v>
      </c>
      <c r="AB339" s="18" t="n">
        <f aca="false">Tabela_dane[[#This Row],[Wolumen_t]]*8.5</f>
        <v>201.96</v>
      </c>
      <c r="AC339" s="18" t="n">
        <f aca="false">IF(G339&lt;&gt;"TAK",0,IF(OR(E339="ZAKUP",E339="PRODUKCJA"),Z339,IF(OR(E339="SPRZEDAŻ",E339="ZUŻYCIE"),-Z339,0)))</f>
        <v>72</v>
      </c>
      <c r="AD339" s="18" t="n">
        <f aca="false">IF(G339&lt;&gt;"TAK",0,IF(OR(E339="ZAKUP",E339="PRODUKCJA"),AA339,IF(OR(E339="SPRZEDAŻ",E339="ZUŻYCIE"),-AA339,0)))</f>
        <v>23.76</v>
      </c>
      <c r="AE339" s="19" t="n">
        <f aca="false">IF(E339="ZAKUP",IF(L339&lt;&gt;"",L339,IF(K339&lt;&gt;"",Z339*K339,0)),0)</f>
        <v>0</v>
      </c>
      <c r="AF339" s="19" t="n">
        <f aca="false">IF(E339="SPRZEDAŻ",IF(M339&lt;&gt;"",Z339*M339,0),0)</f>
        <v>0</v>
      </c>
      <c r="AG339" s="19" t="str">
        <f aca="false">IF(R339="","",IF(LOWER(R339)="brak","Brak",IF(OR(ISNUMBER(SEARCH("ric pl",LOWER(R339))),ISNUMBER(SEARCH("wojciechowski",LOWER(R339)))),"Własny","Zewnętrzny")))</f>
        <v/>
      </c>
      <c r="AH339" s="19" t="n">
        <f aca="false">Z339*Q339</f>
        <v>720</v>
      </c>
      <c r="AI339" s="19" t="str">
        <f aca="false">UPPER(TEXT(C339,"mmmm"))</f>
        <v>AUGUST</v>
      </c>
      <c r="AJ339" s="19" t="str">
        <f aca="false">IF(C339="","",TEXT(C339,"rrrr"))</f>
        <v>CE5786CE5786</v>
      </c>
      <c r="AK339" s="10"/>
      <c r="AL339" s="11" t="n">
        <v>0</v>
      </c>
      <c r="AM339" s="10" t="s">
        <v>656</v>
      </c>
      <c r="AN339" s="10" t="s">
        <v>59</v>
      </c>
      <c r="AO339" s="10"/>
      <c r="AP339" s="10"/>
      <c r="AQ339" s="10"/>
      <c r="AR339" s="10" t="s">
        <v>66</v>
      </c>
      <c r="AS339" s="10"/>
      <c r="AT339" s="15" t="n">
        <v>1</v>
      </c>
    </row>
    <row r="340" customFormat="false" ht="28.5" hidden="false" customHeight="true" outlineLevel="0" collapsed="false">
      <c r="A340" s="12" t="n">
        <v>46245</v>
      </c>
      <c r="B340" s="12"/>
      <c r="C340" s="12" t="n">
        <v>46245</v>
      </c>
      <c r="D340" s="10" t="s">
        <v>54</v>
      </c>
      <c r="E340" s="10" t="s">
        <v>79</v>
      </c>
      <c r="F340" s="13" t="s">
        <v>654</v>
      </c>
      <c r="G340" s="14" t="s">
        <v>49</v>
      </c>
      <c r="H340" s="10" t="s">
        <v>50</v>
      </c>
      <c r="I340" s="15" t="n">
        <v>72</v>
      </c>
      <c r="J340" s="10" t="s">
        <v>51</v>
      </c>
      <c r="K340" s="15" t="n">
        <v>0</v>
      </c>
      <c r="L340" s="11" t="n">
        <v>0</v>
      </c>
      <c r="M340" s="11" t="n">
        <v>0</v>
      </c>
      <c r="N340" s="10" t="s">
        <v>52</v>
      </c>
      <c r="O340" s="10" t="s">
        <v>67</v>
      </c>
      <c r="P340" s="10" t="s">
        <v>53</v>
      </c>
      <c r="Q340" s="16" t="n">
        <v>10</v>
      </c>
      <c r="R340" s="10"/>
      <c r="S340" s="10"/>
      <c r="T340" s="10" t="n">
        <v>0</v>
      </c>
      <c r="U340" s="11" t="n">
        <f aca="false">IF(E340="TRANSPORT",IF(T340="","",T340*5),IF(AL340="","",AL340))</f>
        <v>0</v>
      </c>
      <c r="V340" s="10" t="s">
        <v>54</v>
      </c>
      <c r="W340" s="15" t="s">
        <v>260</v>
      </c>
      <c r="X340" s="15" t="s">
        <v>54</v>
      </c>
      <c r="Y340" s="17" t="n">
        <v>46253.7929050926</v>
      </c>
      <c r="Z340" s="18" t="n">
        <f aca="false">IF(I340="",0,IF(ISNUMBER(SEARCH("mp",LOWER(J340))),I340,IF(ISNUMBER(SEARCH("ton",LOWER(J340))),I340/0.33,IF(ISNUMBER(SEARCH("m3",LOWER(J340))),I340*4,I340))))</f>
        <v>72</v>
      </c>
      <c r="AA340" s="18" t="n">
        <f aca="false">IF(I340="",0,IF(ISNUMBER(SEARCH("mp",LOWER(J340))),I340*0.33,IF(ISNUMBER(SEARCH("ton",LOWER(J340))),I340,I340*0.33)))</f>
        <v>23.76</v>
      </c>
      <c r="AB340" s="18" t="n">
        <f aca="false">Tabela_dane[[#This Row],[Wolumen_t]]*8.5</f>
        <v>201.96</v>
      </c>
      <c r="AC340" s="18" t="n">
        <f aca="false">IF(G340&lt;&gt;"TAK",0,IF(OR(E340="ZAKUP",E340="PRODUKCJA"),Z340,IF(OR(E340="SPRZEDAŻ",E340="ZUŻYCIE"),-Z340,0)))</f>
        <v>-72</v>
      </c>
      <c r="AD340" s="18" t="n">
        <f aca="false">IF(G340&lt;&gt;"TAK",0,IF(OR(E340="ZAKUP",E340="PRODUKCJA"),AA340,IF(OR(E340="SPRZEDAŻ",E340="ZUŻYCIE"),-AA340,0)))</f>
        <v>-23.76</v>
      </c>
      <c r="AE340" s="19" t="n">
        <f aca="false">IF(E340="ZAKUP",IF(L340&lt;&gt;"",L340,IF(K340&lt;&gt;"",Z340*K340,0)),0)</f>
        <v>0</v>
      </c>
      <c r="AF340" s="19" t="n">
        <f aca="false">IF(E340="SPRZEDAŻ",IF(M340&lt;&gt;"",Z340*M340,0),0)</f>
        <v>0</v>
      </c>
      <c r="AG340" s="19" t="str">
        <f aca="false">IF(R340="","",IF(LOWER(R340)="brak","Brak",IF(OR(ISNUMBER(SEARCH("ric pl",LOWER(R340))),ISNUMBER(SEARCH("wojciechowski",LOWER(R340)))),"Własny","Zewnętrzny")))</f>
        <v/>
      </c>
      <c r="AH340" s="19" t="n">
        <f aca="false">Z340*Q340</f>
        <v>720</v>
      </c>
      <c r="AI340" s="19" t="str">
        <f aca="false">UPPER(TEXT(C340,"mmmm"))</f>
        <v>AUGUST</v>
      </c>
      <c r="AJ340" s="19" t="str">
        <f aca="false">IF(C340="","",TEXT(C340,"rrrr"))</f>
        <v>CE5786CE5786</v>
      </c>
      <c r="AK340" s="10"/>
      <c r="AL340" s="11" t="n">
        <v>0</v>
      </c>
      <c r="AM340" s="10" t="s">
        <v>656</v>
      </c>
      <c r="AN340" s="10" t="s">
        <v>59</v>
      </c>
      <c r="AO340" s="10"/>
      <c r="AP340" s="10"/>
      <c r="AQ340" s="10"/>
      <c r="AR340" s="10" t="s">
        <v>81</v>
      </c>
      <c r="AS340" s="10"/>
      <c r="AT340" s="15" t="n">
        <v>1</v>
      </c>
    </row>
    <row r="341" customFormat="false" ht="28.5" hidden="false" customHeight="true" outlineLevel="0" collapsed="false">
      <c r="A341" s="12" t="n">
        <v>46245</v>
      </c>
      <c r="B341" s="12" t="s">
        <v>657</v>
      </c>
      <c r="C341" s="12" t="n">
        <v>46245</v>
      </c>
      <c r="D341" s="10" t="s">
        <v>54</v>
      </c>
      <c r="E341" s="10" t="s">
        <v>63</v>
      </c>
      <c r="F341" s="13" t="s">
        <v>654</v>
      </c>
      <c r="G341" s="14" t="s">
        <v>49</v>
      </c>
      <c r="H341" s="10" t="s">
        <v>50</v>
      </c>
      <c r="I341" s="15" t="n">
        <v>72</v>
      </c>
      <c r="J341" s="10" t="s">
        <v>51</v>
      </c>
      <c r="K341" s="15" t="n">
        <v>0</v>
      </c>
      <c r="L341" s="11" t="n">
        <v>0</v>
      </c>
      <c r="M341" s="11" t="n">
        <v>0</v>
      </c>
      <c r="N341" s="10" t="s">
        <v>52</v>
      </c>
      <c r="O341" s="10" t="s">
        <v>67</v>
      </c>
      <c r="P341" s="10"/>
      <c r="Q341" s="16" t="n">
        <v>0</v>
      </c>
      <c r="R341" s="10" t="s">
        <v>68</v>
      </c>
      <c r="S341" s="10" t="s">
        <v>69</v>
      </c>
      <c r="T341" s="10" t="n">
        <v>134</v>
      </c>
      <c r="U341" s="11" t="n">
        <f aca="false">IF(E341="TRANSPORT",IF(T341="","",T341*5),IF(AL341="","",AL341))</f>
        <v>670</v>
      </c>
      <c r="V341" s="10" t="s">
        <v>54</v>
      </c>
      <c r="W341" s="15" t="s">
        <v>658</v>
      </c>
      <c r="X341" s="15" t="s">
        <v>54</v>
      </c>
      <c r="Y341" s="17" t="n">
        <v>46253.797025463</v>
      </c>
      <c r="Z341" s="18" t="n">
        <f aca="false">IF(I341="",0,IF(ISNUMBER(SEARCH("mp",LOWER(J341))),I341,IF(ISNUMBER(SEARCH("ton",LOWER(J341))),I341/0.33,IF(ISNUMBER(SEARCH("m3",LOWER(J341))),I341*4,I341))))</f>
        <v>72</v>
      </c>
      <c r="AA341" s="18" t="n">
        <f aca="false">IF(I341="",0,IF(ISNUMBER(SEARCH("mp",LOWER(J341))),I341*0.33,IF(ISNUMBER(SEARCH("ton",LOWER(J341))),I341,I341*0.33)))</f>
        <v>23.76</v>
      </c>
      <c r="AB341" s="18" t="n">
        <f aca="false">Tabela_dane[[#This Row],[Wolumen_t]]*8.5</f>
        <v>201.96</v>
      </c>
      <c r="AC341" s="18" t="n">
        <f aca="false">IF(G341&lt;&gt;"TAK",0,IF(OR(E341="ZAKUP",E341="PRODUKCJA"),Z341,IF(OR(E341="SPRZEDAŻ",E341="ZUŻYCIE"),-Z341,0)))</f>
        <v>72</v>
      </c>
      <c r="AD341" s="18" t="n">
        <f aca="false">IF(G341&lt;&gt;"TAK",0,IF(OR(E341="ZAKUP",E341="PRODUKCJA"),AA341,IF(OR(E341="SPRZEDAŻ",E341="ZUŻYCIE"),-AA341,0)))</f>
        <v>23.76</v>
      </c>
      <c r="AE341" s="19" t="n">
        <f aca="false">IF(E341="ZAKUP",IF(L341&lt;&gt;"",L341,IF(K341&lt;&gt;"",Z341*K341,0)),0)</f>
        <v>0</v>
      </c>
      <c r="AF341" s="19" t="n">
        <f aca="false">IF(E341="SPRZEDAŻ",IF(M341&lt;&gt;"",Z341*M341,0),0)</f>
        <v>0</v>
      </c>
      <c r="AG341" s="19" t="str">
        <f aca="false">IF(R341="","",IF(LOWER(R341)="brak","Brak",IF(OR(ISNUMBER(SEARCH("ric pl",LOWER(R341))),ISNUMBER(SEARCH("wojciechowski",LOWER(R341)))),"Własny","Zewnętrzny")))</f>
        <v>Zewnętrzny</v>
      </c>
      <c r="AH341" s="19" t="n">
        <f aca="false">Z341*Q341</f>
        <v>0</v>
      </c>
      <c r="AI341" s="19" t="str">
        <f aca="false">UPPER(TEXT(C341,"mmmm"))</f>
        <v>AUGUST</v>
      </c>
      <c r="AJ341" s="19" t="str">
        <f aca="false">IF(C341="","",TEXT(C341,"rrrr"))</f>
        <v>CE5786CE5786</v>
      </c>
      <c r="AK341" s="10"/>
      <c r="AL341" s="11" t="n">
        <v>670</v>
      </c>
      <c r="AM341" s="10" t="s">
        <v>659</v>
      </c>
      <c r="AN341" s="10" t="s">
        <v>49</v>
      </c>
      <c r="AO341" s="10"/>
      <c r="AP341" s="10"/>
      <c r="AQ341" s="10"/>
      <c r="AR341" s="10" t="s">
        <v>66</v>
      </c>
      <c r="AS341" s="10"/>
      <c r="AT341" s="15" t="n">
        <v>1</v>
      </c>
    </row>
    <row r="342" customFormat="false" ht="28.5" hidden="false" customHeight="true" outlineLevel="0" collapsed="false">
      <c r="A342" s="12" t="n">
        <v>46245</v>
      </c>
      <c r="B342" s="12"/>
      <c r="C342" s="12" t="n">
        <v>46245</v>
      </c>
      <c r="D342" s="10" t="s">
        <v>650</v>
      </c>
      <c r="E342" s="10" t="s">
        <v>63</v>
      </c>
      <c r="F342" s="46" t="s">
        <v>660</v>
      </c>
      <c r="G342" s="14" t="s">
        <v>49</v>
      </c>
      <c r="H342" s="10" t="s">
        <v>50</v>
      </c>
      <c r="I342" s="15" t="n">
        <v>18</v>
      </c>
      <c r="J342" s="10" t="s">
        <v>77</v>
      </c>
      <c r="K342" s="15" t="n">
        <v>141</v>
      </c>
      <c r="L342" s="11" t="n">
        <v>2538</v>
      </c>
      <c r="M342" s="11" t="n">
        <v>0</v>
      </c>
      <c r="N342" s="10" t="s">
        <v>64</v>
      </c>
      <c r="O342" s="10" t="s">
        <v>67</v>
      </c>
      <c r="P342" s="10"/>
      <c r="Q342" s="16" t="n">
        <v>0</v>
      </c>
      <c r="R342" s="10"/>
      <c r="S342" s="10"/>
      <c r="T342" s="10" t="n">
        <v>0</v>
      </c>
      <c r="U342" s="11" t="n">
        <f aca="false">IF(E342="TRANSPORT",IF(T342="","",T342*5),IF(AL342="","",AL342))</f>
        <v>0</v>
      </c>
      <c r="V342" s="10" t="s">
        <v>54</v>
      </c>
      <c r="W342" s="15" t="s">
        <v>661</v>
      </c>
      <c r="X342" s="15" t="s">
        <v>54</v>
      </c>
      <c r="Y342" s="17" t="n">
        <v>46254.3563078704</v>
      </c>
      <c r="Z342" s="18" t="n">
        <f aca="false">IF(I342="",0,IF(ISNUMBER(SEARCH("mp",LOWER(J342))),I342,IF(ISNUMBER(SEARCH("ton",LOWER(J342))),I342/0.33,IF(ISNUMBER(SEARCH("m3",LOWER(J342))),I342*4,I342))))</f>
        <v>72</v>
      </c>
      <c r="AA342" s="18" t="n">
        <f aca="false">IF(I342="",0,IF(ISNUMBER(SEARCH("mp",LOWER(J342))),I342*0.33,IF(ISNUMBER(SEARCH("ton",LOWER(J342))),I342,I342*0.33)))</f>
        <v>5.94</v>
      </c>
      <c r="AB342" s="18" t="n">
        <f aca="false">Tabela_dane[[#This Row],[Wolumen_t]]*8.5</f>
        <v>50.49</v>
      </c>
      <c r="AC342" s="18" t="n">
        <f aca="false">IF(G342&lt;&gt;"TAK",0,IF(OR(E342="ZAKUP",E342="PRODUKCJA"),Z342,IF(OR(E342="SPRZEDAŻ",E342="ZUŻYCIE"),-Z342,0)))</f>
        <v>72</v>
      </c>
      <c r="AD342" s="18" t="n">
        <f aca="false">IF(G342&lt;&gt;"TAK",0,IF(OR(E342="ZAKUP",E342="PRODUKCJA"),AA342,IF(OR(E342="SPRZEDAŻ",E342="ZUŻYCIE"),-AA342,0)))</f>
        <v>5.94</v>
      </c>
      <c r="AE342" s="19" t="n">
        <f aca="false">IF(E342="ZAKUP",IF(L342&lt;&gt;"",L342,IF(K342&lt;&gt;"",Z342*K342,0)),0)</f>
        <v>2538</v>
      </c>
      <c r="AF342" s="19" t="n">
        <f aca="false">IF(E342="SPRZEDAŻ",IF(M342&lt;&gt;"",Z342*M342,0),0)</f>
        <v>0</v>
      </c>
      <c r="AG342" s="19" t="str">
        <f aca="false">IF(R342="","",IF(LOWER(R342)="brak","Brak",IF(OR(ISNUMBER(SEARCH("ric pl",LOWER(R342))),ISNUMBER(SEARCH("wojciechowski",LOWER(R342)))),"Własny","Zewnętrzny")))</f>
        <v/>
      </c>
      <c r="AH342" s="19" t="n">
        <f aca="false">Z342*Q342</f>
        <v>0</v>
      </c>
      <c r="AI342" s="19" t="str">
        <f aca="false">UPPER(TEXT(C342,"mmmm"))</f>
        <v>AUGUST</v>
      </c>
      <c r="AJ342" s="19" t="str">
        <f aca="false">IF(C342="","",TEXT(C342,"rrrr"))</f>
        <v>CE5786CE5786</v>
      </c>
      <c r="AK342" s="10"/>
      <c r="AL342" s="11" t="n">
        <v>0</v>
      </c>
      <c r="AM342" s="10" t="s">
        <v>662</v>
      </c>
      <c r="AN342" s="10" t="s">
        <v>59</v>
      </c>
      <c r="AO342" s="10"/>
      <c r="AP342" s="10"/>
      <c r="AQ342" s="10"/>
      <c r="AR342" s="10" t="s">
        <v>66</v>
      </c>
      <c r="AS342" s="10"/>
      <c r="AT342" s="15" t="n">
        <v>1</v>
      </c>
    </row>
    <row r="343" customFormat="false" ht="28.5" hidden="false" customHeight="true" outlineLevel="0" collapsed="false">
      <c r="A343" s="12" t="n">
        <v>46245</v>
      </c>
      <c r="B343" s="12"/>
      <c r="C343" s="12" t="n">
        <v>46245</v>
      </c>
      <c r="D343" s="10" t="s">
        <v>54</v>
      </c>
      <c r="E343" s="10" t="s">
        <v>47</v>
      </c>
      <c r="F343" s="13" t="s">
        <v>663</v>
      </c>
      <c r="G343" s="14" t="s">
        <v>49</v>
      </c>
      <c r="H343" s="10" t="s">
        <v>50</v>
      </c>
      <c r="I343" s="15" t="n">
        <v>72</v>
      </c>
      <c r="J343" s="10" t="s">
        <v>51</v>
      </c>
      <c r="K343" s="15" t="n">
        <v>0</v>
      </c>
      <c r="L343" s="11" t="n">
        <v>0</v>
      </c>
      <c r="M343" s="11" t="n">
        <v>0</v>
      </c>
      <c r="N343" s="10" t="s">
        <v>52</v>
      </c>
      <c r="O343" s="10" t="s">
        <v>67</v>
      </c>
      <c r="P343" s="10" t="s">
        <v>53</v>
      </c>
      <c r="Q343" s="16" t="n">
        <v>10</v>
      </c>
      <c r="R343" s="10"/>
      <c r="S343" s="10"/>
      <c r="T343" s="10" t="n">
        <v>0</v>
      </c>
      <c r="U343" s="11" t="n">
        <f aca="false">IF(E343="TRANSPORT",IF(T343="","",T343*5),IF(AL343="","",AL343))</f>
        <v>0</v>
      </c>
      <c r="V343" s="10" t="s">
        <v>54</v>
      </c>
      <c r="W343" s="15" t="s">
        <v>655</v>
      </c>
      <c r="X343" s="15" t="s">
        <v>54</v>
      </c>
      <c r="Y343" s="17" t="n">
        <v>46254.3660416667</v>
      </c>
      <c r="Z343" s="18" t="n">
        <f aca="false">IF(I343="",0,IF(ISNUMBER(SEARCH("mp",LOWER(J343))),I343,IF(ISNUMBER(SEARCH("ton",LOWER(J343))),I343/0.33,IF(ISNUMBER(SEARCH("m3",LOWER(J343))),I343*4,I343))))</f>
        <v>72</v>
      </c>
      <c r="AA343" s="18" t="n">
        <f aca="false">IF(I343="",0,IF(ISNUMBER(SEARCH("mp",LOWER(J343))),I343*0.33,IF(ISNUMBER(SEARCH("ton",LOWER(J343))),I343,I343*0.33)))</f>
        <v>23.76</v>
      </c>
      <c r="AB343" s="18" t="n">
        <f aca="false">Tabela_dane[[#This Row],[Wolumen_t]]*8.5</f>
        <v>201.96</v>
      </c>
      <c r="AC343" s="18" t="n">
        <f aca="false">IF(G343&lt;&gt;"TAK",0,IF(OR(E343="ZAKUP",E343="PRODUKCJA"),Z343,IF(OR(E343="SPRZEDAŻ",E343="ZUŻYCIE"),-Z343,0)))</f>
        <v>72</v>
      </c>
      <c r="AD343" s="18" t="n">
        <f aca="false">IF(G343&lt;&gt;"TAK",0,IF(OR(E343="ZAKUP",E343="PRODUKCJA"),AA343,IF(OR(E343="SPRZEDAŻ",E343="ZUŻYCIE"),-AA343,0)))</f>
        <v>23.76</v>
      </c>
      <c r="AE343" s="19" t="n">
        <f aca="false">IF(E343="ZAKUP",IF(L343&lt;&gt;"",L343,IF(K343&lt;&gt;"",Z343*K343,0)),0)</f>
        <v>0</v>
      </c>
      <c r="AF343" s="19" t="n">
        <f aca="false">IF(E343="SPRZEDAŻ",IF(M343&lt;&gt;"",Z343*M343,0),0)</f>
        <v>0</v>
      </c>
      <c r="AG343" s="19" t="str">
        <f aca="false">IF(R343="","",IF(LOWER(R343)="brak","Brak",IF(OR(ISNUMBER(SEARCH("ric pl",LOWER(R343))),ISNUMBER(SEARCH("wojciechowski",LOWER(R343)))),"Własny","Zewnętrzny")))</f>
        <v/>
      </c>
      <c r="AH343" s="19" t="n">
        <f aca="false">Z343*Q343</f>
        <v>720</v>
      </c>
      <c r="AI343" s="19" t="str">
        <f aca="false">UPPER(TEXT(C343,"mmmm"))</f>
        <v>AUGUST</v>
      </c>
      <c r="AJ343" s="19" t="str">
        <f aca="false">IF(C343="","",TEXT(C343,"rrrr"))</f>
        <v>CE5786CE5786</v>
      </c>
      <c r="AK343" s="10"/>
      <c r="AL343" s="11" t="n">
        <v>0</v>
      </c>
      <c r="AM343" s="10" t="s">
        <v>664</v>
      </c>
      <c r="AN343" s="10" t="s">
        <v>59</v>
      </c>
      <c r="AO343" s="10"/>
      <c r="AP343" s="10"/>
      <c r="AQ343" s="10"/>
      <c r="AR343" s="10" t="s">
        <v>66</v>
      </c>
      <c r="AS343" s="10"/>
      <c r="AT343" s="15" t="n">
        <v>1</v>
      </c>
    </row>
    <row r="344" customFormat="false" ht="28.5" hidden="false" customHeight="true" outlineLevel="0" collapsed="false">
      <c r="A344" s="12" t="n">
        <v>46245</v>
      </c>
      <c r="B344" s="12"/>
      <c r="C344" s="12" t="n">
        <v>46245</v>
      </c>
      <c r="D344" s="10" t="s">
        <v>54</v>
      </c>
      <c r="E344" s="10" t="s">
        <v>79</v>
      </c>
      <c r="F344" s="13" t="s">
        <v>663</v>
      </c>
      <c r="G344" s="14" t="s">
        <v>49</v>
      </c>
      <c r="H344" s="10" t="s">
        <v>50</v>
      </c>
      <c r="I344" s="15" t="n">
        <v>72</v>
      </c>
      <c r="J344" s="10" t="s">
        <v>51</v>
      </c>
      <c r="K344" s="15" t="n">
        <v>0</v>
      </c>
      <c r="L344" s="11" t="n">
        <v>0</v>
      </c>
      <c r="M344" s="11" t="n">
        <v>0</v>
      </c>
      <c r="N344" s="10" t="s">
        <v>52</v>
      </c>
      <c r="O344" s="10" t="s">
        <v>67</v>
      </c>
      <c r="P344" s="10" t="s">
        <v>53</v>
      </c>
      <c r="Q344" s="16" t="n">
        <v>10</v>
      </c>
      <c r="R344" s="10"/>
      <c r="S344" s="10"/>
      <c r="T344" s="10" t="n">
        <v>0</v>
      </c>
      <c r="U344" s="11" t="n">
        <f aca="false">IF(E344="TRANSPORT",IF(T344="","",T344*5),IF(AL344="","",AL344))</f>
        <v>0</v>
      </c>
      <c r="V344" s="10" t="s">
        <v>54</v>
      </c>
      <c r="W344" s="15" t="s">
        <v>260</v>
      </c>
      <c r="X344" s="15" t="s">
        <v>54</v>
      </c>
      <c r="Y344" s="17" t="n">
        <v>46254.3660416667</v>
      </c>
      <c r="Z344" s="18" t="n">
        <f aca="false">IF(I344="",0,IF(ISNUMBER(SEARCH("mp",LOWER(J344))),I344,IF(ISNUMBER(SEARCH("ton",LOWER(J344))),I344/0.33,IF(ISNUMBER(SEARCH("m3",LOWER(J344))),I344*4,I344))))</f>
        <v>72</v>
      </c>
      <c r="AA344" s="18" t="n">
        <f aca="false">IF(I344="",0,IF(ISNUMBER(SEARCH("mp",LOWER(J344))),I344*0.33,IF(ISNUMBER(SEARCH("ton",LOWER(J344))),I344,I344*0.33)))</f>
        <v>23.76</v>
      </c>
      <c r="AB344" s="18" t="n">
        <f aca="false">Tabela_dane[[#This Row],[Wolumen_t]]*8.5</f>
        <v>201.96</v>
      </c>
      <c r="AC344" s="18" t="n">
        <f aca="false">IF(G344&lt;&gt;"TAK",0,IF(OR(E344="ZAKUP",E344="PRODUKCJA"),Z344,IF(OR(E344="SPRZEDAŻ",E344="ZUŻYCIE"),-Z344,0)))</f>
        <v>-72</v>
      </c>
      <c r="AD344" s="18" t="n">
        <f aca="false">IF(G344&lt;&gt;"TAK",0,IF(OR(E344="ZAKUP",E344="PRODUKCJA"),AA344,IF(OR(E344="SPRZEDAŻ",E344="ZUŻYCIE"),-AA344,0)))</f>
        <v>-23.76</v>
      </c>
      <c r="AE344" s="19" t="n">
        <f aca="false">IF(E344="ZAKUP",IF(L344&lt;&gt;"",L344,IF(K344&lt;&gt;"",Z344*K344,0)),0)</f>
        <v>0</v>
      </c>
      <c r="AF344" s="19" t="n">
        <f aca="false">IF(E344="SPRZEDAŻ",IF(M344&lt;&gt;"",Z344*M344,0),0)</f>
        <v>0</v>
      </c>
      <c r="AG344" s="19" t="str">
        <f aca="false">IF(R344="","",IF(LOWER(R344)="brak","Brak",IF(OR(ISNUMBER(SEARCH("ric pl",LOWER(R344))),ISNUMBER(SEARCH("wojciechowski",LOWER(R344)))),"Własny","Zewnętrzny")))</f>
        <v/>
      </c>
      <c r="AH344" s="19" t="n">
        <f aca="false">Z344*Q344</f>
        <v>720</v>
      </c>
      <c r="AI344" s="19" t="str">
        <f aca="false">UPPER(TEXT(C344,"mmmm"))</f>
        <v>AUGUST</v>
      </c>
      <c r="AJ344" s="19" t="str">
        <f aca="false">IF(C344="","",TEXT(C344,"rrrr"))</f>
        <v>CE5786CE5786</v>
      </c>
      <c r="AK344" s="10"/>
      <c r="AL344" s="11" t="n">
        <v>0</v>
      </c>
      <c r="AM344" s="10" t="s">
        <v>664</v>
      </c>
      <c r="AN344" s="10" t="s">
        <v>59</v>
      </c>
      <c r="AO344" s="10"/>
      <c r="AP344" s="10"/>
      <c r="AQ344" s="10"/>
      <c r="AR344" s="10" t="s">
        <v>81</v>
      </c>
      <c r="AS344" s="10"/>
      <c r="AT344" s="15" t="n">
        <v>1</v>
      </c>
    </row>
    <row r="345" customFormat="false" ht="28.5" hidden="false" customHeight="true" outlineLevel="0" collapsed="false">
      <c r="A345" s="12" t="n">
        <v>46245</v>
      </c>
      <c r="B345" s="12" t="s">
        <v>657</v>
      </c>
      <c r="C345" s="12" t="n">
        <v>46245</v>
      </c>
      <c r="D345" s="10" t="s">
        <v>54</v>
      </c>
      <c r="E345" s="10" t="s">
        <v>63</v>
      </c>
      <c r="F345" s="13" t="s">
        <v>663</v>
      </c>
      <c r="G345" s="14" t="s">
        <v>49</v>
      </c>
      <c r="H345" s="10" t="s">
        <v>50</v>
      </c>
      <c r="I345" s="15" t="n">
        <v>72</v>
      </c>
      <c r="J345" s="10" t="s">
        <v>51</v>
      </c>
      <c r="K345" s="15" t="n">
        <v>0</v>
      </c>
      <c r="L345" s="11" t="n">
        <v>0</v>
      </c>
      <c r="M345" s="11" t="n">
        <v>0</v>
      </c>
      <c r="N345" s="10" t="s">
        <v>52</v>
      </c>
      <c r="O345" s="10" t="s">
        <v>67</v>
      </c>
      <c r="P345" s="10"/>
      <c r="Q345" s="16" t="n">
        <v>0</v>
      </c>
      <c r="R345" s="10" t="s">
        <v>68</v>
      </c>
      <c r="S345" s="10" t="s">
        <v>69</v>
      </c>
      <c r="T345" s="10" t="n">
        <v>134</v>
      </c>
      <c r="U345" s="11" t="n">
        <f aca="false">IF(E345="TRANSPORT",IF(T345="","",T345*5),IF(AL345="","",AL345))</f>
        <v>670</v>
      </c>
      <c r="V345" s="10" t="s">
        <v>54</v>
      </c>
      <c r="W345" s="15" t="s">
        <v>629</v>
      </c>
      <c r="X345" s="15" t="s">
        <v>54</v>
      </c>
      <c r="Y345" s="17" t="n">
        <v>46254.368587963</v>
      </c>
      <c r="Z345" s="18" t="n">
        <f aca="false">IF(I345="",0,IF(ISNUMBER(SEARCH("mp",LOWER(J345))),I345,IF(ISNUMBER(SEARCH("ton",LOWER(J345))),I345/0.33,IF(ISNUMBER(SEARCH("m3",LOWER(J345))),I345*4,I345))))</f>
        <v>72</v>
      </c>
      <c r="AA345" s="18" t="n">
        <f aca="false">IF(I345="",0,IF(ISNUMBER(SEARCH("mp",LOWER(J345))),I345*0.33,IF(ISNUMBER(SEARCH("ton",LOWER(J345))),I345,I345*0.33)))</f>
        <v>23.76</v>
      </c>
      <c r="AB345" s="18" t="n">
        <f aca="false">Tabela_dane[[#This Row],[Wolumen_t]]*8.5</f>
        <v>201.96</v>
      </c>
      <c r="AC345" s="18" t="n">
        <f aca="false">IF(G345&lt;&gt;"TAK",0,IF(OR(E345="ZAKUP",E345="PRODUKCJA"),Z345,IF(OR(E345="SPRZEDAŻ",E345="ZUŻYCIE"),-Z345,0)))</f>
        <v>72</v>
      </c>
      <c r="AD345" s="18" t="n">
        <f aca="false">IF(G345&lt;&gt;"TAK",0,IF(OR(E345="ZAKUP",E345="PRODUKCJA"),AA345,IF(OR(E345="SPRZEDAŻ",E345="ZUŻYCIE"),-AA345,0)))</f>
        <v>23.76</v>
      </c>
      <c r="AE345" s="19" t="n">
        <f aca="false">IF(E345="ZAKUP",IF(L345&lt;&gt;"",L345,IF(K345&lt;&gt;"",Z345*K345,0)),0)</f>
        <v>0</v>
      </c>
      <c r="AF345" s="19" t="n">
        <f aca="false">IF(E345="SPRZEDAŻ",IF(M345&lt;&gt;"",Z345*M345,0),0)</f>
        <v>0</v>
      </c>
      <c r="AG345" s="19" t="str">
        <f aca="false">IF(R345="","",IF(LOWER(R345)="brak","Brak",IF(OR(ISNUMBER(SEARCH("ric pl",LOWER(R345))),ISNUMBER(SEARCH("wojciechowski",LOWER(R345)))),"Własny","Zewnętrzny")))</f>
        <v>Zewnętrzny</v>
      </c>
      <c r="AH345" s="19" t="n">
        <f aca="false">Z345*Q345</f>
        <v>0</v>
      </c>
      <c r="AI345" s="19" t="str">
        <f aca="false">UPPER(TEXT(C345,"mmmm"))</f>
        <v>AUGUST</v>
      </c>
      <c r="AJ345" s="19" t="str">
        <f aca="false">IF(C345="","",TEXT(C345,"rrrr"))</f>
        <v>CE5786CE5786</v>
      </c>
      <c r="AK345" s="10"/>
      <c r="AL345" s="11" t="n">
        <v>670</v>
      </c>
      <c r="AM345" s="10" t="s">
        <v>665</v>
      </c>
      <c r="AN345" s="10" t="s">
        <v>49</v>
      </c>
      <c r="AO345" s="10"/>
      <c r="AP345" s="10"/>
      <c r="AQ345" s="10"/>
      <c r="AR345" s="10" t="s">
        <v>66</v>
      </c>
      <c r="AS345" s="10"/>
      <c r="AT345" s="15" t="n">
        <v>1</v>
      </c>
    </row>
    <row r="346" customFormat="false" ht="28.5" hidden="false" customHeight="true" outlineLevel="0" collapsed="false">
      <c r="A346" s="12" t="n">
        <v>46245</v>
      </c>
      <c r="B346" s="12"/>
      <c r="C346" s="12" t="n">
        <v>46245</v>
      </c>
      <c r="D346" s="10" t="s">
        <v>650</v>
      </c>
      <c r="E346" s="10" t="s">
        <v>63</v>
      </c>
      <c r="F346" s="46" t="s">
        <v>666</v>
      </c>
      <c r="G346" s="14" t="s">
        <v>49</v>
      </c>
      <c r="H346" s="10" t="s">
        <v>50</v>
      </c>
      <c r="I346" s="15" t="n">
        <v>18</v>
      </c>
      <c r="J346" s="10" t="s">
        <v>77</v>
      </c>
      <c r="K346" s="15" t="n">
        <v>141</v>
      </c>
      <c r="L346" s="11" t="n">
        <v>2538</v>
      </c>
      <c r="M346" s="11" t="n">
        <v>0</v>
      </c>
      <c r="N346" s="10" t="s">
        <v>64</v>
      </c>
      <c r="O346" s="10"/>
      <c r="P346" s="10"/>
      <c r="Q346" s="16" t="n">
        <v>0</v>
      </c>
      <c r="R346" s="10"/>
      <c r="S346" s="10"/>
      <c r="T346" s="10" t="n">
        <v>0</v>
      </c>
      <c r="U346" s="11" t="n">
        <f aca="false">IF(E346="TRANSPORT",IF(T346="","",T346*5),IF(AL346="","",AL346))</f>
        <v>0</v>
      </c>
      <c r="V346" s="10" t="s">
        <v>54</v>
      </c>
      <c r="W346" s="15" t="s">
        <v>667</v>
      </c>
      <c r="X346" s="15" t="s">
        <v>54</v>
      </c>
      <c r="Y346" s="17" t="n">
        <v>46254.3723611111</v>
      </c>
      <c r="Z346" s="18" t="n">
        <f aca="false">IF(I346="",0,IF(ISNUMBER(SEARCH("mp",LOWER(J346))),I346,IF(ISNUMBER(SEARCH("ton",LOWER(J346))),I346/0.33,IF(ISNUMBER(SEARCH("m3",LOWER(J346))),I346*4,I346))))</f>
        <v>72</v>
      </c>
      <c r="AA346" s="18" t="n">
        <f aca="false">IF(I346="",0,IF(ISNUMBER(SEARCH("mp",LOWER(J346))),I346*0.33,IF(ISNUMBER(SEARCH("ton",LOWER(J346))),I346,I346*0.33)))</f>
        <v>5.94</v>
      </c>
      <c r="AB346" s="18" t="n">
        <f aca="false">Tabela_dane[[#This Row],[Wolumen_t]]*8.5</f>
        <v>50.49</v>
      </c>
      <c r="AC346" s="18" t="n">
        <f aca="false">IF(G346&lt;&gt;"TAK",0,IF(OR(E346="ZAKUP",E346="PRODUKCJA"),Z346,IF(OR(E346="SPRZEDAŻ",E346="ZUŻYCIE"),-Z346,0)))</f>
        <v>72</v>
      </c>
      <c r="AD346" s="18" t="n">
        <f aca="false">IF(G346&lt;&gt;"TAK",0,IF(OR(E346="ZAKUP",E346="PRODUKCJA"),AA346,IF(OR(E346="SPRZEDAŻ",E346="ZUŻYCIE"),-AA346,0)))</f>
        <v>5.94</v>
      </c>
      <c r="AE346" s="19" t="n">
        <f aca="false">IF(E346="ZAKUP",IF(L346&lt;&gt;"",L346,IF(K346&lt;&gt;"",Z346*K346,0)),0)</f>
        <v>2538</v>
      </c>
      <c r="AF346" s="19" t="n">
        <f aca="false">IF(E346="SPRZEDAŻ",IF(M346&lt;&gt;"",Z346*M346,0),0)</f>
        <v>0</v>
      </c>
      <c r="AG346" s="19" t="str">
        <f aca="false">IF(R346="","",IF(LOWER(R346)="brak","Brak",IF(OR(ISNUMBER(SEARCH("ric pl",LOWER(R346))),ISNUMBER(SEARCH("wojciechowski",LOWER(R346)))),"Własny","Zewnętrzny")))</f>
        <v/>
      </c>
      <c r="AH346" s="19" t="n">
        <f aca="false">Z346*Q346</f>
        <v>0</v>
      </c>
      <c r="AI346" s="19" t="str">
        <f aca="false">UPPER(TEXT(C346,"mmmm"))</f>
        <v>AUGUST</v>
      </c>
      <c r="AJ346" s="19" t="str">
        <f aca="false">IF(C346="","",TEXT(C346,"rrrr"))</f>
        <v>CE5786CE5786</v>
      </c>
      <c r="AK346" s="10"/>
      <c r="AL346" s="11" t="n">
        <v>0</v>
      </c>
      <c r="AM346" s="10" t="s">
        <v>668</v>
      </c>
      <c r="AN346" s="10" t="s">
        <v>59</v>
      </c>
      <c r="AO346" s="10"/>
      <c r="AP346" s="10"/>
      <c r="AQ346" s="10"/>
      <c r="AR346" s="10" t="s">
        <v>66</v>
      </c>
      <c r="AS346" s="10"/>
      <c r="AT346" s="15" t="n">
        <v>1</v>
      </c>
    </row>
    <row r="347" customFormat="false" ht="28.5" hidden="false" customHeight="true" outlineLevel="0" collapsed="false">
      <c r="A347" s="12" t="n">
        <v>46245</v>
      </c>
      <c r="B347" s="12"/>
      <c r="C347" s="12" t="n">
        <v>46245</v>
      </c>
      <c r="D347" s="10" t="s">
        <v>54</v>
      </c>
      <c r="E347" s="10" t="s">
        <v>47</v>
      </c>
      <c r="F347" s="13" t="s">
        <v>669</v>
      </c>
      <c r="G347" s="14" t="s">
        <v>49</v>
      </c>
      <c r="H347" s="10" t="s">
        <v>50</v>
      </c>
      <c r="I347" s="15" t="n">
        <v>72</v>
      </c>
      <c r="J347" s="10" t="s">
        <v>51</v>
      </c>
      <c r="K347" s="15" t="n">
        <v>0</v>
      </c>
      <c r="L347" s="11" t="n">
        <v>0</v>
      </c>
      <c r="M347" s="11" t="n">
        <v>0</v>
      </c>
      <c r="N347" s="10" t="s">
        <v>52</v>
      </c>
      <c r="O347" s="10" t="s">
        <v>67</v>
      </c>
      <c r="P347" s="10" t="s">
        <v>53</v>
      </c>
      <c r="Q347" s="16" t="n">
        <v>10</v>
      </c>
      <c r="R347" s="10"/>
      <c r="S347" s="10"/>
      <c r="T347" s="10" t="n">
        <v>0</v>
      </c>
      <c r="U347" s="11" t="n">
        <f aca="false">IF(E347="TRANSPORT",IF(T347="","",T347*5),IF(AL347="","",AL347))</f>
        <v>0</v>
      </c>
      <c r="V347" s="10" t="s">
        <v>54</v>
      </c>
      <c r="W347" s="15" t="s">
        <v>655</v>
      </c>
      <c r="X347" s="15" t="s">
        <v>54</v>
      </c>
      <c r="Y347" s="17" t="n">
        <v>46254.3750925926</v>
      </c>
      <c r="Z347" s="18" t="n">
        <f aca="false">IF(I347="",0,IF(ISNUMBER(SEARCH("mp",LOWER(J347))),I347,IF(ISNUMBER(SEARCH("ton",LOWER(J347))),I347/0.33,IF(ISNUMBER(SEARCH("m3",LOWER(J347))),I347*4,I347))))</f>
        <v>72</v>
      </c>
      <c r="AA347" s="18" t="n">
        <f aca="false">IF(I347="",0,IF(ISNUMBER(SEARCH("mp",LOWER(J347))),I347*0.33,IF(ISNUMBER(SEARCH("ton",LOWER(J347))),I347,I347*0.33)))</f>
        <v>23.76</v>
      </c>
      <c r="AB347" s="18" t="n">
        <f aca="false">Tabela_dane[[#This Row],[Wolumen_t]]*8.5</f>
        <v>201.96</v>
      </c>
      <c r="AC347" s="18" t="n">
        <f aca="false">IF(G347&lt;&gt;"TAK",0,IF(OR(E347="ZAKUP",E347="PRODUKCJA"),Z347,IF(OR(E347="SPRZEDAŻ",E347="ZUŻYCIE"),-Z347,0)))</f>
        <v>72</v>
      </c>
      <c r="AD347" s="18" t="n">
        <f aca="false">IF(G347&lt;&gt;"TAK",0,IF(OR(E347="ZAKUP",E347="PRODUKCJA"),AA347,IF(OR(E347="SPRZEDAŻ",E347="ZUŻYCIE"),-AA347,0)))</f>
        <v>23.76</v>
      </c>
      <c r="AE347" s="19" t="n">
        <f aca="false">IF(E347="ZAKUP",IF(L347&lt;&gt;"",L347,IF(K347&lt;&gt;"",Z347*K347,0)),0)</f>
        <v>0</v>
      </c>
      <c r="AF347" s="19" t="n">
        <f aca="false">IF(E347="SPRZEDAŻ",IF(M347&lt;&gt;"",Z347*M347,0),0)</f>
        <v>0</v>
      </c>
      <c r="AG347" s="19" t="str">
        <f aca="false">IF(R347="","",IF(LOWER(R347)="brak","Brak",IF(OR(ISNUMBER(SEARCH("ric pl",LOWER(R347))),ISNUMBER(SEARCH("wojciechowski",LOWER(R347)))),"Własny","Zewnętrzny")))</f>
        <v/>
      </c>
      <c r="AH347" s="19" t="n">
        <f aca="false">Z347*Q347</f>
        <v>720</v>
      </c>
      <c r="AI347" s="19" t="str">
        <f aca="false">UPPER(TEXT(C347,"mmmm"))</f>
        <v>AUGUST</v>
      </c>
      <c r="AJ347" s="19" t="str">
        <f aca="false">IF(C347="","",TEXT(C347,"rrrr"))</f>
        <v>CE5786CE5786</v>
      </c>
      <c r="AK347" s="10"/>
      <c r="AL347" s="11" t="n">
        <v>0</v>
      </c>
      <c r="AM347" s="10" t="s">
        <v>670</v>
      </c>
      <c r="AN347" s="10" t="s">
        <v>59</v>
      </c>
      <c r="AO347" s="10"/>
      <c r="AP347" s="10"/>
      <c r="AQ347" s="10"/>
      <c r="AR347" s="10" t="s">
        <v>66</v>
      </c>
      <c r="AS347" s="10"/>
      <c r="AT347" s="15" t="n">
        <v>1</v>
      </c>
    </row>
    <row r="348" customFormat="false" ht="28.5" hidden="false" customHeight="true" outlineLevel="0" collapsed="false">
      <c r="A348" s="12" t="n">
        <v>46245</v>
      </c>
      <c r="B348" s="12"/>
      <c r="C348" s="12" t="n">
        <v>46245</v>
      </c>
      <c r="D348" s="10" t="s">
        <v>54</v>
      </c>
      <c r="E348" s="10" t="s">
        <v>79</v>
      </c>
      <c r="F348" s="13" t="s">
        <v>669</v>
      </c>
      <c r="G348" s="14" t="s">
        <v>49</v>
      </c>
      <c r="H348" s="10" t="s">
        <v>50</v>
      </c>
      <c r="I348" s="15" t="n">
        <v>72</v>
      </c>
      <c r="J348" s="10" t="s">
        <v>51</v>
      </c>
      <c r="K348" s="15" t="n">
        <v>0</v>
      </c>
      <c r="L348" s="11" t="n">
        <v>0</v>
      </c>
      <c r="M348" s="11" t="n">
        <v>0</v>
      </c>
      <c r="N348" s="10" t="s">
        <v>52</v>
      </c>
      <c r="O348" s="10" t="s">
        <v>67</v>
      </c>
      <c r="P348" s="10" t="s">
        <v>53</v>
      </c>
      <c r="Q348" s="16" t="n">
        <v>10</v>
      </c>
      <c r="R348" s="10"/>
      <c r="S348" s="10"/>
      <c r="T348" s="10" t="n">
        <v>0</v>
      </c>
      <c r="U348" s="11" t="n">
        <f aca="false">IF(E348="TRANSPORT",IF(T348="","",T348*5),IF(AL348="","",AL348))</f>
        <v>0</v>
      </c>
      <c r="V348" s="10" t="s">
        <v>54</v>
      </c>
      <c r="W348" s="15" t="s">
        <v>260</v>
      </c>
      <c r="X348" s="15" t="s">
        <v>54</v>
      </c>
      <c r="Y348" s="17" t="n">
        <v>46254.3750925926</v>
      </c>
      <c r="Z348" s="18" t="n">
        <f aca="false">IF(I348="",0,IF(ISNUMBER(SEARCH("mp",LOWER(J348))),I348,IF(ISNUMBER(SEARCH("ton",LOWER(J348))),I348/0.33,IF(ISNUMBER(SEARCH("m3",LOWER(J348))),I348*4,I348))))</f>
        <v>72</v>
      </c>
      <c r="AA348" s="18" t="n">
        <f aca="false">IF(I348="",0,IF(ISNUMBER(SEARCH("mp",LOWER(J348))),I348*0.33,IF(ISNUMBER(SEARCH("ton",LOWER(J348))),I348,I348*0.33)))</f>
        <v>23.76</v>
      </c>
      <c r="AB348" s="18" t="n">
        <f aca="false">Tabela_dane[[#This Row],[Wolumen_t]]*8.5</f>
        <v>201.96</v>
      </c>
      <c r="AC348" s="18" t="n">
        <f aca="false">IF(G348&lt;&gt;"TAK",0,IF(OR(E348="ZAKUP",E348="PRODUKCJA"),Z348,IF(OR(E348="SPRZEDAŻ",E348="ZUŻYCIE"),-Z348,0)))</f>
        <v>-72</v>
      </c>
      <c r="AD348" s="18" t="n">
        <f aca="false">IF(G348&lt;&gt;"TAK",0,IF(OR(E348="ZAKUP",E348="PRODUKCJA"),AA348,IF(OR(E348="SPRZEDAŻ",E348="ZUŻYCIE"),-AA348,0)))</f>
        <v>-23.76</v>
      </c>
      <c r="AE348" s="19" t="n">
        <f aca="false">IF(E348="ZAKUP",IF(L348&lt;&gt;"",L348,IF(K348&lt;&gt;"",Z348*K348,0)),0)</f>
        <v>0</v>
      </c>
      <c r="AF348" s="19" t="n">
        <f aca="false">IF(E348="SPRZEDAŻ",IF(M348&lt;&gt;"",Z348*M348,0),0)</f>
        <v>0</v>
      </c>
      <c r="AG348" s="19" t="str">
        <f aca="false">IF(R348="","",IF(LOWER(R348)="brak","Brak",IF(OR(ISNUMBER(SEARCH("ric pl",LOWER(R348))),ISNUMBER(SEARCH("wojciechowski",LOWER(R348)))),"Własny","Zewnętrzny")))</f>
        <v/>
      </c>
      <c r="AH348" s="19" t="n">
        <f aca="false">Z348*Q348</f>
        <v>720</v>
      </c>
      <c r="AI348" s="19" t="str">
        <f aca="false">UPPER(TEXT(C348,"mmmm"))</f>
        <v>AUGUST</v>
      </c>
      <c r="AJ348" s="19" t="str">
        <f aca="false">IF(C348="","",TEXT(C348,"rrrr"))</f>
        <v>CE5786CE5786</v>
      </c>
      <c r="AK348" s="10"/>
      <c r="AL348" s="11" t="n">
        <v>0</v>
      </c>
      <c r="AM348" s="10" t="s">
        <v>670</v>
      </c>
      <c r="AN348" s="10" t="s">
        <v>59</v>
      </c>
      <c r="AO348" s="10"/>
      <c r="AP348" s="10"/>
      <c r="AQ348" s="10"/>
      <c r="AR348" s="10" t="s">
        <v>81</v>
      </c>
      <c r="AS348" s="10"/>
      <c r="AT348" s="15" t="n">
        <v>1</v>
      </c>
    </row>
    <row r="349" customFormat="false" ht="28.5" hidden="false" customHeight="true" outlineLevel="0" collapsed="false">
      <c r="A349" s="12" t="n">
        <v>46245</v>
      </c>
      <c r="B349" s="12" t="s">
        <v>657</v>
      </c>
      <c r="C349" s="12" t="n">
        <v>46245</v>
      </c>
      <c r="D349" s="10" t="s">
        <v>54</v>
      </c>
      <c r="E349" s="10" t="s">
        <v>63</v>
      </c>
      <c r="F349" s="13" t="s">
        <v>669</v>
      </c>
      <c r="G349" s="14" t="s">
        <v>49</v>
      </c>
      <c r="H349" s="10" t="s">
        <v>50</v>
      </c>
      <c r="I349" s="15" t="n">
        <v>72</v>
      </c>
      <c r="J349" s="10" t="s">
        <v>51</v>
      </c>
      <c r="K349" s="15" t="n">
        <v>0</v>
      </c>
      <c r="L349" s="11" t="n">
        <v>0</v>
      </c>
      <c r="M349" s="11" t="n">
        <v>0</v>
      </c>
      <c r="N349" s="10" t="s">
        <v>52</v>
      </c>
      <c r="O349" s="10" t="s">
        <v>67</v>
      </c>
      <c r="P349" s="10"/>
      <c r="Q349" s="16" t="n">
        <v>0</v>
      </c>
      <c r="R349" s="10" t="s">
        <v>182</v>
      </c>
      <c r="S349" s="10" t="s">
        <v>509</v>
      </c>
      <c r="T349" s="10" t="n">
        <v>134</v>
      </c>
      <c r="U349" s="11" t="n">
        <f aca="false">IF(E349="TRANSPORT",IF(T349="","",T349*5),IF(AL349="","",AL349))</f>
        <v>670</v>
      </c>
      <c r="V349" s="10" t="s">
        <v>54</v>
      </c>
      <c r="W349" s="15" t="s">
        <v>629</v>
      </c>
      <c r="X349" s="15" t="s">
        <v>54</v>
      </c>
      <c r="Y349" s="17" t="n">
        <v>46254.3807523148</v>
      </c>
      <c r="Z349" s="18" t="n">
        <f aca="false">IF(I349="",0,IF(ISNUMBER(SEARCH("mp",LOWER(J349))),I349,IF(ISNUMBER(SEARCH("ton",LOWER(J349))),I349/0.33,IF(ISNUMBER(SEARCH("m3",LOWER(J349))),I349*4,I349))))</f>
        <v>72</v>
      </c>
      <c r="AA349" s="18" t="n">
        <f aca="false">IF(I349="",0,IF(ISNUMBER(SEARCH("mp",LOWER(J349))),I349*0.33,IF(ISNUMBER(SEARCH("ton",LOWER(J349))),I349,I349*0.33)))</f>
        <v>23.76</v>
      </c>
      <c r="AB349" s="18" t="n">
        <f aca="false">Tabela_dane[[#This Row],[Wolumen_t]]*8.5</f>
        <v>201.96</v>
      </c>
      <c r="AC349" s="18" t="n">
        <f aca="false">IF(G349&lt;&gt;"TAK",0,IF(OR(E349="ZAKUP",E349="PRODUKCJA"),Z349,IF(OR(E349="SPRZEDAŻ",E349="ZUŻYCIE"),-Z349,0)))</f>
        <v>72</v>
      </c>
      <c r="AD349" s="18" t="n">
        <f aca="false">IF(G349&lt;&gt;"TAK",0,IF(OR(E349="ZAKUP",E349="PRODUKCJA"),AA349,IF(OR(E349="SPRZEDAŻ",E349="ZUŻYCIE"),-AA349,0)))</f>
        <v>23.76</v>
      </c>
      <c r="AE349" s="19" t="n">
        <f aca="false">IF(E349="ZAKUP",IF(L349&lt;&gt;"",L349,IF(K349&lt;&gt;"",Z349*K349,0)),0)</f>
        <v>0</v>
      </c>
      <c r="AF349" s="19" t="n">
        <f aca="false">IF(E349="SPRZEDAŻ",IF(M349&lt;&gt;"",Z349*M349,0),0)</f>
        <v>0</v>
      </c>
      <c r="AG349" s="19" t="str">
        <f aca="false">IF(R349="","",IF(LOWER(R349)="brak","Brak",IF(OR(ISNUMBER(SEARCH("ric pl",LOWER(R349))),ISNUMBER(SEARCH("wojciechowski",LOWER(R349)))),"Własny","Zewnętrzny")))</f>
        <v>Zewnętrzny</v>
      </c>
      <c r="AH349" s="19" t="n">
        <f aca="false">Z349*Q349</f>
        <v>0</v>
      </c>
      <c r="AI349" s="19" t="str">
        <f aca="false">UPPER(TEXT(C349,"mmmm"))</f>
        <v>AUGUST</v>
      </c>
      <c r="AJ349" s="19" t="str">
        <f aca="false">IF(C349="","",TEXT(C349,"rrrr"))</f>
        <v>CE5786CE5786</v>
      </c>
      <c r="AK349" s="10"/>
      <c r="AL349" s="11" t="n">
        <v>670</v>
      </c>
      <c r="AM349" s="10" t="s">
        <v>671</v>
      </c>
      <c r="AN349" s="10" t="s">
        <v>49</v>
      </c>
      <c r="AO349" s="10"/>
      <c r="AP349" s="10"/>
      <c r="AQ349" s="10"/>
      <c r="AR349" s="10" t="s">
        <v>66</v>
      </c>
      <c r="AS349" s="10"/>
      <c r="AT349" s="15" t="n">
        <v>1</v>
      </c>
    </row>
    <row r="350" customFormat="false" ht="28.5" hidden="false" customHeight="true" outlineLevel="0" collapsed="false">
      <c r="A350" s="12" t="n">
        <v>46245</v>
      </c>
      <c r="B350" s="12"/>
      <c r="C350" s="12" t="n">
        <v>46245</v>
      </c>
      <c r="D350" s="10" t="s">
        <v>650</v>
      </c>
      <c r="E350" s="10" t="s">
        <v>63</v>
      </c>
      <c r="F350" s="46" t="s">
        <v>672</v>
      </c>
      <c r="G350" s="14" t="s">
        <v>49</v>
      </c>
      <c r="H350" s="10" t="s">
        <v>50</v>
      </c>
      <c r="I350" s="15" t="n">
        <v>18</v>
      </c>
      <c r="J350" s="10" t="s">
        <v>77</v>
      </c>
      <c r="K350" s="15" t="n">
        <v>141</v>
      </c>
      <c r="L350" s="11" t="n">
        <v>2538</v>
      </c>
      <c r="M350" s="11" t="n">
        <v>0</v>
      </c>
      <c r="N350" s="10" t="s">
        <v>64</v>
      </c>
      <c r="O350" s="10"/>
      <c r="P350" s="10"/>
      <c r="Q350" s="16" t="n">
        <v>0</v>
      </c>
      <c r="R350" s="10"/>
      <c r="S350" s="10"/>
      <c r="T350" s="10" t="n">
        <v>0</v>
      </c>
      <c r="U350" s="11" t="n">
        <f aca="false">IF(E350="TRANSPORT",IF(T350="","",T350*5),IF(AL350="","",AL350))</f>
        <v>0</v>
      </c>
      <c r="V350" s="10" t="s">
        <v>54</v>
      </c>
      <c r="W350" s="15" t="s">
        <v>673</v>
      </c>
      <c r="X350" s="15" t="s">
        <v>54</v>
      </c>
      <c r="Y350" s="17" t="n">
        <v>46254.424212963</v>
      </c>
      <c r="Z350" s="18" t="n">
        <f aca="false">IF(I350="",0,IF(ISNUMBER(SEARCH("mp",LOWER(J350))),I350,IF(ISNUMBER(SEARCH("ton",LOWER(J350))),I350/0.33,IF(ISNUMBER(SEARCH("m3",LOWER(J350))),I350*4,I350))))</f>
        <v>72</v>
      </c>
      <c r="AA350" s="18" t="n">
        <f aca="false">IF(I350="",0,IF(ISNUMBER(SEARCH("mp",LOWER(J350))),I350*0.33,IF(ISNUMBER(SEARCH("ton",LOWER(J350))),I350,I350*0.33)))</f>
        <v>5.94</v>
      </c>
      <c r="AB350" s="18" t="n">
        <f aca="false">Tabela_dane[[#This Row],[Wolumen_t]]*8.5</f>
        <v>50.49</v>
      </c>
      <c r="AC350" s="18" t="n">
        <f aca="false">IF(G350&lt;&gt;"TAK",0,IF(OR(E350="ZAKUP",E350="PRODUKCJA"),Z350,IF(OR(E350="SPRZEDAŻ",E350="ZUŻYCIE"),-Z350,0)))</f>
        <v>72</v>
      </c>
      <c r="AD350" s="18" t="n">
        <f aca="false">IF(G350&lt;&gt;"TAK",0,IF(OR(E350="ZAKUP",E350="PRODUKCJA"),AA350,IF(OR(E350="SPRZEDAŻ",E350="ZUŻYCIE"),-AA350,0)))</f>
        <v>5.94</v>
      </c>
      <c r="AE350" s="19" t="n">
        <f aca="false">IF(E350="ZAKUP",IF(L350&lt;&gt;"",L350,IF(K350&lt;&gt;"",Z350*K350,0)),0)</f>
        <v>2538</v>
      </c>
      <c r="AF350" s="19" t="n">
        <f aca="false">IF(E350="SPRZEDAŻ",IF(M350&lt;&gt;"",Z350*M350,0),0)</f>
        <v>0</v>
      </c>
      <c r="AG350" s="19" t="str">
        <f aca="false">IF(R350="","",IF(LOWER(R350)="brak","Brak",IF(OR(ISNUMBER(SEARCH("ric pl",LOWER(R350))),ISNUMBER(SEARCH("wojciechowski",LOWER(R350)))),"Własny","Zewnętrzny")))</f>
        <v/>
      </c>
      <c r="AH350" s="19" t="n">
        <f aca="false">Z350*Q350</f>
        <v>0</v>
      </c>
      <c r="AI350" s="19" t="str">
        <f aca="false">UPPER(TEXT(C350,"mmmm"))</f>
        <v>AUGUST</v>
      </c>
      <c r="AJ350" s="19" t="str">
        <f aca="false">IF(C350="","",TEXT(C350,"rrrr"))</f>
        <v>CE5786CE5786</v>
      </c>
      <c r="AK350" s="10"/>
      <c r="AL350" s="11" t="n">
        <v>0</v>
      </c>
      <c r="AM350" s="10" t="s">
        <v>674</v>
      </c>
      <c r="AN350" s="10" t="s">
        <v>59</v>
      </c>
      <c r="AO350" s="10"/>
      <c r="AP350" s="10"/>
      <c r="AQ350" s="10"/>
      <c r="AR350" s="10" t="s">
        <v>66</v>
      </c>
      <c r="AS350" s="10"/>
      <c r="AT350" s="15" t="n">
        <v>1</v>
      </c>
    </row>
    <row r="351" customFormat="false" ht="28.5" hidden="false" customHeight="true" outlineLevel="0" collapsed="false">
      <c r="A351" s="12" t="n">
        <v>46245</v>
      </c>
      <c r="B351" s="12"/>
      <c r="C351" s="12" t="n">
        <v>46245</v>
      </c>
      <c r="D351" s="10" t="s">
        <v>54</v>
      </c>
      <c r="E351" s="10" t="s">
        <v>47</v>
      </c>
      <c r="F351" s="13" t="s">
        <v>675</v>
      </c>
      <c r="G351" s="14" t="s">
        <v>49</v>
      </c>
      <c r="H351" s="10" t="s">
        <v>50</v>
      </c>
      <c r="I351" s="15" t="n">
        <v>72</v>
      </c>
      <c r="J351" s="10" t="s">
        <v>51</v>
      </c>
      <c r="K351" s="15" t="n">
        <v>0</v>
      </c>
      <c r="L351" s="11" t="n">
        <v>0</v>
      </c>
      <c r="M351" s="11" t="n">
        <v>0</v>
      </c>
      <c r="N351" s="10" t="s">
        <v>52</v>
      </c>
      <c r="O351" s="10" t="s">
        <v>67</v>
      </c>
      <c r="P351" s="10" t="s">
        <v>53</v>
      </c>
      <c r="Q351" s="16" t="n">
        <v>10</v>
      </c>
      <c r="R351" s="10"/>
      <c r="S351" s="10"/>
      <c r="T351" s="10" t="n">
        <v>0</v>
      </c>
      <c r="U351" s="11" t="n">
        <f aca="false">IF(E351="TRANSPORT",IF(T351="","",T351*5),IF(AL351="","",AL351))</f>
        <v>0</v>
      </c>
      <c r="V351" s="10" t="s">
        <v>54</v>
      </c>
      <c r="W351" s="15" t="s">
        <v>655</v>
      </c>
      <c r="X351" s="15" t="s">
        <v>54</v>
      </c>
      <c r="Y351" s="17" t="n">
        <v>46254.4257407407</v>
      </c>
      <c r="Z351" s="18" t="n">
        <f aca="false">IF(I351="",0,IF(ISNUMBER(SEARCH("mp",LOWER(J351))),I351,IF(ISNUMBER(SEARCH("ton",LOWER(J351))),I351/0.33,IF(ISNUMBER(SEARCH("m3",LOWER(J351))),I351*4,I351))))</f>
        <v>72</v>
      </c>
      <c r="AA351" s="18" t="n">
        <f aca="false">IF(I351="",0,IF(ISNUMBER(SEARCH("mp",LOWER(J351))),I351*0.33,IF(ISNUMBER(SEARCH("ton",LOWER(J351))),I351,I351*0.33)))</f>
        <v>23.76</v>
      </c>
      <c r="AB351" s="18" t="n">
        <f aca="false">Tabela_dane[[#This Row],[Wolumen_t]]*8.5</f>
        <v>201.96</v>
      </c>
      <c r="AC351" s="18" t="n">
        <f aca="false">IF(G351&lt;&gt;"TAK",0,IF(OR(E351="ZAKUP",E351="PRODUKCJA"),Z351,IF(OR(E351="SPRZEDAŻ",E351="ZUŻYCIE"),-Z351,0)))</f>
        <v>72</v>
      </c>
      <c r="AD351" s="18" t="n">
        <f aca="false">IF(G351&lt;&gt;"TAK",0,IF(OR(E351="ZAKUP",E351="PRODUKCJA"),AA351,IF(OR(E351="SPRZEDAŻ",E351="ZUŻYCIE"),-AA351,0)))</f>
        <v>23.76</v>
      </c>
      <c r="AE351" s="19" t="n">
        <f aca="false">IF(E351="ZAKUP",IF(L351&lt;&gt;"",L351,IF(K351&lt;&gt;"",Z351*K351,0)),0)</f>
        <v>0</v>
      </c>
      <c r="AF351" s="19" t="n">
        <f aca="false">IF(E351="SPRZEDAŻ",IF(M351&lt;&gt;"",Z351*M351,0),0)</f>
        <v>0</v>
      </c>
      <c r="AG351" s="19" t="str">
        <f aca="false">IF(R351="","",IF(LOWER(R351)="brak","Brak",IF(OR(ISNUMBER(SEARCH("ric pl",LOWER(R351))),ISNUMBER(SEARCH("wojciechowski",LOWER(R351)))),"Własny","Zewnętrzny")))</f>
        <v/>
      </c>
      <c r="AH351" s="19" t="n">
        <f aca="false">Z351*Q351</f>
        <v>720</v>
      </c>
      <c r="AI351" s="19" t="str">
        <f aca="false">UPPER(TEXT(C351,"mmmm"))</f>
        <v>AUGUST</v>
      </c>
      <c r="AJ351" s="19" t="str">
        <f aca="false">IF(C351="","",TEXT(C351,"rrrr"))</f>
        <v>CE5786CE5786</v>
      </c>
      <c r="AK351" s="10"/>
      <c r="AL351" s="11" t="n">
        <v>0</v>
      </c>
      <c r="AM351" s="10" t="s">
        <v>676</v>
      </c>
      <c r="AN351" s="10" t="s">
        <v>59</v>
      </c>
      <c r="AO351" s="10"/>
      <c r="AP351" s="10"/>
      <c r="AQ351" s="10"/>
      <c r="AR351" s="10" t="s">
        <v>66</v>
      </c>
      <c r="AS351" s="10"/>
      <c r="AT351" s="15" t="n">
        <v>1</v>
      </c>
    </row>
    <row r="352" customFormat="false" ht="28.5" hidden="false" customHeight="true" outlineLevel="0" collapsed="false">
      <c r="A352" s="12" t="n">
        <v>46245</v>
      </c>
      <c r="B352" s="12"/>
      <c r="C352" s="12" t="n">
        <v>46245</v>
      </c>
      <c r="D352" s="10" t="s">
        <v>54</v>
      </c>
      <c r="E352" s="10" t="s">
        <v>79</v>
      </c>
      <c r="F352" s="13" t="s">
        <v>675</v>
      </c>
      <c r="G352" s="14" t="s">
        <v>49</v>
      </c>
      <c r="H352" s="10" t="s">
        <v>50</v>
      </c>
      <c r="I352" s="15" t="n">
        <v>72</v>
      </c>
      <c r="J352" s="10" t="s">
        <v>51</v>
      </c>
      <c r="K352" s="15" t="n">
        <v>0</v>
      </c>
      <c r="L352" s="11" t="n">
        <v>0</v>
      </c>
      <c r="M352" s="11" t="n">
        <v>0</v>
      </c>
      <c r="N352" s="10" t="s">
        <v>52</v>
      </c>
      <c r="O352" s="10" t="s">
        <v>67</v>
      </c>
      <c r="P352" s="10" t="s">
        <v>53</v>
      </c>
      <c r="Q352" s="16" t="n">
        <v>10</v>
      </c>
      <c r="R352" s="10"/>
      <c r="S352" s="10"/>
      <c r="T352" s="10" t="n">
        <v>0</v>
      </c>
      <c r="U352" s="11" t="n">
        <f aca="false">IF(E352="TRANSPORT",IF(T352="","",T352*5),IF(AL352="","",AL352))</f>
        <v>0</v>
      </c>
      <c r="V352" s="10" t="s">
        <v>54</v>
      </c>
      <c r="W352" s="15" t="s">
        <v>260</v>
      </c>
      <c r="X352" s="15" t="s">
        <v>54</v>
      </c>
      <c r="Y352" s="17" t="n">
        <v>46254.4257407407</v>
      </c>
      <c r="Z352" s="18" t="n">
        <f aca="false">IF(I352="",0,IF(ISNUMBER(SEARCH("mp",LOWER(J352))),I352,IF(ISNUMBER(SEARCH("ton",LOWER(J352))),I352/0.33,IF(ISNUMBER(SEARCH("m3",LOWER(J352))),I352*4,I352))))</f>
        <v>72</v>
      </c>
      <c r="AA352" s="18" t="n">
        <f aca="false">IF(I352="",0,IF(ISNUMBER(SEARCH("mp",LOWER(J352))),I352*0.33,IF(ISNUMBER(SEARCH("ton",LOWER(J352))),I352,I352*0.33)))</f>
        <v>23.76</v>
      </c>
      <c r="AB352" s="18" t="n">
        <f aca="false">Tabela_dane[[#This Row],[Wolumen_t]]*8.5</f>
        <v>201.96</v>
      </c>
      <c r="AC352" s="18" t="n">
        <f aca="false">IF(G352&lt;&gt;"TAK",0,IF(OR(E352="ZAKUP",E352="PRODUKCJA"),Z352,IF(OR(E352="SPRZEDAŻ",E352="ZUŻYCIE"),-Z352,0)))</f>
        <v>-72</v>
      </c>
      <c r="AD352" s="18" t="n">
        <f aca="false">IF(G352&lt;&gt;"TAK",0,IF(OR(E352="ZAKUP",E352="PRODUKCJA"),AA352,IF(OR(E352="SPRZEDAŻ",E352="ZUŻYCIE"),-AA352,0)))</f>
        <v>-23.76</v>
      </c>
      <c r="AE352" s="19" t="n">
        <f aca="false">IF(E352="ZAKUP",IF(L352&lt;&gt;"",L352,IF(K352&lt;&gt;"",Z352*K352,0)),0)</f>
        <v>0</v>
      </c>
      <c r="AF352" s="19" t="n">
        <f aca="false">IF(E352="SPRZEDAŻ",IF(M352&lt;&gt;"",Z352*M352,0),0)</f>
        <v>0</v>
      </c>
      <c r="AG352" s="19" t="str">
        <f aca="false">IF(R352="","",IF(LOWER(R352)="brak","Brak",IF(OR(ISNUMBER(SEARCH("ric pl",LOWER(R352))),ISNUMBER(SEARCH("wojciechowski",LOWER(R352)))),"Własny","Zewnętrzny")))</f>
        <v/>
      </c>
      <c r="AH352" s="19" t="n">
        <f aca="false">Z352*Q352</f>
        <v>720</v>
      </c>
      <c r="AI352" s="19" t="str">
        <f aca="false">UPPER(TEXT(C352,"mmmm"))</f>
        <v>AUGUST</v>
      </c>
      <c r="AJ352" s="19" t="str">
        <f aca="false">IF(C352="","",TEXT(C352,"rrrr"))</f>
        <v>CE5786CE5786</v>
      </c>
      <c r="AK352" s="10"/>
      <c r="AL352" s="11" t="n">
        <v>0</v>
      </c>
      <c r="AM352" s="10" t="s">
        <v>676</v>
      </c>
      <c r="AN352" s="10" t="s">
        <v>59</v>
      </c>
      <c r="AO352" s="10"/>
      <c r="AP352" s="10"/>
      <c r="AQ352" s="10"/>
      <c r="AR352" s="10" t="s">
        <v>81</v>
      </c>
      <c r="AS352" s="10"/>
      <c r="AT352" s="15" t="n">
        <v>1</v>
      </c>
    </row>
    <row r="353" customFormat="false" ht="28.5" hidden="false" customHeight="true" outlineLevel="0" collapsed="false">
      <c r="A353" s="12" t="n">
        <v>46245</v>
      </c>
      <c r="B353" s="12" t="s">
        <v>657</v>
      </c>
      <c r="C353" s="12" t="n">
        <v>46245</v>
      </c>
      <c r="D353" s="10" t="s">
        <v>54</v>
      </c>
      <c r="E353" s="10" t="s">
        <v>63</v>
      </c>
      <c r="F353" s="13" t="s">
        <v>675</v>
      </c>
      <c r="G353" s="14" t="s">
        <v>49</v>
      </c>
      <c r="H353" s="10" t="s">
        <v>50</v>
      </c>
      <c r="I353" s="15" t="n">
        <v>72</v>
      </c>
      <c r="J353" s="10" t="s">
        <v>51</v>
      </c>
      <c r="K353" s="15" t="n">
        <v>0</v>
      </c>
      <c r="L353" s="11" t="n">
        <v>0</v>
      </c>
      <c r="M353" s="11" t="n">
        <v>0</v>
      </c>
      <c r="N353" s="10" t="s">
        <v>52</v>
      </c>
      <c r="O353" s="10" t="s">
        <v>67</v>
      </c>
      <c r="P353" s="10"/>
      <c r="Q353" s="16" t="n">
        <v>0</v>
      </c>
      <c r="R353" s="10" t="s">
        <v>182</v>
      </c>
      <c r="S353" s="10" t="s">
        <v>509</v>
      </c>
      <c r="T353" s="10" t="n">
        <v>134</v>
      </c>
      <c r="U353" s="11" t="n">
        <f aca="false">IF(E353="TRANSPORT",IF(T353="","",T353*5),IF(AL353="","",AL353))</f>
        <v>670</v>
      </c>
      <c r="V353" s="10" t="s">
        <v>54</v>
      </c>
      <c r="W353" s="15" t="s">
        <v>629</v>
      </c>
      <c r="X353" s="15" t="s">
        <v>54</v>
      </c>
      <c r="Y353" s="17" t="n">
        <v>46254.4271875</v>
      </c>
      <c r="Z353" s="18" t="n">
        <f aca="false">IF(I353="",0,IF(ISNUMBER(SEARCH("mp",LOWER(J353))),I353,IF(ISNUMBER(SEARCH("ton",LOWER(J353))),I353/0.33,IF(ISNUMBER(SEARCH("m3",LOWER(J353))),I353*4,I353))))</f>
        <v>72</v>
      </c>
      <c r="AA353" s="18" t="n">
        <f aca="false">IF(I353="",0,IF(ISNUMBER(SEARCH("mp",LOWER(J353))),I353*0.33,IF(ISNUMBER(SEARCH("ton",LOWER(J353))),I353,I353*0.33)))</f>
        <v>23.76</v>
      </c>
      <c r="AB353" s="18" t="n">
        <f aca="false">Tabela_dane[[#This Row],[Wolumen_t]]*8.5</f>
        <v>201.96</v>
      </c>
      <c r="AC353" s="18" t="n">
        <f aca="false">IF(G353&lt;&gt;"TAK",0,IF(OR(E353="ZAKUP",E353="PRODUKCJA"),Z353,IF(OR(E353="SPRZEDAŻ",E353="ZUŻYCIE"),-Z353,0)))</f>
        <v>72</v>
      </c>
      <c r="AD353" s="18" t="n">
        <f aca="false">IF(G353&lt;&gt;"TAK",0,IF(OR(E353="ZAKUP",E353="PRODUKCJA"),AA353,IF(OR(E353="SPRZEDAŻ",E353="ZUŻYCIE"),-AA353,0)))</f>
        <v>23.76</v>
      </c>
      <c r="AE353" s="19" t="n">
        <f aca="false">IF(E353="ZAKUP",IF(L353&lt;&gt;"",L353,IF(K353&lt;&gt;"",Z353*K353,0)),0)</f>
        <v>0</v>
      </c>
      <c r="AF353" s="19" t="n">
        <f aca="false">IF(E353="SPRZEDAŻ",IF(M353&lt;&gt;"",Z353*M353,0),0)</f>
        <v>0</v>
      </c>
      <c r="AG353" s="19" t="str">
        <f aca="false">IF(R353="","",IF(LOWER(R353)="brak","Brak",IF(OR(ISNUMBER(SEARCH("ric pl",LOWER(R353))),ISNUMBER(SEARCH("wojciechowski",LOWER(R353)))),"Własny","Zewnętrzny")))</f>
        <v>Zewnętrzny</v>
      </c>
      <c r="AH353" s="19" t="n">
        <f aca="false">Z353*Q353</f>
        <v>0</v>
      </c>
      <c r="AI353" s="19" t="str">
        <f aca="false">UPPER(TEXT(C353,"mmmm"))</f>
        <v>AUGUST</v>
      </c>
      <c r="AJ353" s="19" t="str">
        <f aca="false">IF(C353="","",TEXT(C353,"rrrr"))</f>
        <v>CE5786CE5786</v>
      </c>
      <c r="AK353" s="10"/>
      <c r="AL353" s="11" t="n">
        <v>670</v>
      </c>
      <c r="AM353" s="10" t="s">
        <v>677</v>
      </c>
      <c r="AN353" s="10" t="s">
        <v>49</v>
      </c>
      <c r="AO353" s="10"/>
      <c r="AP353" s="10"/>
      <c r="AQ353" s="10"/>
      <c r="AR353" s="10" t="s">
        <v>66</v>
      </c>
      <c r="AS353" s="10"/>
      <c r="AT353" s="15" t="n">
        <v>1</v>
      </c>
    </row>
    <row r="354" customFormat="false" ht="28.5" hidden="false" customHeight="true" outlineLevel="0" collapsed="false">
      <c r="A354" s="12" t="n">
        <v>46245</v>
      </c>
      <c r="B354" s="12"/>
      <c r="C354" s="12" t="n">
        <v>46245</v>
      </c>
      <c r="D354" s="10" t="s">
        <v>650</v>
      </c>
      <c r="E354" s="10" t="s">
        <v>63</v>
      </c>
      <c r="F354" s="46" t="s">
        <v>678</v>
      </c>
      <c r="G354" s="14" t="s">
        <v>49</v>
      </c>
      <c r="H354" s="10" t="s">
        <v>50</v>
      </c>
      <c r="I354" s="15" t="n">
        <v>18</v>
      </c>
      <c r="J354" s="10" t="s">
        <v>77</v>
      </c>
      <c r="K354" s="15" t="n">
        <v>141</v>
      </c>
      <c r="L354" s="11" t="n">
        <v>2538</v>
      </c>
      <c r="M354" s="11" t="n">
        <v>0</v>
      </c>
      <c r="N354" s="10" t="s">
        <v>64</v>
      </c>
      <c r="O354" s="10"/>
      <c r="P354" s="10"/>
      <c r="Q354" s="16" t="n">
        <v>0</v>
      </c>
      <c r="R354" s="10"/>
      <c r="S354" s="10"/>
      <c r="T354" s="10" t="n">
        <v>0</v>
      </c>
      <c r="U354" s="11" t="n">
        <f aca="false">IF(E354="TRANSPORT",IF(T354="","",T354*5),IF(AL354="","",AL354))</f>
        <v>0</v>
      </c>
      <c r="V354" s="10" t="s">
        <v>54</v>
      </c>
      <c r="W354" s="15" t="s">
        <v>679</v>
      </c>
      <c r="X354" s="15" t="s">
        <v>54</v>
      </c>
      <c r="Y354" s="17" t="n">
        <v>46254.6033912037</v>
      </c>
      <c r="Z354" s="18" t="n">
        <f aca="false">IF(I354="",0,IF(ISNUMBER(SEARCH("mp",LOWER(J354))),I354,IF(ISNUMBER(SEARCH("ton",LOWER(J354))),I354/0.33,IF(ISNUMBER(SEARCH("m3",LOWER(J354))),I354*4,I354))))</f>
        <v>72</v>
      </c>
      <c r="AA354" s="18" t="n">
        <f aca="false">IF(I354="",0,IF(ISNUMBER(SEARCH("mp",LOWER(J354))),I354*0.33,IF(ISNUMBER(SEARCH("ton",LOWER(J354))),I354,I354*0.33)))</f>
        <v>5.94</v>
      </c>
      <c r="AB354" s="18" t="n">
        <f aca="false">Tabela_dane[[#This Row],[Wolumen_t]]*8.5</f>
        <v>50.49</v>
      </c>
      <c r="AC354" s="18" t="n">
        <f aca="false">IF(G354&lt;&gt;"TAK",0,IF(OR(E354="ZAKUP",E354="PRODUKCJA"),Z354,IF(OR(E354="SPRZEDAŻ",E354="ZUŻYCIE"),-Z354,0)))</f>
        <v>72</v>
      </c>
      <c r="AD354" s="18" t="n">
        <f aca="false">IF(G354&lt;&gt;"TAK",0,IF(OR(E354="ZAKUP",E354="PRODUKCJA"),AA354,IF(OR(E354="SPRZEDAŻ",E354="ZUŻYCIE"),-AA354,0)))</f>
        <v>5.94</v>
      </c>
      <c r="AE354" s="19" t="n">
        <f aca="false">IF(E354="ZAKUP",IF(L354&lt;&gt;"",L354,IF(K354&lt;&gt;"",Z354*K354,0)),0)</f>
        <v>2538</v>
      </c>
      <c r="AF354" s="19" t="n">
        <f aca="false">IF(E354="SPRZEDAŻ",IF(M354&lt;&gt;"",Z354*M354,0),0)</f>
        <v>0</v>
      </c>
      <c r="AG354" s="19" t="str">
        <f aca="false">IF(R354="","",IF(LOWER(R354)="brak","Brak",IF(OR(ISNUMBER(SEARCH("ric pl",LOWER(R354))),ISNUMBER(SEARCH("wojciechowski",LOWER(R354)))),"Własny","Zewnętrzny")))</f>
        <v/>
      </c>
      <c r="AH354" s="19" t="n">
        <f aca="false">Z354*Q354</f>
        <v>0</v>
      </c>
      <c r="AI354" s="19" t="str">
        <f aca="false">UPPER(TEXT(C354,"mmmm"))</f>
        <v>AUGUST</v>
      </c>
      <c r="AJ354" s="19" t="str">
        <f aca="false">IF(C354="","",TEXT(C354,"rrrr"))</f>
        <v>CE5786CE5786</v>
      </c>
      <c r="AK354" s="10"/>
      <c r="AL354" s="11" t="n">
        <v>0</v>
      </c>
      <c r="AM354" s="10" t="s">
        <v>680</v>
      </c>
      <c r="AN354" s="10" t="s">
        <v>59</v>
      </c>
      <c r="AO354" s="10"/>
      <c r="AP354" s="10"/>
      <c r="AQ354" s="10"/>
      <c r="AR354" s="10" t="s">
        <v>66</v>
      </c>
      <c r="AS354" s="10"/>
      <c r="AT354" s="15" t="n">
        <v>1</v>
      </c>
    </row>
    <row r="355" customFormat="false" ht="28.5" hidden="false" customHeight="true" outlineLevel="0" collapsed="false">
      <c r="A355" s="12" t="n">
        <v>46245</v>
      </c>
      <c r="B355" s="12"/>
      <c r="C355" s="12" t="n">
        <v>46245</v>
      </c>
      <c r="D355" s="10" t="s">
        <v>54</v>
      </c>
      <c r="E355" s="10" t="s">
        <v>47</v>
      </c>
      <c r="F355" s="13" t="s">
        <v>681</v>
      </c>
      <c r="G355" s="14" t="s">
        <v>49</v>
      </c>
      <c r="H355" s="10" t="s">
        <v>50</v>
      </c>
      <c r="I355" s="15" t="n">
        <v>72</v>
      </c>
      <c r="J355" s="10" t="s">
        <v>51</v>
      </c>
      <c r="K355" s="15" t="n">
        <v>0</v>
      </c>
      <c r="L355" s="11" t="n">
        <v>0</v>
      </c>
      <c r="M355" s="11" t="n">
        <v>0</v>
      </c>
      <c r="N355" s="10" t="s">
        <v>52</v>
      </c>
      <c r="O355" s="10" t="s">
        <v>67</v>
      </c>
      <c r="P355" s="10" t="s">
        <v>53</v>
      </c>
      <c r="Q355" s="16" t="n">
        <v>10</v>
      </c>
      <c r="R355" s="10"/>
      <c r="S355" s="10"/>
      <c r="T355" s="10" t="n">
        <v>0</v>
      </c>
      <c r="U355" s="11" t="n">
        <f aca="false">IF(E355="TRANSPORT",IF(T355="","",T355*5),IF(AL355="","",AL355))</f>
        <v>0</v>
      </c>
      <c r="V355" s="10" t="s">
        <v>54</v>
      </c>
      <c r="W355" s="15" t="s">
        <v>682</v>
      </c>
      <c r="X355" s="15" t="s">
        <v>54</v>
      </c>
      <c r="Y355" s="17" t="n">
        <v>46254.6047106482</v>
      </c>
      <c r="Z355" s="18" t="n">
        <f aca="false">IF(I355="",0,IF(ISNUMBER(SEARCH("mp",LOWER(J355))),I355,IF(ISNUMBER(SEARCH("ton",LOWER(J355))),I355/0.33,IF(ISNUMBER(SEARCH("m3",LOWER(J355))),I355*4,I355))))</f>
        <v>72</v>
      </c>
      <c r="AA355" s="18" t="n">
        <f aca="false">IF(I355="",0,IF(ISNUMBER(SEARCH("mp",LOWER(J355))),I355*0.33,IF(ISNUMBER(SEARCH("ton",LOWER(J355))),I355,I355*0.33)))</f>
        <v>23.76</v>
      </c>
      <c r="AB355" s="18" t="n">
        <f aca="false">Tabela_dane[[#This Row],[Wolumen_t]]*8.5</f>
        <v>201.96</v>
      </c>
      <c r="AC355" s="18" t="n">
        <f aca="false">IF(G355&lt;&gt;"TAK",0,IF(OR(E355="ZAKUP",E355="PRODUKCJA"),Z355,IF(OR(E355="SPRZEDAŻ",E355="ZUŻYCIE"),-Z355,0)))</f>
        <v>72</v>
      </c>
      <c r="AD355" s="18" t="n">
        <f aca="false">IF(G355&lt;&gt;"TAK",0,IF(OR(E355="ZAKUP",E355="PRODUKCJA"),AA355,IF(OR(E355="SPRZEDAŻ",E355="ZUŻYCIE"),-AA355,0)))</f>
        <v>23.76</v>
      </c>
      <c r="AE355" s="19" t="n">
        <f aca="false">IF(E355="ZAKUP",IF(L355&lt;&gt;"",L355,IF(K355&lt;&gt;"",Z355*K355,0)),0)</f>
        <v>0</v>
      </c>
      <c r="AF355" s="19" t="n">
        <f aca="false">IF(E355="SPRZEDAŻ",IF(M355&lt;&gt;"",Z355*M355,0),0)</f>
        <v>0</v>
      </c>
      <c r="AG355" s="19" t="str">
        <f aca="false">IF(R355="","",IF(LOWER(R355)="brak","Brak",IF(OR(ISNUMBER(SEARCH("ric pl",LOWER(R355))),ISNUMBER(SEARCH("wojciechowski",LOWER(R355)))),"Własny","Zewnętrzny")))</f>
        <v/>
      </c>
      <c r="AH355" s="19" t="n">
        <f aca="false">Z355*Q355</f>
        <v>720</v>
      </c>
      <c r="AI355" s="19" t="str">
        <f aca="false">UPPER(TEXT(C355,"mmmm"))</f>
        <v>AUGUST</v>
      </c>
      <c r="AJ355" s="19" t="str">
        <f aca="false">IF(C355="","",TEXT(C355,"rrrr"))</f>
        <v>CE5786CE5786</v>
      </c>
      <c r="AK355" s="10"/>
      <c r="AL355" s="11" t="n">
        <v>0</v>
      </c>
      <c r="AM355" s="10" t="s">
        <v>683</v>
      </c>
      <c r="AN355" s="10" t="s">
        <v>59</v>
      </c>
      <c r="AO355" s="10"/>
      <c r="AP355" s="10"/>
      <c r="AQ355" s="10"/>
      <c r="AR355" s="10" t="s">
        <v>66</v>
      </c>
      <c r="AS355" s="10"/>
      <c r="AT355" s="15" t="n">
        <v>1</v>
      </c>
    </row>
    <row r="356" customFormat="false" ht="28.5" hidden="false" customHeight="true" outlineLevel="0" collapsed="false">
      <c r="A356" s="12" t="n">
        <v>46245</v>
      </c>
      <c r="B356" s="12"/>
      <c r="C356" s="12" t="n">
        <v>46245</v>
      </c>
      <c r="D356" s="10" t="s">
        <v>54</v>
      </c>
      <c r="E356" s="10" t="s">
        <v>79</v>
      </c>
      <c r="F356" s="13" t="s">
        <v>681</v>
      </c>
      <c r="G356" s="14" t="s">
        <v>49</v>
      </c>
      <c r="H356" s="10" t="s">
        <v>50</v>
      </c>
      <c r="I356" s="15" t="n">
        <v>72</v>
      </c>
      <c r="J356" s="10" t="s">
        <v>51</v>
      </c>
      <c r="K356" s="15" t="n">
        <v>0</v>
      </c>
      <c r="L356" s="11" t="n">
        <v>0</v>
      </c>
      <c r="M356" s="11" t="n">
        <v>0</v>
      </c>
      <c r="N356" s="10" t="s">
        <v>52</v>
      </c>
      <c r="O356" s="10" t="s">
        <v>67</v>
      </c>
      <c r="P356" s="10" t="s">
        <v>53</v>
      </c>
      <c r="Q356" s="16" t="n">
        <v>10</v>
      </c>
      <c r="R356" s="10"/>
      <c r="S356" s="10"/>
      <c r="T356" s="10" t="n">
        <v>0</v>
      </c>
      <c r="U356" s="11" t="n">
        <f aca="false">IF(E356="TRANSPORT",IF(T356="","",T356*5),IF(AL356="","",AL356))</f>
        <v>0</v>
      </c>
      <c r="V356" s="10" t="s">
        <v>54</v>
      </c>
      <c r="W356" s="15" t="s">
        <v>260</v>
      </c>
      <c r="X356" s="15" t="s">
        <v>54</v>
      </c>
      <c r="Y356" s="17" t="n">
        <v>46254.6047106482</v>
      </c>
      <c r="Z356" s="18" t="n">
        <f aca="false">IF(I356="",0,IF(ISNUMBER(SEARCH("mp",LOWER(J356))),I356,IF(ISNUMBER(SEARCH("ton",LOWER(J356))),I356/0.33,IF(ISNUMBER(SEARCH("m3",LOWER(J356))),I356*4,I356))))</f>
        <v>72</v>
      </c>
      <c r="AA356" s="18" t="n">
        <f aca="false">IF(I356="",0,IF(ISNUMBER(SEARCH("mp",LOWER(J356))),I356*0.33,IF(ISNUMBER(SEARCH("ton",LOWER(J356))),I356,I356*0.33)))</f>
        <v>23.76</v>
      </c>
      <c r="AB356" s="18" t="n">
        <f aca="false">Tabela_dane[[#This Row],[Wolumen_t]]*8.5</f>
        <v>201.96</v>
      </c>
      <c r="AC356" s="18" t="n">
        <f aca="false">IF(G356&lt;&gt;"TAK",0,IF(OR(E356="ZAKUP",E356="PRODUKCJA"),Z356,IF(OR(E356="SPRZEDAŻ",E356="ZUŻYCIE"),-Z356,0)))</f>
        <v>-72</v>
      </c>
      <c r="AD356" s="18" t="n">
        <f aca="false">IF(G356&lt;&gt;"TAK",0,IF(OR(E356="ZAKUP",E356="PRODUKCJA"),AA356,IF(OR(E356="SPRZEDAŻ",E356="ZUŻYCIE"),-AA356,0)))</f>
        <v>-23.76</v>
      </c>
      <c r="AE356" s="19" t="n">
        <f aca="false">IF(E356="ZAKUP",IF(L356&lt;&gt;"",L356,IF(K356&lt;&gt;"",Z356*K356,0)),0)</f>
        <v>0</v>
      </c>
      <c r="AF356" s="19" t="n">
        <f aca="false">IF(E356="SPRZEDAŻ",IF(M356&lt;&gt;"",Z356*M356,0),0)</f>
        <v>0</v>
      </c>
      <c r="AG356" s="19" t="str">
        <f aca="false">IF(R356="","",IF(LOWER(R356)="brak","Brak",IF(OR(ISNUMBER(SEARCH("ric pl",LOWER(R356))),ISNUMBER(SEARCH("wojciechowski",LOWER(R356)))),"Własny","Zewnętrzny")))</f>
        <v/>
      </c>
      <c r="AH356" s="19" t="n">
        <f aca="false">Z356*Q356</f>
        <v>720</v>
      </c>
      <c r="AI356" s="19" t="str">
        <f aca="false">UPPER(TEXT(C356,"mmmm"))</f>
        <v>AUGUST</v>
      </c>
      <c r="AJ356" s="19" t="str">
        <f aca="false">IF(C356="","",TEXT(C356,"rrrr"))</f>
        <v>CE5786CE5786</v>
      </c>
      <c r="AK356" s="10"/>
      <c r="AL356" s="11" t="n">
        <v>0</v>
      </c>
      <c r="AM356" s="10" t="s">
        <v>683</v>
      </c>
      <c r="AN356" s="10" t="s">
        <v>59</v>
      </c>
      <c r="AO356" s="10"/>
      <c r="AP356" s="10"/>
      <c r="AQ356" s="10"/>
      <c r="AR356" s="10" t="s">
        <v>81</v>
      </c>
      <c r="AS356" s="10"/>
      <c r="AT356" s="15" t="n">
        <v>1</v>
      </c>
    </row>
    <row r="357" customFormat="false" ht="28.5" hidden="false" customHeight="true" outlineLevel="0" collapsed="false">
      <c r="A357" s="12" t="n">
        <v>46245</v>
      </c>
      <c r="B357" s="12" t="s">
        <v>657</v>
      </c>
      <c r="C357" s="12" t="n">
        <v>46245</v>
      </c>
      <c r="D357" s="10" t="s">
        <v>54</v>
      </c>
      <c r="E357" s="10" t="s">
        <v>63</v>
      </c>
      <c r="F357" s="13" t="s">
        <v>681</v>
      </c>
      <c r="G357" s="14" t="s">
        <v>49</v>
      </c>
      <c r="H357" s="10" t="s">
        <v>50</v>
      </c>
      <c r="I357" s="15" t="n">
        <v>72</v>
      </c>
      <c r="J357" s="10" t="s">
        <v>51</v>
      </c>
      <c r="K357" s="15" t="n">
        <v>0</v>
      </c>
      <c r="L357" s="11" t="n">
        <v>0</v>
      </c>
      <c r="M357" s="11" t="n">
        <v>0</v>
      </c>
      <c r="N357" s="10" t="s">
        <v>52</v>
      </c>
      <c r="O357" s="10" t="s">
        <v>67</v>
      </c>
      <c r="P357" s="10"/>
      <c r="Q357" s="16" t="n">
        <v>0</v>
      </c>
      <c r="R357" s="10" t="s">
        <v>94</v>
      </c>
      <c r="S357" s="10" t="s">
        <v>95</v>
      </c>
      <c r="T357" s="10" t="n">
        <v>134</v>
      </c>
      <c r="U357" s="11" t="n">
        <f aca="false">IF(E357="TRANSPORT",IF(T357="","",T357*5),IF(AL357="","",AL357))</f>
        <v>670</v>
      </c>
      <c r="V357" s="10" t="s">
        <v>54</v>
      </c>
      <c r="W357" s="15" t="s">
        <v>629</v>
      </c>
      <c r="X357" s="15" t="s">
        <v>54</v>
      </c>
      <c r="Y357" s="17" t="n">
        <v>46254.6058333333</v>
      </c>
      <c r="Z357" s="18" t="n">
        <f aca="false">IF(I357="",0,IF(ISNUMBER(SEARCH("mp",LOWER(J357))),I357,IF(ISNUMBER(SEARCH("ton",LOWER(J357))),I357/0.33,IF(ISNUMBER(SEARCH("m3",LOWER(J357))),I357*4,I357))))</f>
        <v>72</v>
      </c>
      <c r="AA357" s="18" t="n">
        <f aca="false">IF(I357="",0,IF(ISNUMBER(SEARCH("mp",LOWER(J357))),I357*0.33,IF(ISNUMBER(SEARCH("ton",LOWER(J357))),I357,I357*0.33)))</f>
        <v>23.76</v>
      </c>
      <c r="AB357" s="18" t="n">
        <f aca="false">Tabela_dane[[#This Row],[Wolumen_t]]*8.5</f>
        <v>201.96</v>
      </c>
      <c r="AC357" s="18" t="n">
        <f aca="false">IF(G357&lt;&gt;"TAK",0,IF(OR(E357="ZAKUP",E357="PRODUKCJA"),Z357,IF(OR(E357="SPRZEDAŻ",E357="ZUŻYCIE"),-Z357,0)))</f>
        <v>72</v>
      </c>
      <c r="AD357" s="18" t="n">
        <f aca="false">IF(G357&lt;&gt;"TAK",0,IF(OR(E357="ZAKUP",E357="PRODUKCJA"),AA357,IF(OR(E357="SPRZEDAŻ",E357="ZUŻYCIE"),-AA357,0)))</f>
        <v>23.76</v>
      </c>
      <c r="AE357" s="19" t="n">
        <f aca="false">IF(E357="ZAKUP",IF(L357&lt;&gt;"",L357,IF(K357&lt;&gt;"",Z357*K357,0)),0)</f>
        <v>0</v>
      </c>
      <c r="AF357" s="19" t="n">
        <f aca="false">IF(E357="SPRZEDAŻ",IF(M357&lt;&gt;"",Z357*M357,0),0)</f>
        <v>0</v>
      </c>
      <c r="AG357" s="19" t="str">
        <f aca="false">IF(R357="","",IF(LOWER(R357)="brak","Brak",IF(OR(ISNUMBER(SEARCH("ric pl",LOWER(R357))),ISNUMBER(SEARCH("wojciechowski",LOWER(R357)))),"Własny","Zewnętrzny")))</f>
        <v>Zewnętrzny</v>
      </c>
      <c r="AH357" s="19" t="n">
        <f aca="false">Z357*Q357</f>
        <v>0</v>
      </c>
      <c r="AI357" s="19" t="str">
        <f aca="false">UPPER(TEXT(C357,"mmmm"))</f>
        <v>AUGUST</v>
      </c>
      <c r="AJ357" s="19" t="str">
        <f aca="false">IF(C357="","",TEXT(C357,"rrrr"))</f>
        <v>CE5786CE5786</v>
      </c>
      <c r="AK357" s="10"/>
      <c r="AL357" s="11" t="n">
        <v>670</v>
      </c>
      <c r="AM357" s="10" t="s">
        <v>684</v>
      </c>
      <c r="AN357" s="10" t="s">
        <v>49</v>
      </c>
      <c r="AO357" s="10"/>
      <c r="AP357" s="10"/>
      <c r="AQ357" s="10"/>
      <c r="AR357" s="10" t="s">
        <v>66</v>
      </c>
      <c r="AS357" s="10"/>
      <c r="AT357" s="15" t="n">
        <v>1</v>
      </c>
    </row>
    <row r="358" customFormat="false" ht="28.5" hidden="false" customHeight="true" outlineLevel="0" collapsed="false">
      <c r="A358" s="12" t="n">
        <v>46245</v>
      </c>
      <c r="B358" s="12"/>
      <c r="C358" s="12" t="n">
        <v>46245</v>
      </c>
      <c r="D358" s="10" t="s">
        <v>650</v>
      </c>
      <c r="E358" s="10" t="s">
        <v>63</v>
      </c>
      <c r="F358" s="46" t="s">
        <v>685</v>
      </c>
      <c r="G358" s="14" t="s">
        <v>49</v>
      </c>
      <c r="H358" s="10" t="s">
        <v>50</v>
      </c>
      <c r="I358" s="15" t="n">
        <v>18</v>
      </c>
      <c r="J358" s="10" t="s">
        <v>77</v>
      </c>
      <c r="K358" s="15" t="n">
        <v>141</v>
      </c>
      <c r="L358" s="11" t="n">
        <v>2538</v>
      </c>
      <c r="M358" s="11" t="n">
        <v>0</v>
      </c>
      <c r="N358" s="10" t="s">
        <v>64</v>
      </c>
      <c r="O358" s="10"/>
      <c r="P358" s="10"/>
      <c r="Q358" s="16" t="n">
        <v>0</v>
      </c>
      <c r="R358" s="10"/>
      <c r="S358" s="10"/>
      <c r="T358" s="10" t="n">
        <v>0</v>
      </c>
      <c r="U358" s="11" t="n">
        <f aca="false">IF(E358="TRANSPORT",IF(T358="","",T358*5),IF(AL358="","",AL358))</f>
        <v>0</v>
      </c>
      <c r="V358" s="10" t="s">
        <v>54</v>
      </c>
      <c r="W358" s="15" t="s">
        <v>686</v>
      </c>
      <c r="X358" s="15" t="s">
        <v>54</v>
      </c>
      <c r="Y358" s="17" t="n">
        <v>46254.6076967593</v>
      </c>
      <c r="Z358" s="18" t="n">
        <f aca="false">IF(I358="",0,IF(ISNUMBER(SEARCH("mp",LOWER(J358))),I358,IF(ISNUMBER(SEARCH("ton",LOWER(J358))),I358/0.33,IF(ISNUMBER(SEARCH("m3",LOWER(J358))),I358*4,I358))))</f>
        <v>72</v>
      </c>
      <c r="AA358" s="18" t="n">
        <f aca="false">IF(I358="",0,IF(ISNUMBER(SEARCH("mp",LOWER(J358))),I358*0.33,IF(ISNUMBER(SEARCH("ton",LOWER(J358))),I358,I358*0.33)))</f>
        <v>5.94</v>
      </c>
      <c r="AB358" s="18" t="n">
        <f aca="false">Tabela_dane[[#This Row],[Wolumen_t]]*8.5</f>
        <v>50.49</v>
      </c>
      <c r="AC358" s="18" t="n">
        <f aca="false">IF(G358&lt;&gt;"TAK",0,IF(OR(E358="ZAKUP",E358="PRODUKCJA"),Z358,IF(OR(E358="SPRZEDAŻ",E358="ZUŻYCIE"),-Z358,0)))</f>
        <v>72</v>
      </c>
      <c r="AD358" s="18" t="n">
        <f aca="false">IF(G358&lt;&gt;"TAK",0,IF(OR(E358="ZAKUP",E358="PRODUKCJA"),AA358,IF(OR(E358="SPRZEDAŻ",E358="ZUŻYCIE"),-AA358,0)))</f>
        <v>5.94</v>
      </c>
      <c r="AE358" s="19" t="n">
        <f aca="false">IF(E358="ZAKUP",IF(L358&lt;&gt;"",L358,IF(K358&lt;&gt;"",Z358*K358,0)),0)</f>
        <v>2538</v>
      </c>
      <c r="AF358" s="19" t="n">
        <f aca="false">IF(E358="SPRZEDAŻ",IF(M358&lt;&gt;"",Z358*M358,0),0)</f>
        <v>0</v>
      </c>
      <c r="AG358" s="19" t="str">
        <f aca="false">IF(R358="","",IF(LOWER(R358)="brak","Brak",IF(OR(ISNUMBER(SEARCH("ric pl",LOWER(R358))),ISNUMBER(SEARCH("wojciechowski",LOWER(R358)))),"Własny","Zewnętrzny")))</f>
        <v/>
      </c>
      <c r="AH358" s="19" t="n">
        <f aca="false">Z358*Q358</f>
        <v>0</v>
      </c>
      <c r="AI358" s="19" t="str">
        <f aca="false">UPPER(TEXT(C358,"mmmm"))</f>
        <v>AUGUST</v>
      </c>
      <c r="AJ358" s="19" t="str">
        <f aca="false">IF(C358="","",TEXT(C358,"rrrr"))</f>
        <v>CE5786CE5786</v>
      </c>
      <c r="AK358" s="10"/>
      <c r="AL358" s="11" t="n">
        <v>0</v>
      </c>
      <c r="AM358" s="10" t="s">
        <v>687</v>
      </c>
      <c r="AN358" s="10" t="s">
        <v>59</v>
      </c>
      <c r="AO358" s="10"/>
      <c r="AP358" s="10"/>
      <c r="AQ358" s="10"/>
      <c r="AR358" s="10" t="s">
        <v>66</v>
      </c>
      <c r="AS358" s="10"/>
      <c r="AT358" s="15" t="n">
        <v>1</v>
      </c>
    </row>
    <row r="359" customFormat="false" ht="28.5" hidden="false" customHeight="true" outlineLevel="0" collapsed="false">
      <c r="A359" s="12" t="n">
        <v>46245</v>
      </c>
      <c r="B359" s="12"/>
      <c r="C359" s="12" t="n">
        <v>46245</v>
      </c>
      <c r="D359" s="10" t="s">
        <v>54</v>
      </c>
      <c r="E359" s="10" t="s">
        <v>47</v>
      </c>
      <c r="F359" s="13" t="s">
        <v>688</v>
      </c>
      <c r="G359" s="14" t="s">
        <v>49</v>
      </c>
      <c r="H359" s="10" t="s">
        <v>50</v>
      </c>
      <c r="I359" s="15" t="n">
        <v>72</v>
      </c>
      <c r="J359" s="10" t="s">
        <v>51</v>
      </c>
      <c r="K359" s="15" t="n">
        <v>0</v>
      </c>
      <c r="L359" s="11" t="n">
        <v>0</v>
      </c>
      <c r="M359" s="11" t="n">
        <v>0</v>
      </c>
      <c r="N359" s="10" t="s">
        <v>52</v>
      </c>
      <c r="O359" s="10" t="s">
        <v>67</v>
      </c>
      <c r="P359" s="10" t="s">
        <v>53</v>
      </c>
      <c r="Q359" s="16" t="n">
        <v>10</v>
      </c>
      <c r="R359" s="10"/>
      <c r="S359" s="10"/>
      <c r="T359" s="10" t="n">
        <v>0</v>
      </c>
      <c r="U359" s="11" t="n">
        <f aca="false">IF(E359="TRANSPORT",IF(T359="","",T359*5),IF(AL359="","",AL359))</f>
        <v>0</v>
      </c>
      <c r="V359" s="10" t="s">
        <v>54</v>
      </c>
      <c r="W359" s="15" t="s">
        <v>655</v>
      </c>
      <c r="X359" s="15" t="s">
        <v>54</v>
      </c>
      <c r="Y359" s="17" t="n">
        <v>46254.6090509259</v>
      </c>
      <c r="Z359" s="18" t="n">
        <f aca="false">IF(I359="",0,IF(ISNUMBER(SEARCH("mp",LOWER(J359))),I359,IF(ISNUMBER(SEARCH("ton",LOWER(J359))),I359/0.33,IF(ISNUMBER(SEARCH("m3",LOWER(J359))),I359*4,I359))))</f>
        <v>72</v>
      </c>
      <c r="AA359" s="18" t="n">
        <f aca="false">IF(I359="",0,IF(ISNUMBER(SEARCH("mp",LOWER(J359))),I359*0.33,IF(ISNUMBER(SEARCH("ton",LOWER(J359))),I359,I359*0.33)))</f>
        <v>23.76</v>
      </c>
      <c r="AB359" s="18" t="n">
        <f aca="false">Tabela_dane[[#This Row],[Wolumen_t]]*8.5</f>
        <v>201.96</v>
      </c>
      <c r="AC359" s="18" t="n">
        <f aca="false">IF(G359&lt;&gt;"TAK",0,IF(OR(E359="ZAKUP",E359="PRODUKCJA"),Z359,IF(OR(E359="SPRZEDAŻ",E359="ZUŻYCIE"),-Z359,0)))</f>
        <v>72</v>
      </c>
      <c r="AD359" s="18" t="n">
        <f aca="false">IF(G359&lt;&gt;"TAK",0,IF(OR(E359="ZAKUP",E359="PRODUKCJA"),AA359,IF(OR(E359="SPRZEDAŻ",E359="ZUŻYCIE"),-AA359,0)))</f>
        <v>23.76</v>
      </c>
      <c r="AE359" s="19" t="n">
        <f aca="false">IF(E359="ZAKUP",IF(L359&lt;&gt;"",L359,IF(K359&lt;&gt;"",Z359*K359,0)),0)</f>
        <v>0</v>
      </c>
      <c r="AF359" s="19" t="n">
        <f aca="false">IF(E359="SPRZEDAŻ",IF(M359&lt;&gt;"",Z359*M359,0),0)</f>
        <v>0</v>
      </c>
      <c r="AG359" s="19" t="str">
        <f aca="false">IF(R359="","",IF(LOWER(R359)="brak","Brak",IF(OR(ISNUMBER(SEARCH("ric pl",LOWER(R359))),ISNUMBER(SEARCH("wojciechowski",LOWER(R359)))),"Własny","Zewnętrzny")))</f>
        <v/>
      </c>
      <c r="AH359" s="19" t="n">
        <f aca="false">Z359*Q359</f>
        <v>720</v>
      </c>
      <c r="AI359" s="19" t="str">
        <f aca="false">UPPER(TEXT(C359,"mmmm"))</f>
        <v>AUGUST</v>
      </c>
      <c r="AJ359" s="19" t="str">
        <f aca="false">IF(C359="","",TEXT(C359,"rrrr"))</f>
        <v>CE5786CE5786</v>
      </c>
      <c r="AK359" s="10"/>
      <c r="AL359" s="11" t="n">
        <v>0</v>
      </c>
      <c r="AM359" s="10" t="s">
        <v>689</v>
      </c>
      <c r="AN359" s="10" t="s">
        <v>59</v>
      </c>
      <c r="AO359" s="10"/>
      <c r="AP359" s="10"/>
      <c r="AQ359" s="10"/>
      <c r="AR359" s="10" t="s">
        <v>66</v>
      </c>
      <c r="AS359" s="10"/>
      <c r="AT359" s="15" t="n">
        <v>1</v>
      </c>
    </row>
    <row r="360" customFormat="false" ht="28.5" hidden="false" customHeight="true" outlineLevel="0" collapsed="false">
      <c r="A360" s="12" t="n">
        <v>46245</v>
      </c>
      <c r="B360" s="12"/>
      <c r="C360" s="12" t="n">
        <v>46245</v>
      </c>
      <c r="D360" s="10" t="s">
        <v>54</v>
      </c>
      <c r="E360" s="10" t="s">
        <v>79</v>
      </c>
      <c r="F360" s="13" t="s">
        <v>688</v>
      </c>
      <c r="G360" s="14" t="s">
        <v>49</v>
      </c>
      <c r="H360" s="10" t="s">
        <v>50</v>
      </c>
      <c r="I360" s="15" t="n">
        <v>72</v>
      </c>
      <c r="J360" s="10" t="s">
        <v>51</v>
      </c>
      <c r="K360" s="15" t="n">
        <v>0</v>
      </c>
      <c r="L360" s="11" t="n">
        <v>0</v>
      </c>
      <c r="M360" s="11" t="n">
        <v>0</v>
      </c>
      <c r="N360" s="10" t="s">
        <v>52</v>
      </c>
      <c r="O360" s="10" t="s">
        <v>67</v>
      </c>
      <c r="P360" s="10" t="s">
        <v>53</v>
      </c>
      <c r="Q360" s="16" t="n">
        <v>10</v>
      </c>
      <c r="R360" s="10"/>
      <c r="S360" s="10"/>
      <c r="T360" s="10" t="n">
        <v>0</v>
      </c>
      <c r="U360" s="11" t="n">
        <f aca="false">IF(E360="TRANSPORT",IF(T360="","",T360*5),IF(AL360="","",AL360))</f>
        <v>0</v>
      </c>
      <c r="V360" s="10" t="s">
        <v>54</v>
      </c>
      <c r="W360" s="15" t="s">
        <v>260</v>
      </c>
      <c r="X360" s="15" t="s">
        <v>54</v>
      </c>
      <c r="Y360" s="17" t="n">
        <v>46254.6090509259</v>
      </c>
      <c r="Z360" s="18" t="n">
        <f aca="false">IF(I360="",0,IF(ISNUMBER(SEARCH("mp",LOWER(J360))),I360,IF(ISNUMBER(SEARCH("ton",LOWER(J360))),I360/0.33,IF(ISNUMBER(SEARCH("m3",LOWER(J360))),I360*4,I360))))</f>
        <v>72</v>
      </c>
      <c r="AA360" s="18" t="n">
        <f aca="false">IF(I360="",0,IF(ISNUMBER(SEARCH("mp",LOWER(J360))),I360*0.33,IF(ISNUMBER(SEARCH("ton",LOWER(J360))),I360,I360*0.33)))</f>
        <v>23.76</v>
      </c>
      <c r="AB360" s="18" t="n">
        <f aca="false">Tabela_dane[[#This Row],[Wolumen_t]]*8.5</f>
        <v>201.96</v>
      </c>
      <c r="AC360" s="18" t="n">
        <f aca="false">IF(G360&lt;&gt;"TAK",0,IF(OR(E360="ZAKUP",E360="PRODUKCJA"),Z360,IF(OR(E360="SPRZEDAŻ",E360="ZUŻYCIE"),-Z360,0)))</f>
        <v>-72</v>
      </c>
      <c r="AD360" s="18" t="n">
        <f aca="false">IF(G360&lt;&gt;"TAK",0,IF(OR(E360="ZAKUP",E360="PRODUKCJA"),AA360,IF(OR(E360="SPRZEDAŻ",E360="ZUŻYCIE"),-AA360,0)))</f>
        <v>-23.76</v>
      </c>
      <c r="AE360" s="19" t="n">
        <f aca="false">IF(E360="ZAKUP",IF(L360&lt;&gt;"",L360,IF(K360&lt;&gt;"",Z360*K360,0)),0)</f>
        <v>0</v>
      </c>
      <c r="AF360" s="19" t="n">
        <f aca="false">IF(E360="SPRZEDAŻ",IF(M360&lt;&gt;"",Z360*M360,0),0)</f>
        <v>0</v>
      </c>
      <c r="AG360" s="19" t="str">
        <f aca="false">IF(R360="","",IF(LOWER(R360)="brak","Brak",IF(OR(ISNUMBER(SEARCH("ric pl",LOWER(R360))),ISNUMBER(SEARCH("wojciechowski",LOWER(R360)))),"Własny","Zewnętrzny")))</f>
        <v/>
      </c>
      <c r="AH360" s="19" t="n">
        <f aca="false">Z360*Q360</f>
        <v>720</v>
      </c>
      <c r="AI360" s="19" t="str">
        <f aca="false">UPPER(TEXT(C360,"mmmm"))</f>
        <v>AUGUST</v>
      </c>
      <c r="AJ360" s="19" t="str">
        <f aca="false">IF(C360="","",TEXT(C360,"rrrr"))</f>
        <v>CE5786CE5786</v>
      </c>
      <c r="AK360" s="10"/>
      <c r="AL360" s="11" t="n">
        <v>0</v>
      </c>
      <c r="AM360" s="10" t="s">
        <v>689</v>
      </c>
      <c r="AN360" s="10" t="s">
        <v>59</v>
      </c>
      <c r="AO360" s="10"/>
      <c r="AP360" s="10"/>
      <c r="AQ360" s="10"/>
      <c r="AR360" s="10" t="s">
        <v>81</v>
      </c>
      <c r="AS360" s="10"/>
      <c r="AT360" s="15" t="n">
        <v>1</v>
      </c>
    </row>
    <row r="361" customFormat="false" ht="28.5" hidden="false" customHeight="true" outlineLevel="0" collapsed="false">
      <c r="A361" s="12" t="n">
        <v>46245</v>
      </c>
      <c r="B361" s="12" t="s">
        <v>657</v>
      </c>
      <c r="C361" s="12" t="n">
        <v>46245</v>
      </c>
      <c r="D361" s="10" t="s">
        <v>54</v>
      </c>
      <c r="E361" s="10" t="s">
        <v>63</v>
      </c>
      <c r="F361" s="13" t="s">
        <v>688</v>
      </c>
      <c r="G361" s="14" t="s">
        <v>49</v>
      </c>
      <c r="H361" s="10" t="s">
        <v>50</v>
      </c>
      <c r="I361" s="15" t="n">
        <v>72</v>
      </c>
      <c r="J361" s="10" t="s">
        <v>51</v>
      </c>
      <c r="K361" s="15" t="n">
        <v>0</v>
      </c>
      <c r="L361" s="11" t="n">
        <v>0</v>
      </c>
      <c r="M361" s="11" t="n">
        <v>0</v>
      </c>
      <c r="N361" s="10" t="s">
        <v>52</v>
      </c>
      <c r="O361" s="10" t="s">
        <v>67</v>
      </c>
      <c r="P361" s="10"/>
      <c r="Q361" s="16" t="n">
        <v>0</v>
      </c>
      <c r="R361" s="10" t="s">
        <v>94</v>
      </c>
      <c r="S361" s="10" t="s">
        <v>95</v>
      </c>
      <c r="T361" s="10" t="n">
        <v>134</v>
      </c>
      <c r="U361" s="11" t="n">
        <f aca="false">IF(E361="TRANSPORT",IF(T361="","",T361*5),IF(AL361="","",AL361))</f>
        <v>670</v>
      </c>
      <c r="V361" s="10" t="s">
        <v>54</v>
      </c>
      <c r="W361" s="15" t="s">
        <v>629</v>
      </c>
      <c r="X361" s="15" t="s">
        <v>54</v>
      </c>
      <c r="Y361" s="17" t="n">
        <v>46254.6101388889</v>
      </c>
      <c r="Z361" s="18" t="n">
        <f aca="false">IF(I361="",0,IF(ISNUMBER(SEARCH("mp",LOWER(J361))),I361,IF(ISNUMBER(SEARCH("ton",LOWER(J361))),I361/0.33,IF(ISNUMBER(SEARCH("m3",LOWER(J361))),I361*4,I361))))</f>
        <v>72</v>
      </c>
      <c r="AA361" s="18" t="n">
        <f aca="false">IF(I361="",0,IF(ISNUMBER(SEARCH("mp",LOWER(J361))),I361*0.33,IF(ISNUMBER(SEARCH("ton",LOWER(J361))),I361,I361*0.33)))</f>
        <v>23.76</v>
      </c>
      <c r="AB361" s="18" t="n">
        <f aca="false">Tabela_dane[[#This Row],[Wolumen_t]]*8.5</f>
        <v>201.96</v>
      </c>
      <c r="AC361" s="18" t="n">
        <f aca="false">IF(G361&lt;&gt;"TAK",0,IF(OR(E361="ZAKUP",E361="PRODUKCJA"),Z361,IF(OR(E361="SPRZEDAŻ",E361="ZUŻYCIE"),-Z361,0)))</f>
        <v>72</v>
      </c>
      <c r="AD361" s="18" t="n">
        <f aca="false">IF(G361&lt;&gt;"TAK",0,IF(OR(E361="ZAKUP",E361="PRODUKCJA"),AA361,IF(OR(E361="SPRZEDAŻ",E361="ZUŻYCIE"),-AA361,0)))</f>
        <v>23.76</v>
      </c>
      <c r="AE361" s="19" t="n">
        <f aca="false">IF(E361="ZAKUP",IF(L361&lt;&gt;"",L361,IF(K361&lt;&gt;"",Z361*K361,0)),0)</f>
        <v>0</v>
      </c>
      <c r="AF361" s="19" t="n">
        <f aca="false">IF(E361="SPRZEDAŻ",IF(M361&lt;&gt;"",Z361*M361,0),0)</f>
        <v>0</v>
      </c>
      <c r="AG361" s="19" t="str">
        <f aca="false">IF(R361="","",IF(LOWER(R361)="brak","Brak",IF(OR(ISNUMBER(SEARCH("ric pl",LOWER(R361))),ISNUMBER(SEARCH("wojciechowski",LOWER(R361)))),"Własny","Zewnętrzny")))</f>
        <v>Zewnętrzny</v>
      </c>
      <c r="AH361" s="19" t="n">
        <f aca="false">Z361*Q361</f>
        <v>0</v>
      </c>
      <c r="AI361" s="19" t="str">
        <f aca="false">UPPER(TEXT(C361,"mmmm"))</f>
        <v>AUGUST</v>
      </c>
      <c r="AJ361" s="19" t="str">
        <f aca="false">IF(C361="","",TEXT(C361,"rrrr"))</f>
        <v>CE5786CE5786</v>
      </c>
      <c r="AK361" s="10"/>
      <c r="AL361" s="11" t="n">
        <v>670</v>
      </c>
      <c r="AM361" s="10" t="s">
        <v>690</v>
      </c>
      <c r="AN361" s="10" t="s">
        <v>49</v>
      </c>
      <c r="AO361" s="10"/>
      <c r="AP361" s="10"/>
      <c r="AQ361" s="10"/>
      <c r="AR361" s="10" t="s">
        <v>66</v>
      </c>
      <c r="AS361" s="10"/>
      <c r="AT361" s="15" t="n">
        <v>1</v>
      </c>
    </row>
    <row r="362" customFormat="false" ht="28.5" hidden="false" customHeight="true" outlineLevel="0" collapsed="false">
      <c r="A362" s="12" t="n">
        <v>46245</v>
      </c>
      <c r="B362" s="12"/>
      <c r="C362" s="12" t="n">
        <v>46245</v>
      </c>
      <c r="D362" s="10" t="s">
        <v>691</v>
      </c>
      <c r="E362" s="10" t="s">
        <v>63</v>
      </c>
      <c r="F362" s="13" t="s">
        <v>692</v>
      </c>
      <c r="G362" s="14" t="s">
        <v>49</v>
      </c>
      <c r="H362" s="10" t="s">
        <v>50</v>
      </c>
      <c r="I362" s="15" t="n">
        <v>92</v>
      </c>
      <c r="J362" s="10" t="s">
        <v>51</v>
      </c>
      <c r="K362" s="15" t="n">
        <v>117</v>
      </c>
      <c r="L362" s="11" t="n">
        <v>10764</v>
      </c>
      <c r="M362" s="11" t="n">
        <v>0</v>
      </c>
      <c r="N362" s="10" t="s">
        <v>104</v>
      </c>
      <c r="O362" s="10" t="s">
        <v>67</v>
      </c>
      <c r="P362" s="10"/>
      <c r="Q362" s="16" t="n">
        <v>0</v>
      </c>
      <c r="R362" s="10"/>
      <c r="S362" s="10"/>
      <c r="T362" s="10" t="n">
        <v>0</v>
      </c>
      <c r="U362" s="11" t="n">
        <f aca="false">IF(E362="TRANSPORT",IF(T362="","",T362*5),IF(AL362="","",AL362))</f>
        <v>0</v>
      </c>
      <c r="V362" s="10" t="s">
        <v>54</v>
      </c>
      <c r="W362" s="15" t="s">
        <v>629</v>
      </c>
      <c r="X362" s="15"/>
      <c r="Y362" s="17" t="n">
        <v>46254.6154050926</v>
      </c>
      <c r="Z362" s="18" t="n">
        <f aca="false">IF(I362="",0,IF(ISNUMBER(SEARCH("mp",LOWER(J362))),I362,IF(ISNUMBER(SEARCH("ton",LOWER(J362))),I362/0.33,IF(ISNUMBER(SEARCH("m3",LOWER(J362))),I362*4,I362))))</f>
        <v>92</v>
      </c>
      <c r="AA362" s="18" t="n">
        <f aca="false">IF(I362="",0,IF(ISNUMBER(SEARCH("mp",LOWER(J362))),I362*0.33,IF(ISNUMBER(SEARCH("ton",LOWER(J362))),I362,I362*0.33)))</f>
        <v>30.36</v>
      </c>
      <c r="AB362" s="18" t="n">
        <f aca="false">Tabela_dane[[#This Row],[Wolumen_t]]*8.5</f>
        <v>258.06</v>
      </c>
      <c r="AC362" s="18" t="n">
        <f aca="false">IF(G362&lt;&gt;"TAK",0,IF(OR(E362="ZAKUP",E362="PRODUKCJA"),Z362,IF(OR(E362="SPRZEDAŻ",E362="ZUŻYCIE"),-Z362,0)))</f>
        <v>92</v>
      </c>
      <c r="AD362" s="18" t="n">
        <f aca="false">IF(G362&lt;&gt;"TAK",0,IF(OR(E362="ZAKUP",E362="PRODUKCJA"),AA362,IF(OR(E362="SPRZEDAŻ",E362="ZUŻYCIE"),-AA362,0)))</f>
        <v>30.36</v>
      </c>
      <c r="AE362" s="19" t="n">
        <f aca="false">IF(E362="ZAKUP",IF(L362&lt;&gt;"",L362,IF(K362&lt;&gt;"",Z362*K362,0)),0)</f>
        <v>10764</v>
      </c>
      <c r="AF362" s="19" t="n">
        <f aca="false">IF(E362="SPRZEDAŻ",IF(M362&lt;&gt;"",Z362*M362,0),0)</f>
        <v>0</v>
      </c>
      <c r="AG362" s="19" t="str">
        <f aca="false">IF(R362="","",IF(LOWER(R362)="brak","Brak",IF(OR(ISNUMBER(SEARCH("ric pl",LOWER(R362))),ISNUMBER(SEARCH("wojciechowski",LOWER(R362)))),"Własny","Zewnętrzny")))</f>
        <v/>
      </c>
      <c r="AH362" s="19" t="n">
        <f aca="false">Z362*Q362</f>
        <v>0</v>
      </c>
      <c r="AI362" s="19" t="str">
        <f aca="false">UPPER(TEXT(C362,"mmmm"))</f>
        <v>AUGUST</v>
      </c>
      <c r="AJ362" s="19" t="str">
        <f aca="false">IF(C362="","",TEXT(C362,"rrrr"))</f>
        <v>CE5786CE5786</v>
      </c>
      <c r="AK362" s="10"/>
      <c r="AL362" s="11" t="n">
        <v>0</v>
      </c>
      <c r="AM362" s="10" t="s">
        <v>693</v>
      </c>
      <c r="AN362" s="10" t="s">
        <v>59</v>
      </c>
      <c r="AO362" s="10"/>
      <c r="AP362" s="10"/>
      <c r="AQ362" s="10"/>
      <c r="AR362" s="10" t="s">
        <v>66</v>
      </c>
      <c r="AS362" s="10"/>
      <c r="AT362" s="15" t="n">
        <v>1</v>
      </c>
    </row>
    <row r="363" customFormat="false" ht="28.5" hidden="false" customHeight="true" outlineLevel="0" collapsed="false">
      <c r="A363" s="12" t="n">
        <v>46246</v>
      </c>
      <c r="B363" s="12"/>
      <c r="C363" s="12" t="n">
        <v>46246</v>
      </c>
      <c r="D363" s="10" t="s">
        <v>694</v>
      </c>
      <c r="E363" s="10" t="s">
        <v>63</v>
      </c>
      <c r="F363" s="46" t="s">
        <v>695</v>
      </c>
      <c r="G363" s="14" t="s">
        <v>49</v>
      </c>
      <c r="H363" s="10" t="s">
        <v>50</v>
      </c>
      <c r="I363" s="15" t="n">
        <v>17</v>
      </c>
      <c r="J363" s="10" t="s">
        <v>77</v>
      </c>
      <c r="K363" s="15" t="n">
        <v>112</v>
      </c>
      <c r="L363" s="11" t="n">
        <v>1904</v>
      </c>
      <c r="M363" s="11" t="n">
        <v>0</v>
      </c>
      <c r="N363" s="10" t="s">
        <v>64</v>
      </c>
      <c r="O363" s="10"/>
      <c r="P363" s="10"/>
      <c r="Q363" s="16" t="n">
        <v>0</v>
      </c>
      <c r="R363" s="10"/>
      <c r="S363" s="10"/>
      <c r="T363" s="10" t="n">
        <v>0</v>
      </c>
      <c r="U363" s="11" t="n">
        <f aca="false">IF(E363="TRANSPORT",IF(T363="","",T363*5),IF(AL363="","",AL363))</f>
        <v>0</v>
      </c>
      <c r="V363" s="10" t="s">
        <v>54</v>
      </c>
      <c r="W363" s="15" t="s">
        <v>696</v>
      </c>
      <c r="X363" s="15"/>
      <c r="Y363" s="17" t="n">
        <v>46254.6204282407</v>
      </c>
      <c r="Z363" s="18" t="n">
        <f aca="false">IF(I363="",0,IF(ISNUMBER(SEARCH("mp",LOWER(J363))),I363,IF(ISNUMBER(SEARCH("ton",LOWER(J363))),I363/0.33,IF(ISNUMBER(SEARCH("m3",LOWER(J363))),I363*4,I363))))</f>
        <v>68</v>
      </c>
      <c r="AA363" s="18" t="n">
        <f aca="false">IF(I363="",0,IF(ISNUMBER(SEARCH("mp",LOWER(J363))),I363*0.33,IF(ISNUMBER(SEARCH("ton",LOWER(J363))),I363,I363*0.33)))</f>
        <v>5.61</v>
      </c>
      <c r="AB363" s="18" t="n">
        <f aca="false">Tabela_dane[[#This Row],[Wolumen_t]]*8.5</f>
        <v>47.685</v>
      </c>
      <c r="AC363" s="18" t="n">
        <f aca="false">IF(G363&lt;&gt;"TAK",0,IF(OR(E363="ZAKUP",E363="PRODUKCJA"),Z363,IF(OR(E363="SPRZEDAŻ",E363="ZUŻYCIE"),-Z363,0)))</f>
        <v>68</v>
      </c>
      <c r="AD363" s="18" t="n">
        <f aca="false">IF(G363&lt;&gt;"TAK",0,IF(OR(E363="ZAKUP",E363="PRODUKCJA"),AA363,IF(OR(E363="SPRZEDAŻ",E363="ZUŻYCIE"),-AA363,0)))</f>
        <v>5.61</v>
      </c>
      <c r="AE363" s="19" t="n">
        <f aca="false">IF(E363="ZAKUP",IF(L363&lt;&gt;"",L363,IF(K363&lt;&gt;"",Z363*K363,0)),0)</f>
        <v>1904</v>
      </c>
      <c r="AF363" s="19" t="n">
        <f aca="false">IF(E363="SPRZEDAŻ",IF(M363&lt;&gt;"",Z363*M363,0),0)</f>
        <v>0</v>
      </c>
      <c r="AG363" s="19" t="str">
        <f aca="false">IF(R363="","",IF(LOWER(R363)="brak","Brak",IF(OR(ISNUMBER(SEARCH("ric pl",LOWER(R363))),ISNUMBER(SEARCH("wojciechowski",LOWER(R363)))),"Własny","Zewnętrzny")))</f>
        <v/>
      </c>
      <c r="AH363" s="19" t="n">
        <f aca="false">Z363*Q363</f>
        <v>0</v>
      </c>
      <c r="AI363" s="19" t="str">
        <f aca="false">UPPER(TEXT(C363,"mmmm"))</f>
        <v>AUGUST</v>
      </c>
      <c r="AJ363" s="19" t="str">
        <f aca="false">IF(C363="","",TEXT(C363,"rrrr"))</f>
        <v>CE5786CE5786</v>
      </c>
      <c r="AK363" s="10"/>
      <c r="AL363" s="11" t="n">
        <v>0</v>
      </c>
      <c r="AM363" s="10" t="s">
        <v>697</v>
      </c>
      <c r="AN363" s="10" t="s">
        <v>59</v>
      </c>
      <c r="AO363" s="10"/>
      <c r="AP363" s="10"/>
      <c r="AQ363" s="10"/>
      <c r="AR363" s="10" t="s">
        <v>66</v>
      </c>
      <c r="AS363" s="10"/>
      <c r="AT363" s="15" t="n">
        <v>1</v>
      </c>
    </row>
    <row r="364" customFormat="false" ht="28.5" hidden="false" customHeight="true" outlineLevel="0" collapsed="false">
      <c r="A364" s="12" t="n">
        <v>46246</v>
      </c>
      <c r="B364" s="12"/>
      <c r="C364" s="12" t="n">
        <v>46246</v>
      </c>
      <c r="D364" s="10" t="s">
        <v>54</v>
      </c>
      <c r="E364" s="10" t="s">
        <v>47</v>
      </c>
      <c r="F364" s="13" t="s">
        <v>698</v>
      </c>
      <c r="G364" s="14" t="s">
        <v>49</v>
      </c>
      <c r="H364" s="10" t="s">
        <v>50</v>
      </c>
      <c r="I364" s="15" t="n">
        <v>68</v>
      </c>
      <c r="J364" s="10" t="s">
        <v>51</v>
      </c>
      <c r="K364" s="15" t="n">
        <v>0</v>
      </c>
      <c r="L364" s="11" t="n">
        <v>0</v>
      </c>
      <c r="M364" s="11" t="n">
        <v>0</v>
      </c>
      <c r="N364" s="10" t="s">
        <v>52</v>
      </c>
      <c r="O364" s="10" t="s">
        <v>67</v>
      </c>
      <c r="P364" s="10" t="s">
        <v>53</v>
      </c>
      <c r="Q364" s="16" t="n">
        <v>10</v>
      </c>
      <c r="R364" s="10"/>
      <c r="S364" s="10"/>
      <c r="T364" s="10" t="n">
        <v>0</v>
      </c>
      <c r="U364" s="11" t="n">
        <f aca="false">IF(E364="TRANSPORT",IF(T364="","",T364*5),IF(AL364="","",AL364))</f>
        <v>0</v>
      </c>
      <c r="V364" s="10" t="s">
        <v>54</v>
      </c>
      <c r="W364" s="15" t="s">
        <v>655</v>
      </c>
      <c r="X364" s="15" t="s">
        <v>54</v>
      </c>
      <c r="Y364" s="17" t="n">
        <v>46254.6217708333</v>
      </c>
      <c r="Z364" s="18" t="n">
        <f aca="false">IF(I364="",0,IF(ISNUMBER(SEARCH("mp",LOWER(J364))),I364,IF(ISNUMBER(SEARCH("ton",LOWER(J364))),I364/0.33,IF(ISNUMBER(SEARCH("m3",LOWER(J364))),I364*4,I364))))</f>
        <v>68</v>
      </c>
      <c r="AA364" s="18" t="n">
        <f aca="false">IF(I364="",0,IF(ISNUMBER(SEARCH("mp",LOWER(J364))),I364*0.33,IF(ISNUMBER(SEARCH("ton",LOWER(J364))),I364,I364*0.33)))</f>
        <v>22.44</v>
      </c>
      <c r="AB364" s="18" t="n">
        <f aca="false">Tabela_dane[[#This Row],[Wolumen_t]]*8.5</f>
        <v>190.74</v>
      </c>
      <c r="AC364" s="18" t="n">
        <f aca="false">IF(G364&lt;&gt;"TAK",0,IF(OR(E364="ZAKUP",E364="PRODUKCJA"),Z364,IF(OR(E364="SPRZEDAŻ",E364="ZUŻYCIE"),-Z364,0)))</f>
        <v>68</v>
      </c>
      <c r="AD364" s="18" t="n">
        <f aca="false">IF(G364&lt;&gt;"TAK",0,IF(OR(E364="ZAKUP",E364="PRODUKCJA"),AA364,IF(OR(E364="SPRZEDAŻ",E364="ZUŻYCIE"),-AA364,0)))</f>
        <v>22.44</v>
      </c>
      <c r="AE364" s="19" t="n">
        <f aca="false">IF(E364="ZAKUP",IF(L364&lt;&gt;"",L364,IF(K364&lt;&gt;"",Z364*K364,0)),0)</f>
        <v>0</v>
      </c>
      <c r="AF364" s="19" t="n">
        <f aca="false">IF(E364="SPRZEDAŻ",IF(M364&lt;&gt;"",Z364*M364,0),0)</f>
        <v>0</v>
      </c>
      <c r="AG364" s="19" t="str">
        <f aca="false">IF(R364="","",IF(LOWER(R364)="brak","Brak",IF(OR(ISNUMBER(SEARCH("ric pl",LOWER(R364))),ISNUMBER(SEARCH("wojciechowski",LOWER(R364)))),"Własny","Zewnętrzny")))</f>
        <v/>
      </c>
      <c r="AH364" s="19" t="n">
        <f aca="false">Z364*Q364</f>
        <v>680</v>
      </c>
      <c r="AI364" s="19" t="str">
        <f aca="false">UPPER(TEXT(C364,"mmmm"))</f>
        <v>AUGUST</v>
      </c>
      <c r="AJ364" s="19" t="str">
        <f aca="false">IF(C364="","",TEXT(C364,"rrrr"))</f>
        <v>CE5786CE5786</v>
      </c>
      <c r="AK364" s="10"/>
      <c r="AL364" s="11" t="n">
        <v>0</v>
      </c>
      <c r="AM364" s="10" t="s">
        <v>699</v>
      </c>
      <c r="AN364" s="10" t="s">
        <v>59</v>
      </c>
      <c r="AO364" s="10"/>
      <c r="AP364" s="10"/>
      <c r="AQ364" s="10"/>
      <c r="AR364" s="10" t="s">
        <v>66</v>
      </c>
      <c r="AS364" s="10"/>
      <c r="AT364" s="15" t="n">
        <v>1</v>
      </c>
    </row>
    <row r="365" customFormat="false" ht="28.5" hidden="false" customHeight="true" outlineLevel="0" collapsed="false">
      <c r="A365" s="12" t="n">
        <v>46246</v>
      </c>
      <c r="B365" s="12"/>
      <c r="C365" s="12" t="n">
        <v>46246</v>
      </c>
      <c r="D365" s="10" t="s">
        <v>54</v>
      </c>
      <c r="E365" s="10" t="s">
        <v>79</v>
      </c>
      <c r="F365" s="13" t="s">
        <v>698</v>
      </c>
      <c r="G365" s="14" t="s">
        <v>49</v>
      </c>
      <c r="H365" s="10" t="s">
        <v>50</v>
      </c>
      <c r="I365" s="15" t="n">
        <v>68</v>
      </c>
      <c r="J365" s="10" t="s">
        <v>51</v>
      </c>
      <c r="K365" s="15" t="n">
        <v>0</v>
      </c>
      <c r="L365" s="11" t="n">
        <v>0</v>
      </c>
      <c r="M365" s="11" t="n">
        <v>0</v>
      </c>
      <c r="N365" s="10" t="s">
        <v>52</v>
      </c>
      <c r="O365" s="10" t="s">
        <v>67</v>
      </c>
      <c r="P365" s="10" t="s">
        <v>53</v>
      </c>
      <c r="Q365" s="16" t="n">
        <v>10</v>
      </c>
      <c r="R365" s="10"/>
      <c r="S365" s="10"/>
      <c r="T365" s="10" t="n">
        <v>0</v>
      </c>
      <c r="U365" s="11" t="n">
        <f aca="false">IF(E365="TRANSPORT",IF(T365="","",T365*5),IF(AL365="","",AL365))</f>
        <v>0</v>
      </c>
      <c r="V365" s="10" t="s">
        <v>54</v>
      </c>
      <c r="W365" s="15" t="s">
        <v>260</v>
      </c>
      <c r="X365" s="15" t="s">
        <v>54</v>
      </c>
      <c r="Y365" s="17" t="n">
        <v>46254.6217708333</v>
      </c>
      <c r="Z365" s="18" t="n">
        <f aca="false">IF(I365="",0,IF(ISNUMBER(SEARCH("mp",LOWER(J365))),I365,IF(ISNUMBER(SEARCH("ton",LOWER(J365))),I365/0.33,IF(ISNUMBER(SEARCH("m3",LOWER(J365))),I365*4,I365))))</f>
        <v>68</v>
      </c>
      <c r="AA365" s="18" t="n">
        <f aca="false">IF(I365="",0,IF(ISNUMBER(SEARCH("mp",LOWER(J365))),I365*0.33,IF(ISNUMBER(SEARCH("ton",LOWER(J365))),I365,I365*0.33)))</f>
        <v>22.44</v>
      </c>
      <c r="AB365" s="18" t="n">
        <f aca="false">Tabela_dane[[#This Row],[Wolumen_t]]*8.5</f>
        <v>190.74</v>
      </c>
      <c r="AC365" s="18" t="n">
        <f aca="false">IF(G365&lt;&gt;"TAK",0,IF(OR(E365="ZAKUP",E365="PRODUKCJA"),Z365,IF(OR(E365="SPRZEDAŻ",E365="ZUŻYCIE"),-Z365,0)))</f>
        <v>-68</v>
      </c>
      <c r="AD365" s="18" t="n">
        <f aca="false">IF(G365&lt;&gt;"TAK",0,IF(OR(E365="ZAKUP",E365="PRODUKCJA"),AA365,IF(OR(E365="SPRZEDAŻ",E365="ZUŻYCIE"),-AA365,0)))</f>
        <v>-22.44</v>
      </c>
      <c r="AE365" s="19" t="n">
        <f aca="false">IF(E365="ZAKUP",IF(L365&lt;&gt;"",L365,IF(K365&lt;&gt;"",Z365*K365,0)),0)</f>
        <v>0</v>
      </c>
      <c r="AF365" s="19" t="n">
        <f aca="false">IF(E365="SPRZEDAŻ",IF(M365&lt;&gt;"",Z365*M365,0),0)</f>
        <v>0</v>
      </c>
      <c r="AG365" s="19" t="str">
        <f aca="false">IF(R365="","",IF(LOWER(R365)="brak","Brak",IF(OR(ISNUMBER(SEARCH("ric pl",LOWER(R365))),ISNUMBER(SEARCH("wojciechowski",LOWER(R365)))),"Własny","Zewnętrzny")))</f>
        <v/>
      </c>
      <c r="AH365" s="19" t="n">
        <f aca="false">Z365*Q365</f>
        <v>680</v>
      </c>
      <c r="AI365" s="19" t="str">
        <f aca="false">UPPER(TEXT(C365,"mmmm"))</f>
        <v>AUGUST</v>
      </c>
      <c r="AJ365" s="19" t="str">
        <f aca="false">IF(C365="","",TEXT(C365,"rrrr"))</f>
        <v>CE5786CE5786</v>
      </c>
      <c r="AK365" s="10"/>
      <c r="AL365" s="11" t="n">
        <v>0</v>
      </c>
      <c r="AM365" s="10" t="s">
        <v>699</v>
      </c>
      <c r="AN365" s="10" t="s">
        <v>59</v>
      </c>
      <c r="AO365" s="10"/>
      <c r="AP365" s="10"/>
      <c r="AQ365" s="10"/>
      <c r="AR365" s="10" t="s">
        <v>81</v>
      </c>
      <c r="AS365" s="10"/>
      <c r="AT365" s="15" t="n">
        <v>1</v>
      </c>
    </row>
    <row r="366" customFormat="false" ht="28.5" hidden="false" customHeight="true" outlineLevel="0" collapsed="false">
      <c r="A366" s="12" t="n">
        <v>46246</v>
      </c>
      <c r="B366" s="12" t="s">
        <v>700</v>
      </c>
      <c r="C366" s="12" t="n">
        <v>46246</v>
      </c>
      <c r="D366" s="10" t="s">
        <v>54</v>
      </c>
      <c r="E366" s="10" t="s">
        <v>63</v>
      </c>
      <c r="F366" s="13" t="s">
        <v>698</v>
      </c>
      <c r="G366" s="14" t="s">
        <v>49</v>
      </c>
      <c r="H366" s="10" t="s">
        <v>50</v>
      </c>
      <c r="I366" s="15" t="n">
        <v>68</v>
      </c>
      <c r="J366" s="10" t="s">
        <v>51</v>
      </c>
      <c r="K366" s="15" t="n">
        <v>0</v>
      </c>
      <c r="L366" s="11" t="n">
        <v>0</v>
      </c>
      <c r="M366" s="11" t="n">
        <v>0</v>
      </c>
      <c r="N366" s="10" t="s">
        <v>52</v>
      </c>
      <c r="O366" s="10" t="s">
        <v>67</v>
      </c>
      <c r="P366" s="10"/>
      <c r="Q366" s="16" t="n">
        <v>0</v>
      </c>
      <c r="R366" s="10" t="s">
        <v>182</v>
      </c>
      <c r="S366" s="10" t="s">
        <v>509</v>
      </c>
      <c r="T366" s="10" t="n">
        <v>62</v>
      </c>
      <c r="U366" s="11" t="n">
        <f aca="false">IF(E366="TRANSPORT",IF(T366="","",T366*5),IF(AL366="","",AL366))</f>
        <v>310</v>
      </c>
      <c r="V366" s="10" t="s">
        <v>54</v>
      </c>
      <c r="W366" s="15" t="s">
        <v>629</v>
      </c>
      <c r="X366" s="15" t="s">
        <v>54</v>
      </c>
      <c r="Y366" s="17" t="n">
        <v>46254.6244097222</v>
      </c>
      <c r="Z366" s="18" t="n">
        <f aca="false">IF(I366="",0,IF(ISNUMBER(SEARCH("mp",LOWER(J366))),I366,IF(ISNUMBER(SEARCH("ton",LOWER(J366))),I366/0.33,IF(ISNUMBER(SEARCH("m3",LOWER(J366))),I366*4,I366))))</f>
        <v>68</v>
      </c>
      <c r="AA366" s="18" t="n">
        <f aca="false">IF(I366="",0,IF(ISNUMBER(SEARCH("mp",LOWER(J366))),I366*0.33,IF(ISNUMBER(SEARCH("ton",LOWER(J366))),I366,I366*0.33)))</f>
        <v>22.44</v>
      </c>
      <c r="AB366" s="18" t="n">
        <f aca="false">Tabela_dane[[#This Row],[Wolumen_t]]*8.5</f>
        <v>190.74</v>
      </c>
      <c r="AC366" s="18" t="n">
        <f aca="false">IF(G366&lt;&gt;"TAK",0,IF(OR(E366="ZAKUP",E366="PRODUKCJA"),Z366,IF(OR(E366="SPRZEDAŻ",E366="ZUŻYCIE"),-Z366,0)))</f>
        <v>68</v>
      </c>
      <c r="AD366" s="18" t="n">
        <f aca="false">IF(G366&lt;&gt;"TAK",0,IF(OR(E366="ZAKUP",E366="PRODUKCJA"),AA366,IF(OR(E366="SPRZEDAŻ",E366="ZUŻYCIE"),-AA366,0)))</f>
        <v>22.44</v>
      </c>
      <c r="AE366" s="19" t="n">
        <f aca="false">IF(E366="ZAKUP",IF(L366&lt;&gt;"",L366,IF(K366&lt;&gt;"",Z366*K366,0)),0)</f>
        <v>0</v>
      </c>
      <c r="AF366" s="19" t="n">
        <f aca="false">IF(E366="SPRZEDAŻ",IF(M366&lt;&gt;"",Z366*M366,0),0)</f>
        <v>0</v>
      </c>
      <c r="AG366" s="19" t="str">
        <f aca="false">IF(R366="","",IF(LOWER(R366)="brak","Brak",IF(OR(ISNUMBER(SEARCH("ric pl",LOWER(R366))),ISNUMBER(SEARCH("wojciechowski",LOWER(R366)))),"Własny","Zewnętrzny")))</f>
        <v>Zewnętrzny</v>
      </c>
      <c r="AH366" s="19" t="n">
        <f aca="false">Z366*Q366</f>
        <v>0</v>
      </c>
      <c r="AI366" s="19" t="str">
        <f aca="false">UPPER(TEXT(C366,"mmmm"))</f>
        <v>AUGUST</v>
      </c>
      <c r="AJ366" s="19" t="str">
        <f aca="false">IF(C366="","",TEXT(C366,"rrrr"))</f>
        <v>CE5786CE5786</v>
      </c>
      <c r="AK366" s="10"/>
      <c r="AL366" s="11" t="n">
        <v>310</v>
      </c>
      <c r="AM366" s="10" t="s">
        <v>701</v>
      </c>
      <c r="AN366" s="10" t="s">
        <v>49</v>
      </c>
      <c r="AO366" s="10"/>
      <c r="AP366" s="10"/>
      <c r="AQ366" s="10"/>
      <c r="AR366" s="10" t="s">
        <v>66</v>
      </c>
      <c r="AS366" s="10"/>
      <c r="AT366" s="15" t="n">
        <v>1</v>
      </c>
    </row>
    <row r="367" customFormat="false" ht="28.5" hidden="false" customHeight="true" outlineLevel="0" collapsed="false">
      <c r="A367" s="12" t="n">
        <v>46246</v>
      </c>
      <c r="B367" s="12"/>
      <c r="C367" s="12" t="n">
        <v>46246</v>
      </c>
      <c r="D367" s="10" t="s">
        <v>694</v>
      </c>
      <c r="E367" s="10" t="s">
        <v>63</v>
      </c>
      <c r="F367" s="46" t="s">
        <v>702</v>
      </c>
      <c r="G367" s="14" t="s">
        <v>49</v>
      </c>
      <c r="H367" s="10" t="s">
        <v>50</v>
      </c>
      <c r="I367" s="15" t="n">
        <v>17</v>
      </c>
      <c r="J367" s="10" t="s">
        <v>51</v>
      </c>
      <c r="K367" s="15" t="n">
        <v>112</v>
      </c>
      <c r="L367" s="11" t="n">
        <v>1904</v>
      </c>
      <c r="M367" s="11" t="n">
        <v>0</v>
      </c>
      <c r="N367" s="10" t="s">
        <v>64</v>
      </c>
      <c r="O367" s="10"/>
      <c r="P367" s="10"/>
      <c r="Q367" s="16" t="n">
        <v>0</v>
      </c>
      <c r="R367" s="10"/>
      <c r="S367" s="10"/>
      <c r="T367" s="10" t="n">
        <v>0</v>
      </c>
      <c r="U367" s="11" t="n">
        <f aca="false">IF(E367="TRANSPORT",IF(T367="","",T367*5),IF(AL367="","",AL367))</f>
        <v>0</v>
      </c>
      <c r="V367" s="10" t="s">
        <v>54</v>
      </c>
      <c r="W367" s="15" t="s">
        <v>703</v>
      </c>
      <c r="X367" s="15" t="s">
        <v>54</v>
      </c>
      <c r="Y367" s="17" t="n">
        <v>46254.6289467593</v>
      </c>
      <c r="Z367" s="18" t="n">
        <f aca="false">IF(I367="",0,IF(ISNUMBER(SEARCH("mp",LOWER(J367))),I367,IF(ISNUMBER(SEARCH("ton",LOWER(J367))),I367/0.33,IF(ISNUMBER(SEARCH("m3",LOWER(J367))),I367*4,I367))))</f>
        <v>17</v>
      </c>
      <c r="AA367" s="18" t="n">
        <f aca="false">IF(I367="",0,IF(ISNUMBER(SEARCH("mp",LOWER(J367))),I367*0.33,IF(ISNUMBER(SEARCH("ton",LOWER(J367))),I367,I367*0.33)))</f>
        <v>5.61</v>
      </c>
      <c r="AB367" s="18" t="n">
        <f aca="false">Tabela_dane[[#This Row],[Wolumen_t]]*8.5</f>
        <v>47.685</v>
      </c>
      <c r="AC367" s="18" t="n">
        <f aca="false">IF(G367&lt;&gt;"TAK",0,IF(OR(E367="ZAKUP",E367="PRODUKCJA"),Z367,IF(OR(E367="SPRZEDAŻ",E367="ZUŻYCIE"),-Z367,0)))</f>
        <v>17</v>
      </c>
      <c r="AD367" s="18" t="n">
        <f aca="false">IF(G367&lt;&gt;"TAK",0,IF(OR(E367="ZAKUP",E367="PRODUKCJA"),AA367,IF(OR(E367="SPRZEDAŻ",E367="ZUŻYCIE"),-AA367,0)))</f>
        <v>5.61</v>
      </c>
      <c r="AE367" s="19" t="n">
        <f aca="false">IF(E367="ZAKUP",IF(L367&lt;&gt;"",L367,IF(K367&lt;&gt;"",Z367*K367,0)),0)</f>
        <v>1904</v>
      </c>
      <c r="AF367" s="19" t="n">
        <f aca="false">IF(E367="SPRZEDAŻ",IF(M367&lt;&gt;"",Z367*M367,0),0)</f>
        <v>0</v>
      </c>
      <c r="AG367" s="19" t="str">
        <f aca="false">IF(R367="","",IF(LOWER(R367)="brak","Brak",IF(OR(ISNUMBER(SEARCH("ric pl",LOWER(R367))),ISNUMBER(SEARCH("wojciechowski",LOWER(R367)))),"Własny","Zewnętrzny")))</f>
        <v/>
      </c>
      <c r="AH367" s="19" t="n">
        <f aca="false">Z367*Q367</f>
        <v>0</v>
      </c>
      <c r="AI367" s="19" t="str">
        <f aca="false">UPPER(TEXT(C367,"mmmm"))</f>
        <v>AUGUST</v>
      </c>
      <c r="AJ367" s="19" t="str">
        <f aca="false">IF(C367="","",TEXT(C367,"rrrr"))</f>
        <v>CE5786CE5786</v>
      </c>
      <c r="AK367" s="10"/>
      <c r="AL367" s="11" t="n">
        <v>0</v>
      </c>
      <c r="AM367" s="10" t="s">
        <v>704</v>
      </c>
      <c r="AN367" s="10" t="s">
        <v>59</v>
      </c>
      <c r="AO367" s="10"/>
      <c r="AP367" s="10"/>
      <c r="AQ367" s="10"/>
      <c r="AR367" s="10" t="s">
        <v>66</v>
      </c>
      <c r="AS367" s="10"/>
      <c r="AT367" s="15" t="n">
        <v>1</v>
      </c>
    </row>
    <row r="368" customFormat="false" ht="28.5" hidden="false" customHeight="true" outlineLevel="0" collapsed="false">
      <c r="A368" s="12" t="n">
        <v>46246</v>
      </c>
      <c r="B368" s="12"/>
      <c r="C368" s="12" t="n">
        <v>46246</v>
      </c>
      <c r="D368" s="10" t="s">
        <v>54</v>
      </c>
      <c r="E368" s="10" t="s">
        <v>47</v>
      </c>
      <c r="F368" s="13" t="s">
        <v>705</v>
      </c>
      <c r="G368" s="14" t="s">
        <v>49</v>
      </c>
      <c r="H368" s="10" t="s">
        <v>50</v>
      </c>
      <c r="I368" s="15" t="n">
        <v>68</v>
      </c>
      <c r="J368" s="10" t="s">
        <v>51</v>
      </c>
      <c r="K368" s="15" t="n">
        <v>0</v>
      </c>
      <c r="L368" s="11" t="n">
        <v>0</v>
      </c>
      <c r="M368" s="11" t="n">
        <v>0</v>
      </c>
      <c r="N368" s="10" t="s">
        <v>52</v>
      </c>
      <c r="O368" s="10" t="s">
        <v>67</v>
      </c>
      <c r="P368" s="10" t="s">
        <v>53</v>
      </c>
      <c r="Q368" s="16" t="n">
        <v>10</v>
      </c>
      <c r="R368" s="10"/>
      <c r="S368" s="10"/>
      <c r="T368" s="10" t="n">
        <v>0</v>
      </c>
      <c r="U368" s="11" t="n">
        <f aca="false">IF(E368="TRANSPORT",IF(T368="","",T368*5),IF(AL368="","",AL368))</f>
        <v>0</v>
      </c>
      <c r="V368" s="10" t="s">
        <v>54</v>
      </c>
      <c r="W368" s="15" t="s">
        <v>655</v>
      </c>
      <c r="X368" s="15" t="s">
        <v>54</v>
      </c>
      <c r="Y368" s="17" t="n">
        <v>46254.6299074074</v>
      </c>
      <c r="Z368" s="18" t="n">
        <f aca="false">IF(I368="",0,IF(ISNUMBER(SEARCH("mp",LOWER(J368))),I368,IF(ISNUMBER(SEARCH("ton",LOWER(J368))),I368/0.33,IF(ISNUMBER(SEARCH("m3",LOWER(J368))),I368*4,I368))))</f>
        <v>68</v>
      </c>
      <c r="AA368" s="18" t="n">
        <f aca="false">IF(I368="",0,IF(ISNUMBER(SEARCH("mp",LOWER(J368))),I368*0.33,IF(ISNUMBER(SEARCH("ton",LOWER(J368))),I368,I368*0.33)))</f>
        <v>22.44</v>
      </c>
      <c r="AB368" s="18" t="n">
        <f aca="false">Tabela_dane[[#This Row],[Wolumen_t]]*8.5</f>
        <v>190.74</v>
      </c>
      <c r="AC368" s="18" t="n">
        <f aca="false">IF(G368&lt;&gt;"TAK",0,IF(OR(E368="ZAKUP",E368="PRODUKCJA"),Z368,IF(OR(E368="SPRZEDAŻ",E368="ZUŻYCIE"),-Z368,0)))</f>
        <v>68</v>
      </c>
      <c r="AD368" s="18" t="n">
        <f aca="false">IF(G368&lt;&gt;"TAK",0,IF(OR(E368="ZAKUP",E368="PRODUKCJA"),AA368,IF(OR(E368="SPRZEDAŻ",E368="ZUŻYCIE"),-AA368,0)))</f>
        <v>22.44</v>
      </c>
      <c r="AE368" s="19" t="n">
        <f aca="false">IF(E368="ZAKUP",IF(L368&lt;&gt;"",L368,IF(K368&lt;&gt;"",Z368*K368,0)),0)</f>
        <v>0</v>
      </c>
      <c r="AF368" s="19" t="n">
        <f aca="false">IF(E368="SPRZEDAŻ",IF(M368&lt;&gt;"",Z368*M368,0),0)</f>
        <v>0</v>
      </c>
      <c r="AG368" s="19" t="str">
        <f aca="false">IF(R368="","",IF(LOWER(R368)="brak","Brak",IF(OR(ISNUMBER(SEARCH("ric pl",LOWER(R368))),ISNUMBER(SEARCH("wojciechowski",LOWER(R368)))),"Własny","Zewnętrzny")))</f>
        <v/>
      </c>
      <c r="AH368" s="19" t="n">
        <f aca="false">Z368*Q368</f>
        <v>680</v>
      </c>
      <c r="AI368" s="19" t="str">
        <f aca="false">UPPER(TEXT(C368,"mmmm"))</f>
        <v>AUGUST</v>
      </c>
      <c r="AJ368" s="19" t="str">
        <f aca="false">IF(C368="","",TEXT(C368,"rrrr"))</f>
        <v>CE5786CE5786</v>
      </c>
      <c r="AK368" s="10"/>
      <c r="AL368" s="11" t="n">
        <v>0</v>
      </c>
      <c r="AM368" s="10" t="s">
        <v>706</v>
      </c>
      <c r="AN368" s="10" t="s">
        <v>59</v>
      </c>
      <c r="AO368" s="10"/>
      <c r="AP368" s="10"/>
      <c r="AQ368" s="10"/>
      <c r="AR368" s="10" t="s">
        <v>66</v>
      </c>
      <c r="AS368" s="10"/>
      <c r="AT368" s="15" t="n">
        <v>1</v>
      </c>
    </row>
    <row r="369" customFormat="false" ht="28.5" hidden="false" customHeight="true" outlineLevel="0" collapsed="false">
      <c r="A369" s="12" t="n">
        <v>46246</v>
      </c>
      <c r="B369" s="12"/>
      <c r="C369" s="12" t="n">
        <v>46246</v>
      </c>
      <c r="D369" s="10" t="s">
        <v>54</v>
      </c>
      <c r="E369" s="10" t="s">
        <v>79</v>
      </c>
      <c r="F369" s="13" t="s">
        <v>705</v>
      </c>
      <c r="G369" s="14" t="s">
        <v>49</v>
      </c>
      <c r="H369" s="10" t="s">
        <v>50</v>
      </c>
      <c r="I369" s="15" t="n">
        <v>68</v>
      </c>
      <c r="J369" s="10" t="s">
        <v>51</v>
      </c>
      <c r="K369" s="15" t="n">
        <v>0</v>
      </c>
      <c r="L369" s="11" t="n">
        <v>0</v>
      </c>
      <c r="M369" s="11" t="n">
        <v>0</v>
      </c>
      <c r="N369" s="10" t="s">
        <v>52</v>
      </c>
      <c r="O369" s="10" t="s">
        <v>67</v>
      </c>
      <c r="P369" s="10" t="s">
        <v>53</v>
      </c>
      <c r="Q369" s="16" t="n">
        <v>10</v>
      </c>
      <c r="R369" s="10"/>
      <c r="S369" s="10"/>
      <c r="T369" s="10" t="n">
        <v>0</v>
      </c>
      <c r="U369" s="11" t="n">
        <f aca="false">IF(E369="TRANSPORT",IF(T369="","",T369*5),IF(AL369="","",AL369))</f>
        <v>0</v>
      </c>
      <c r="V369" s="10" t="s">
        <v>54</v>
      </c>
      <c r="W369" s="15" t="s">
        <v>260</v>
      </c>
      <c r="X369" s="15" t="s">
        <v>54</v>
      </c>
      <c r="Y369" s="17" t="n">
        <v>46254.6299074074</v>
      </c>
      <c r="Z369" s="18" t="n">
        <f aca="false">IF(I369="",0,IF(ISNUMBER(SEARCH("mp",LOWER(J369))),I369,IF(ISNUMBER(SEARCH("ton",LOWER(J369))),I369/0.33,IF(ISNUMBER(SEARCH("m3",LOWER(J369))),I369*4,I369))))</f>
        <v>68</v>
      </c>
      <c r="AA369" s="18" t="n">
        <f aca="false">IF(I369="",0,IF(ISNUMBER(SEARCH("mp",LOWER(J369))),I369*0.33,IF(ISNUMBER(SEARCH("ton",LOWER(J369))),I369,I369*0.33)))</f>
        <v>22.44</v>
      </c>
      <c r="AB369" s="18" t="n">
        <f aca="false">Tabela_dane[[#This Row],[Wolumen_t]]*8.5</f>
        <v>190.74</v>
      </c>
      <c r="AC369" s="18" t="n">
        <f aca="false">IF(G369&lt;&gt;"TAK",0,IF(OR(E369="ZAKUP",E369="PRODUKCJA"),Z369,IF(OR(E369="SPRZEDAŻ",E369="ZUŻYCIE"),-Z369,0)))</f>
        <v>-68</v>
      </c>
      <c r="AD369" s="18" t="n">
        <f aca="false">IF(G369&lt;&gt;"TAK",0,IF(OR(E369="ZAKUP",E369="PRODUKCJA"),AA369,IF(OR(E369="SPRZEDAŻ",E369="ZUŻYCIE"),-AA369,0)))</f>
        <v>-22.44</v>
      </c>
      <c r="AE369" s="19" t="n">
        <f aca="false">IF(E369="ZAKUP",IF(L369&lt;&gt;"",L369,IF(K369&lt;&gt;"",Z369*K369,0)),0)</f>
        <v>0</v>
      </c>
      <c r="AF369" s="19" t="n">
        <f aca="false">IF(E369="SPRZEDAŻ",IF(M369&lt;&gt;"",Z369*M369,0),0)</f>
        <v>0</v>
      </c>
      <c r="AG369" s="19" t="str">
        <f aca="false">IF(R369="","",IF(LOWER(R369)="brak","Brak",IF(OR(ISNUMBER(SEARCH("ric pl",LOWER(R369))),ISNUMBER(SEARCH("wojciechowski",LOWER(R369)))),"Własny","Zewnętrzny")))</f>
        <v/>
      </c>
      <c r="AH369" s="19" t="n">
        <f aca="false">Z369*Q369</f>
        <v>680</v>
      </c>
      <c r="AI369" s="19" t="str">
        <f aca="false">UPPER(TEXT(C369,"mmmm"))</f>
        <v>AUGUST</v>
      </c>
      <c r="AJ369" s="19" t="str">
        <f aca="false">IF(C369="","",TEXT(C369,"rrrr"))</f>
        <v>CE5786CE5786</v>
      </c>
      <c r="AK369" s="10"/>
      <c r="AL369" s="11" t="n">
        <v>0</v>
      </c>
      <c r="AM369" s="10" t="s">
        <v>706</v>
      </c>
      <c r="AN369" s="10" t="s">
        <v>59</v>
      </c>
      <c r="AO369" s="10"/>
      <c r="AP369" s="10"/>
      <c r="AQ369" s="10"/>
      <c r="AR369" s="10" t="s">
        <v>81</v>
      </c>
      <c r="AS369" s="10"/>
      <c r="AT369" s="15" t="n">
        <v>1</v>
      </c>
    </row>
    <row r="370" customFormat="false" ht="28.5" hidden="false" customHeight="true" outlineLevel="0" collapsed="false">
      <c r="A370" s="12" t="n">
        <v>46246</v>
      </c>
      <c r="B370" s="12" t="s">
        <v>700</v>
      </c>
      <c r="C370" s="12" t="n">
        <v>46246</v>
      </c>
      <c r="D370" s="10" t="s">
        <v>54</v>
      </c>
      <c r="E370" s="10" t="s">
        <v>63</v>
      </c>
      <c r="F370" s="13" t="s">
        <v>705</v>
      </c>
      <c r="G370" s="14" t="s">
        <v>49</v>
      </c>
      <c r="H370" s="10" t="s">
        <v>50</v>
      </c>
      <c r="I370" s="15" t="n">
        <v>68</v>
      </c>
      <c r="J370" s="10" t="s">
        <v>51</v>
      </c>
      <c r="K370" s="15" t="n">
        <v>0</v>
      </c>
      <c r="L370" s="11" t="n">
        <v>0</v>
      </c>
      <c r="M370" s="11" t="n">
        <v>0</v>
      </c>
      <c r="N370" s="10" t="s">
        <v>52</v>
      </c>
      <c r="O370" s="10" t="s">
        <v>67</v>
      </c>
      <c r="P370" s="10"/>
      <c r="Q370" s="16" t="n">
        <v>0</v>
      </c>
      <c r="R370" s="10" t="s">
        <v>68</v>
      </c>
      <c r="S370" s="10" t="s">
        <v>69</v>
      </c>
      <c r="T370" s="10" t="n">
        <v>62</v>
      </c>
      <c r="U370" s="11" t="n">
        <f aca="false">IF(E370="TRANSPORT",IF(T370="","",T370*5),IF(AL370="","",AL370))</f>
        <v>310</v>
      </c>
      <c r="V370" s="10" t="s">
        <v>54</v>
      </c>
      <c r="W370" s="15" t="s">
        <v>629</v>
      </c>
      <c r="X370" s="15"/>
      <c r="Y370" s="17" t="n">
        <v>46254.631087963</v>
      </c>
      <c r="Z370" s="18" t="n">
        <f aca="false">IF(I370="",0,IF(ISNUMBER(SEARCH("mp",LOWER(J370))),I370,IF(ISNUMBER(SEARCH("ton",LOWER(J370))),I370/0.33,IF(ISNUMBER(SEARCH("m3",LOWER(J370))),I370*4,I370))))</f>
        <v>68</v>
      </c>
      <c r="AA370" s="18" t="n">
        <f aca="false">IF(I370="",0,IF(ISNUMBER(SEARCH("mp",LOWER(J370))),I370*0.33,IF(ISNUMBER(SEARCH("ton",LOWER(J370))),I370,I370*0.33)))</f>
        <v>22.44</v>
      </c>
      <c r="AB370" s="18" t="n">
        <f aca="false">Tabela_dane[[#This Row],[Wolumen_t]]*8.5</f>
        <v>190.74</v>
      </c>
      <c r="AC370" s="18" t="n">
        <f aca="false">IF(G370&lt;&gt;"TAK",0,IF(OR(E370="ZAKUP",E370="PRODUKCJA"),Z370,IF(OR(E370="SPRZEDAŻ",E370="ZUŻYCIE"),-Z370,0)))</f>
        <v>68</v>
      </c>
      <c r="AD370" s="18" t="n">
        <f aca="false">IF(G370&lt;&gt;"TAK",0,IF(OR(E370="ZAKUP",E370="PRODUKCJA"),AA370,IF(OR(E370="SPRZEDAŻ",E370="ZUŻYCIE"),-AA370,0)))</f>
        <v>22.44</v>
      </c>
      <c r="AE370" s="19" t="n">
        <f aca="false">IF(E370="ZAKUP",IF(L370&lt;&gt;"",L370,IF(K370&lt;&gt;"",Z370*K370,0)),0)</f>
        <v>0</v>
      </c>
      <c r="AF370" s="19" t="n">
        <f aca="false">IF(E370="SPRZEDAŻ",IF(M370&lt;&gt;"",Z370*M370,0),0)</f>
        <v>0</v>
      </c>
      <c r="AG370" s="19" t="str">
        <f aca="false">IF(R370="","",IF(LOWER(R370)="brak","Brak",IF(OR(ISNUMBER(SEARCH("ric pl",LOWER(R370))),ISNUMBER(SEARCH("wojciechowski",LOWER(R370)))),"Własny","Zewnętrzny")))</f>
        <v>Zewnętrzny</v>
      </c>
      <c r="AH370" s="19" t="n">
        <f aca="false">Z370*Q370</f>
        <v>0</v>
      </c>
      <c r="AI370" s="19" t="str">
        <f aca="false">UPPER(TEXT(C370,"mmmm"))</f>
        <v>AUGUST</v>
      </c>
      <c r="AJ370" s="19" t="str">
        <f aca="false">IF(C370="","",TEXT(C370,"rrrr"))</f>
        <v>CE5786CE5786</v>
      </c>
      <c r="AK370" s="10"/>
      <c r="AL370" s="11" t="n">
        <v>310</v>
      </c>
      <c r="AM370" s="10" t="s">
        <v>707</v>
      </c>
      <c r="AN370" s="10" t="s">
        <v>49</v>
      </c>
      <c r="AO370" s="10"/>
      <c r="AP370" s="10"/>
      <c r="AQ370" s="10"/>
      <c r="AR370" s="10" t="s">
        <v>66</v>
      </c>
      <c r="AS370" s="10"/>
      <c r="AT370" s="15" t="n">
        <v>1</v>
      </c>
    </row>
    <row r="371" customFormat="false" ht="28.5" hidden="false" customHeight="true" outlineLevel="0" collapsed="false">
      <c r="A371" s="12" t="n">
        <v>46246</v>
      </c>
      <c r="B371" s="12"/>
      <c r="C371" s="12" t="n">
        <v>46246</v>
      </c>
      <c r="D371" s="10" t="s">
        <v>694</v>
      </c>
      <c r="E371" s="10" t="s">
        <v>63</v>
      </c>
      <c r="F371" s="46" t="s">
        <v>708</v>
      </c>
      <c r="G371" s="14" t="s">
        <v>49</v>
      </c>
      <c r="H371" s="10" t="s">
        <v>50</v>
      </c>
      <c r="I371" s="15" t="n">
        <v>17</v>
      </c>
      <c r="J371" s="10" t="s">
        <v>77</v>
      </c>
      <c r="K371" s="15" t="n">
        <v>112</v>
      </c>
      <c r="L371" s="11" t="n">
        <v>1904</v>
      </c>
      <c r="M371" s="11" t="n">
        <v>0</v>
      </c>
      <c r="N371" s="10" t="s">
        <v>64</v>
      </c>
      <c r="O371" s="10" t="s">
        <v>67</v>
      </c>
      <c r="P371" s="10"/>
      <c r="Q371" s="16" t="n">
        <v>0</v>
      </c>
      <c r="R371" s="10"/>
      <c r="S371" s="10"/>
      <c r="T371" s="10" t="n">
        <v>0</v>
      </c>
      <c r="U371" s="11" t="n">
        <f aca="false">IF(E371="TRANSPORT",IF(T371="","",T371*5),IF(AL371="","",AL371))</f>
        <v>0</v>
      </c>
      <c r="V371" s="10" t="s">
        <v>54</v>
      </c>
      <c r="W371" s="15" t="s">
        <v>709</v>
      </c>
      <c r="X371" s="15" t="s">
        <v>54</v>
      </c>
      <c r="Y371" s="17" t="n">
        <v>46254.632962963</v>
      </c>
      <c r="Z371" s="18" t="n">
        <f aca="false">IF(I371="",0,IF(ISNUMBER(SEARCH("mp",LOWER(J371))),I371,IF(ISNUMBER(SEARCH("ton",LOWER(J371))),I371/0.33,IF(ISNUMBER(SEARCH("m3",LOWER(J371))),I371*4,I371))))</f>
        <v>68</v>
      </c>
      <c r="AA371" s="18" t="n">
        <f aca="false">IF(I371="",0,IF(ISNUMBER(SEARCH("mp",LOWER(J371))),I371*0.33,IF(ISNUMBER(SEARCH("ton",LOWER(J371))),I371,I371*0.33)))</f>
        <v>5.61</v>
      </c>
      <c r="AB371" s="18" t="n">
        <f aca="false">Tabela_dane[[#This Row],[Wolumen_t]]*8.5</f>
        <v>47.685</v>
      </c>
      <c r="AC371" s="18" t="n">
        <f aca="false">IF(G371&lt;&gt;"TAK",0,IF(OR(E371="ZAKUP",E371="PRODUKCJA"),Z371,IF(OR(E371="SPRZEDAŻ",E371="ZUŻYCIE"),-Z371,0)))</f>
        <v>68</v>
      </c>
      <c r="AD371" s="18" t="n">
        <f aca="false">IF(G371&lt;&gt;"TAK",0,IF(OR(E371="ZAKUP",E371="PRODUKCJA"),AA371,IF(OR(E371="SPRZEDAŻ",E371="ZUŻYCIE"),-AA371,0)))</f>
        <v>5.61</v>
      </c>
      <c r="AE371" s="19" t="n">
        <f aca="false">IF(E371="ZAKUP",IF(L371&lt;&gt;"",L371,IF(K371&lt;&gt;"",Z371*K371,0)),0)</f>
        <v>1904</v>
      </c>
      <c r="AF371" s="19" t="n">
        <f aca="false">IF(E371="SPRZEDAŻ",IF(M371&lt;&gt;"",Z371*M371,0),0)</f>
        <v>0</v>
      </c>
      <c r="AG371" s="19" t="str">
        <f aca="false">IF(R371="","",IF(LOWER(R371)="brak","Brak",IF(OR(ISNUMBER(SEARCH("ric pl",LOWER(R371))),ISNUMBER(SEARCH("wojciechowski",LOWER(R371)))),"Własny","Zewnętrzny")))</f>
        <v/>
      </c>
      <c r="AH371" s="19" t="n">
        <f aca="false">Z371*Q371</f>
        <v>0</v>
      </c>
      <c r="AI371" s="19" t="str">
        <f aca="false">UPPER(TEXT(C371,"mmmm"))</f>
        <v>AUGUST</v>
      </c>
      <c r="AJ371" s="19" t="str">
        <f aca="false">IF(C371="","",TEXT(C371,"rrrr"))</f>
        <v>CE5786CE5786</v>
      </c>
      <c r="AK371" s="10"/>
      <c r="AL371" s="11" t="n">
        <v>0</v>
      </c>
      <c r="AM371" s="10" t="s">
        <v>710</v>
      </c>
      <c r="AN371" s="10" t="s">
        <v>59</v>
      </c>
      <c r="AO371" s="10"/>
      <c r="AP371" s="10"/>
      <c r="AQ371" s="10"/>
      <c r="AR371" s="10" t="s">
        <v>66</v>
      </c>
      <c r="AS371" s="10"/>
      <c r="AT371" s="15" t="n">
        <v>1</v>
      </c>
    </row>
    <row r="372" customFormat="false" ht="28.5" hidden="false" customHeight="true" outlineLevel="0" collapsed="false">
      <c r="A372" s="12" t="n">
        <v>46246</v>
      </c>
      <c r="B372" s="12"/>
      <c r="C372" s="12" t="n">
        <v>46246</v>
      </c>
      <c r="D372" s="10" t="s">
        <v>54</v>
      </c>
      <c r="E372" s="10" t="s">
        <v>47</v>
      </c>
      <c r="F372" s="13" t="s">
        <v>711</v>
      </c>
      <c r="G372" s="14" t="s">
        <v>49</v>
      </c>
      <c r="H372" s="10" t="s">
        <v>50</v>
      </c>
      <c r="I372" s="15" t="n">
        <v>68</v>
      </c>
      <c r="J372" s="10" t="s">
        <v>51</v>
      </c>
      <c r="K372" s="15" t="n">
        <v>0</v>
      </c>
      <c r="L372" s="11" t="n">
        <v>0</v>
      </c>
      <c r="M372" s="11" t="n">
        <v>0</v>
      </c>
      <c r="N372" s="10" t="s">
        <v>52</v>
      </c>
      <c r="O372" s="10" t="s">
        <v>67</v>
      </c>
      <c r="P372" s="10" t="s">
        <v>53</v>
      </c>
      <c r="Q372" s="16" t="n">
        <v>10</v>
      </c>
      <c r="R372" s="10"/>
      <c r="S372" s="10"/>
      <c r="T372" s="10" t="n">
        <v>0</v>
      </c>
      <c r="U372" s="11" t="n">
        <f aca="false">IF(E372="TRANSPORT",IF(T372="","",T372*5),IF(AL372="","",AL372))</f>
        <v>0</v>
      </c>
      <c r="V372" s="10" t="s">
        <v>54</v>
      </c>
      <c r="W372" s="15" t="s">
        <v>655</v>
      </c>
      <c r="X372" s="15" t="s">
        <v>54</v>
      </c>
      <c r="Y372" s="17" t="n">
        <v>46254.6338773148</v>
      </c>
      <c r="Z372" s="18" t="n">
        <f aca="false">IF(I372="",0,IF(ISNUMBER(SEARCH("mp",LOWER(J372))),I372,IF(ISNUMBER(SEARCH("ton",LOWER(J372))),I372/0.33,IF(ISNUMBER(SEARCH("m3",LOWER(J372))),I372*4,I372))))</f>
        <v>68</v>
      </c>
      <c r="AA372" s="18" t="n">
        <f aca="false">IF(I372="",0,IF(ISNUMBER(SEARCH("mp",LOWER(J372))),I372*0.33,IF(ISNUMBER(SEARCH("ton",LOWER(J372))),I372,I372*0.33)))</f>
        <v>22.44</v>
      </c>
      <c r="AB372" s="18" t="n">
        <f aca="false">Tabela_dane[[#This Row],[Wolumen_t]]*8.5</f>
        <v>190.74</v>
      </c>
      <c r="AC372" s="18" t="n">
        <f aca="false">IF(G372&lt;&gt;"TAK",0,IF(OR(E372="ZAKUP",E372="PRODUKCJA"),Z372,IF(OR(E372="SPRZEDAŻ",E372="ZUŻYCIE"),-Z372,0)))</f>
        <v>68</v>
      </c>
      <c r="AD372" s="18" t="n">
        <f aca="false">IF(G372&lt;&gt;"TAK",0,IF(OR(E372="ZAKUP",E372="PRODUKCJA"),AA372,IF(OR(E372="SPRZEDAŻ",E372="ZUŻYCIE"),-AA372,0)))</f>
        <v>22.44</v>
      </c>
      <c r="AE372" s="19" t="n">
        <f aca="false">IF(E372="ZAKUP",IF(L372&lt;&gt;"",L372,IF(K372&lt;&gt;"",Z372*K372,0)),0)</f>
        <v>0</v>
      </c>
      <c r="AF372" s="19" t="n">
        <f aca="false">IF(E372="SPRZEDAŻ",IF(M372&lt;&gt;"",Z372*M372,0),0)</f>
        <v>0</v>
      </c>
      <c r="AG372" s="19" t="str">
        <f aca="false">IF(R372="","",IF(LOWER(R372)="brak","Brak",IF(OR(ISNUMBER(SEARCH("ric pl",LOWER(R372))),ISNUMBER(SEARCH("wojciechowski",LOWER(R372)))),"Własny","Zewnętrzny")))</f>
        <v/>
      </c>
      <c r="AH372" s="19" t="n">
        <f aca="false">Z372*Q372</f>
        <v>680</v>
      </c>
      <c r="AI372" s="19" t="str">
        <f aca="false">UPPER(TEXT(C372,"mmmm"))</f>
        <v>AUGUST</v>
      </c>
      <c r="AJ372" s="19" t="str">
        <f aca="false">IF(C372="","",TEXT(C372,"rrrr"))</f>
        <v>CE5786CE5786</v>
      </c>
      <c r="AK372" s="10"/>
      <c r="AL372" s="11" t="n">
        <v>0</v>
      </c>
      <c r="AM372" s="10" t="s">
        <v>712</v>
      </c>
      <c r="AN372" s="10" t="s">
        <v>59</v>
      </c>
      <c r="AO372" s="10"/>
      <c r="AP372" s="10"/>
      <c r="AQ372" s="10"/>
      <c r="AR372" s="10" t="s">
        <v>66</v>
      </c>
      <c r="AS372" s="10"/>
      <c r="AT372" s="15" t="n">
        <v>1</v>
      </c>
    </row>
    <row r="373" customFormat="false" ht="28.5" hidden="false" customHeight="true" outlineLevel="0" collapsed="false">
      <c r="A373" s="12" t="n">
        <v>46246</v>
      </c>
      <c r="B373" s="12"/>
      <c r="C373" s="12" t="n">
        <v>46246</v>
      </c>
      <c r="D373" s="10" t="s">
        <v>54</v>
      </c>
      <c r="E373" s="10" t="s">
        <v>79</v>
      </c>
      <c r="F373" s="13" t="s">
        <v>711</v>
      </c>
      <c r="G373" s="14" t="s">
        <v>49</v>
      </c>
      <c r="H373" s="10" t="s">
        <v>50</v>
      </c>
      <c r="I373" s="15" t="n">
        <v>68</v>
      </c>
      <c r="J373" s="10" t="s">
        <v>51</v>
      </c>
      <c r="K373" s="15" t="n">
        <v>0</v>
      </c>
      <c r="L373" s="11" t="n">
        <v>0</v>
      </c>
      <c r="M373" s="11" t="n">
        <v>0</v>
      </c>
      <c r="N373" s="10" t="s">
        <v>52</v>
      </c>
      <c r="O373" s="10" t="s">
        <v>67</v>
      </c>
      <c r="P373" s="10" t="s">
        <v>53</v>
      </c>
      <c r="Q373" s="16" t="n">
        <v>10</v>
      </c>
      <c r="R373" s="10"/>
      <c r="S373" s="10"/>
      <c r="T373" s="10" t="n">
        <v>0</v>
      </c>
      <c r="U373" s="11" t="n">
        <f aca="false">IF(E373="TRANSPORT",IF(T373="","",T373*5),IF(AL373="","",AL373))</f>
        <v>0</v>
      </c>
      <c r="V373" s="10" t="s">
        <v>54</v>
      </c>
      <c r="W373" s="15" t="s">
        <v>260</v>
      </c>
      <c r="X373" s="15" t="s">
        <v>54</v>
      </c>
      <c r="Y373" s="17" t="n">
        <v>46254.6338773148</v>
      </c>
      <c r="Z373" s="18" t="n">
        <f aca="false">IF(I373="",0,IF(ISNUMBER(SEARCH("mp",LOWER(J373))),I373,IF(ISNUMBER(SEARCH("ton",LOWER(J373))),I373/0.33,IF(ISNUMBER(SEARCH("m3",LOWER(J373))),I373*4,I373))))</f>
        <v>68</v>
      </c>
      <c r="AA373" s="18" t="n">
        <f aca="false">IF(I373="",0,IF(ISNUMBER(SEARCH("mp",LOWER(J373))),I373*0.33,IF(ISNUMBER(SEARCH("ton",LOWER(J373))),I373,I373*0.33)))</f>
        <v>22.44</v>
      </c>
      <c r="AB373" s="18" t="n">
        <f aca="false">Tabela_dane[[#This Row],[Wolumen_t]]*8.5</f>
        <v>190.74</v>
      </c>
      <c r="AC373" s="18" t="n">
        <f aca="false">IF(G373&lt;&gt;"TAK",0,IF(OR(E373="ZAKUP",E373="PRODUKCJA"),Z373,IF(OR(E373="SPRZEDAŻ",E373="ZUŻYCIE"),-Z373,0)))</f>
        <v>-68</v>
      </c>
      <c r="AD373" s="18" t="n">
        <f aca="false">IF(G373&lt;&gt;"TAK",0,IF(OR(E373="ZAKUP",E373="PRODUKCJA"),AA373,IF(OR(E373="SPRZEDAŻ",E373="ZUŻYCIE"),-AA373,0)))</f>
        <v>-22.44</v>
      </c>
      <c r="AE373" s="19" t="n">
        <f aca="false">IF(E373="ZAKUP",IF(L373&lt;&gt;"",L373,IF(K373&lt;&gt;"",Z373*K373,0)),0)</f>
        <v>0</v>
      </c>
      <c r="AF373" s="19" t="n">
        <f aca="false">IF(E373="SPRZEDAŻ",IF(M373&lt;&gt;"",Z373*M373,0),0)</f>
        <v>0</v>
      </c>
      <c r="AG373" s="19" t="str">
        <f aca="false">IF(R373="","",IF(LOWER(R373)="brak","Brak",IF(OR(ISNUMBER(SEARCH("ric pl",LOWER(R373))),ISNUMBER(SEARCH("wojciechowski",LOWER(R373)))),"Własny","Zewnętrzny")))</f>
        <v/>
      </c>
      <c r="AH373" s="19" t="n">
        <f aca="false">Z373*Q373</f>
        <v>680</v>
      </c>
      <c r="AI373" s="19" t="str">
        <f aca="false">UPPER(TEXT(C373,"mmmm"))</f>
        <v>AUGUST</v>
      </c>
      <c r="AJ373" s="19" t="str">
        <f aca="false">IF(C373="","",TEXT(C373,"rrrr"))</f>
        <v>CE5786CE5786</v>
      </c>
      <c r="AK373" s="10"/>
      <c r="AL373" s="11" t="n">
        <v>0</v>
      </c>
      <c r="AM373" s="10" t="s">
        <v>712</v>
      </c>
      <c r="AN373" s="10" t="s">
        <v>59</v>
      </c>
      <c r="AO373" s="10"/>
      <c r="AP373" s="10"/>
      <c r="AQ373" s="10"/>
      <c r="AR373" s="10" t="s">
        <v>81</v>
      </c>
      <c r="AS373" s="10"/>
      <c r="AT373" s="15" t="n">
        <v>1</v>
      </c>
    </row>
    <row r="374" customFormat="false" ht="28.5" hidden="false" customHeight="true" outlineLevel="0" collapsed="false">
      <c r="A374" s="12" t="n">
        <v>46246</v>
      </c>
      <c r="B374" s="12" t="s">
        <v>700</v>
      </c>
      <c r="C374" s="12" t="n">
        <v>46246</v>
      </c>
      <c r="D374" s="10" t="s">
        <v>54</v>
      </c>
      <c r="E374" s="10" t="s">
        <v>63</v>
      </c>
      <c r="F374" s="13" t="s">
        <v>711</v>
      </c>
      <c r="G374" s="14" t="s">
        <v>49</v>
      </c>
      <c r="H374" s="10" t="s">
        <v>50</v>
      </c>
      <c r="I374" s="15" t="n">
        <v>68</v>
      </c>
      <c r="J374" s="10" t="s">
        <v>51</v>
      </c>
      <c r="K374" s="15" t="n">
        <v>0</v>
      </c>
      <c r="L374" s="11" t="n">
        <v>0</v>
      </c>
      <c r="M374" s="11" t="n">
        <v>0</v>
      </c>
      <c r="N374" s="10" t="s">
        <v>52</v>
      </c>
      <c r="O374" s="10" t="s">
        <v>67</v>
      </c>
      <c r="P374" s="10"/>
      <c r="Q374" s="16" t="n">
        <v>0</v>
      </c>
      <c r="R374" s="10" t="s">
        <v>94</v>
      </c>
      <c r="S374" s="10" t="s">
        <v>95</v>
      </c>
      <c r="T374" s="10" t="n">
        <v>62</v>
      </c>
      <c r="U374" s="11" t="n">
        <f aca="false">IF(E374="TRANSPORT",IF(T374="","",T374*5),IF(AL374="","",AL374))</f>
        <v>310</v>
      </c>
      <c r="V374" s="10" t="s">
        <v>54</v>
      </c>
      <c r="W374" s="15" t="s">
        <v>629</v>
      </c>
      <c r="X374" s="15" t="s">
        <v>54</v>
      </c>
      <c r="Y374" s="17" t="n">
        <v>46254.6359375</v>
      </c>
      <c r="Z374" s="18" t="n">
        <f aca="false">IF(I374="",0,IF(ISNUMBER(SEARCH("mp",LOWER(J374))),I374,IF(ISNUMBER(SEARCH("ton",LOWER(J374))),I374/0.33,IF(ISNUMBER(SEARCH("m3",LOWER(J374))),I374*4,I374))))</f>
        <v>68</v>
      </c>
      <c r="AA374" s="18" t="n">
        <f aca="false">IF(I374="",0,IF(ISNUMBER(SEARCH("mp",LOWER(J374))),I374*0.33,IF(ISNUMBER(SEARCH("ton",LOWER(J374))),I374,I374*0.33)))</f>
        <v>22.44</v>
      </c>
      <c r="AB374" s="18" t="n">
        <f aca="false">Tabela_dane[[#This Row],[Wolumen_t]]*8.5</f>
        <v>190.74</v>
      </c>
      <c r="AC374" s="18" t="n">
        <f aca="false">IF(G374&lt;&gt;"TAK",0,IF(OR(E374="ZAKUP",E374="PRODUKCJA"),Z374,IF(OR(E374="SPRZEDAŻ",E374="ZUŻYCIE"),-Z374,0)))</f>
        <v>68</v>
      </c>
      <c r="AD374" s="18" t="n">
        <f aca="false">IF(G374&lt;&gt;"TAK",0,IF(OR(E374="ZAKUP",E374="PRODUKCJA"),AA374,IF(OR(E374="SPRZEDAŻ",E374="ZUŻYCIE"),-AA374,0)))</f>
        <v>22.44</v>
      </c>
      <c r="AE374" s="19" t="n">
        <f aca="false">IF(E374="ZAKUP",IF(L374&lt;&gt;"",L374,IF(K374&lt;&gt;"",Z374*K374,0)),0)</f>
        <v>0</v>
      </c>
      <c r="AF374" s="19" t="n">
        <f aca="false">IF(E374="SPRZEDAŻ",IF(M374&lt;&gt;"",Z374*M374,0),0)</f>
        <v>0</v>
      </c>
      <c r="AG374" s="19" t="str">
        <f aca="false">IF(R374="","",IF(LOWER(R374)="brak","Brak",IF(OR(ISNUMBER(SEARCH("ric pl",LOWER(R374))),ISNUMBER(SEARCH("wojciechowski",LOWER(R374)))),"Własny","Zewnętrzny")))</f>
        <v>Zewnętrzny</v>
      </c>
      <c r="AH374" s="19" t="n">
        <f aca="false">Z374*Q374</f>
        <v>0</v>
      </c>
      <c r="AI374" s="19" t="str">
        <f aca="false">UPPER(TEXT(C374,"mmmm"))</f>
        <v>AUGUST</v>
      </c>
      <c r="AJ374" s="19" t="str">
        <f aca="false">IF(C374="","",TEXT(C374,"rrrr"))</f>
        <v>CE5786CE5786</v>
      </c>
      <c r="AK374" s="10"/>
      <c r="AL374" s="11" t="n">
        <v>310</v>
      </c>
      <c r="AM374" s="10" t="s">
        <v>713</v>
      </c>
      <c r="AN374" s="10" t="s">
        <v>49</v>
      </c>
      <c r="AO374" s="10"/>
      <c r="AP374" s="10"/>
      <c r="AQ374" s="10"/>
      <c r="AR374" s="10" t="s">
        <v>66</v>
      </c>
      <c r="AS374" s="10"/>
      <c r="AT374" s="15" t="n">
        <v>1</v>
      </c>
    </row>
    <row r="375" customFormat="false" ht="28.5" hidden="false" customHeight="true" outlineLevel="0" collapsed="false">
      <c r="A375" s="12" t="n">
        <v>46246</v>
      </c>
      <c r="B375" s="12"/>
      <c r="C375" s="12" t="n">
        <v>46246</v>
      </c>
      <c r="D375" s="10" t="s">
        <v>694</v>
      </c>
      <c r="E375" s="10" t="s">
        <v>63</v>
      </c>
      <c r="F375" s="46" t="s">
        <v>714</v>
      </c>
      <c r="G375" s="14" t="s">
        <v>49</v>
      </c>
      <c r="H375" s="10" t="s">
        <v>50</v>
      </c>
      <c r="I375" s="15" t="n">
        <v>17</v>
      </c>
      <c r="J375" s="10" t="s">
        <v>77</v>
      </c>
      <c r="K375" s="15" t="n">
        <v>112</v>
      </c>
      <c r="L375" s="11" t="n">
        <v>1904</v>
      </c>
      <c r="M375" s="11" t="n">
        <v>0</v>
      </c>
      <c r="N375" s="10" t="s">
        <v>64</v>
      </c>
      <c r="O375" s="10"/>
      <c r="P375" s="10"/>
      <c r="Q375" s="16" t="n">
        <v>0</v>
      </c>
      <c r="R375" s="10"/>
      <c r="S375" s="10"/>
      <c r="T375" s="10" t="n">
        <v>0</v>
      </c>
      <c r="U375" s="11" t="n">
        <f aca="false">IF(E375="TRANSPORT",IF(T375="","",T375*5),IF(AL375="","",AL375))</f>
        <v>0</v>
      </c>
      <c r="V375" s="10" t="s">
        <v>54</v>
      </c>
      <c r="W375" s="15" t="s">
        <v>715</v>
      </c>
      <c r="X375" s="15" t="s">
        <v>54</v>
      </c>
      <c r="Y375" s="17" t="n">
        <v>46254.6380208333</v>
      </c>
      <c r="Z375" s="18" t="n">
        <f aca="false">IF(I375="",0,IF(ISNUMBER(SEARCH("mp",LOWER(J375))),I375,IF(ISNUMBER(SEARCH("ton",LOWER(J375))),I375/0.33,IF(ISNUMBER(SEARCH("m3",LOWER(J375))),I375*4,I375))))</f>
        <v>68</v>
      </c>
      <c r="AA375" s="18" t="n">
        <f aca="false">IF(I375="",0,IF(ISNUMBER(SEARCH("mp",LOWER(J375))),I375*0.33,IF(ISNUMBER(SEARCH("ton",LOWER(J375))),I375,I375*0.33)))</f>
        <v>5.61</v>
      </c>
      <c r="AB375" s="18" t="n">
        <f aca="false">Tabela_dane[[#This Row],[Wolumen_t]]*8.5</f>
        <v>47.685</v>
      </c>
      <c r="AC375" s="18" t="n">
        <f aca="false">IF(G375&lt;&gt;"TAK",0,IF(OR(E375="ZAKUP",E375="PRODUKCJA"),Z375,IF(OR(E375="SPRZEDAŻ",E375="ZUŻYCIE"),-Z375,0)))</f>
        <v>68</v>
      </c>
      <c r="AD375" s="18" t="n">
        <f aca="false">IF(G375&lt;&gt;"TAK",0,IF(OR(E375="ZAKUP",E375="PRODUKCJA"),AA375,IF(OR(E375="SPRZEDAŻ",E375="ZUŻYCIE"),-AA375,0)))</f>
        <v>5.61</v>
      </c>
      <c r="AE375" s="19" t="n">
        <f aca="false">IF(E375="ZAKUP",IF(L375&lt;&gt;"",L375,IF(K375&lt;&gt;"",Z375*K375,0)),0)</f>
        <v>1904</v>
      </c>
      <c r="AF375" s="19" t="n">
        <f aca="false">IF(E375="SPRZEDAŻ",IF(M375&lt;&gt;"",Z375*M375,0),0)</f>
        <v>0</v>
      </c>
      <c r="AG375" s="19" t="str">
        <f aca="false">IF(R375="","",IF(LOWER(R375)="brak","Brak",IF(OR(ISNUMBER(SEARCH("ric pl",LOWER(R375))),ISNUMBER(SEARCH("wojciechowski",LOWER(R375)))),"Własny","Zewnętrzny")))</f>
        <v/>
      </c>
      <c r="AH375" s="19" t="n">
        <f aca="false">Z375*Q375</f>
        <v>0</v>
      </c>
      <c r="AI375" s="19" t="str">
        <f aca="false">UPPER(TEXT(C375,"mmmm"))</f>
        <v>AUGUST</v>
      </c>
      <c r="AJ375" s="19" t="str">
        <f aca="false">IF(C375="","",TEXT(C375,"rrrr"))</f>
        <v>CE5786CE5786</v>
      </c>
      <c r="AK375" s="10"/>
      <c r="AL375" s="11" t="n">
        <v>0</v>
      </c>
      <c r="AM375" s="10" t="s">
        <v>716</v>
      </c>
      <c r="AN375" s="10" t="s">
        <v>59</v>
      </c>
      <c r="AO375" s="10"/>
      <c r="AP375" s="10"/>
      <c r="AQ375" s="10"/>
      <c r="AR375" s="10" t="s">
        <v>66</v>
      </c>
      <c r="AS375" s="10"/>
      <c r="AT375" s="15" t="n">
        <v>1</v>
      </c>
    </row>
    <row r="376" customFormat="false" ht="28.5" hidden="false" customHeight="true" outlineLevel="0" collapsed="false">
      <c r="A376" s="12" t="n">
        <v>46246</v>
      </c>
      <c r="B376" s="12"/>
      <c r="C376" s="12" t="n">
        <v>46246</v>
      </c>
      <c r="D376" s="10" t="s">
        <v>54</v>
      </c>
      <c r="E376" s="10" t="s">
        <v>47</v>
      </c>
      <c r="F376" s="13" t="s">
        <v>717</v>
      </c>
      <c r="G376" s="14" t="s">
        <v>49</v>
      </c>
      <c r="H376" s="10" t="s">
        <v>50</v>
      </c>
      <c r="I376" s="15" t="n">
        <v>68</v>
      </c>
      <c r="J376" s="10" t="s">
        <v>51</v>
      </c>
      <c r="K376" s="15" t="n">
        <v>0</v>
      </c>
      <c r="L376" s="11" t="n">
        <v>0</v>
      </c>
      <c r="M376" s="11" t="n">
        <v>0</v>
      </c>
      <c r="N376" s="10" t="s">
        <v>52</v>
      </c>
      <c r="O376" s="10" t="s">
        <v>67</v>
      </c>
      <c r="P376" s="10" t="s">
        <v>53</v>
      </c>
      <c r="Q376" s="16" t="n">
        <v>10</v>
      </c>
      <c r="R376" s="10"/>
      <c r="S376" s="10"/>
      <c r="T376" s="10" t="n">
        <v>0</v>
      </c>
      <c r="U376" s="11" t="n">
        <f aca="false">IF(E376="TRANSPORT",IF(T376="","",T376*5),IF(AL376="","",AL376))</f>
        <v>0</v>
      </c>
      <c r="V376" s="10" t="s">
        <v>54</v>
      </c>
      <c r="W376" s="15" t="s">
        <v>655</v>
      </c>
      <c r="X376" s="15" t="s">
        <v>54</v>
      </c>
      <c r="Y376" s="17" t="n">
        <v>46254.6389699074</v>
      </c>
      <c r="Z376" s="18" t="n">
        <f aca="false">IF(I376="",0,IF(ISNUMBER(SEARCH("mp",LOWER(J376))),I376,IF(ISNUMBER(SEARCH("ton",LOWER(J376))),I376/0.33,IF(ISNUMBER(SEARCH("m3",LOWER(J376))),I376*4,I376))))</f>
        <v>68</v>
      </c>
      <c r="AA376" s="18" t="n">
        <f aca="false">IF(I376="",0,IF(ISNUMBER(SEARCH("mp",LOWER(J376))),I376*0.33,IF(ISNUMBER(SEARCH("ton",LOWER(J376))),I376,I376*0.33)))</f>
        <v>22.44</v>
      </c>
      <c r="AB376" s="18" t="n">
        <f aca="false">Tabela_dane[[#This Row],[Wolumen_t]]*8.5</f>
        <v>190.74</v>
      </c>
      <c r="AC376" s="18" t="n">
        <f aca="false">IF(G376&lt;&gt;"TAK",0,IF(OR(E376="ZAKUP",E376="PRODUKCJA"),Z376,IF(OR(E376="SPRZEDAŻ",E376="ZUŻYCIE"),-Z376,0)))</f>
        <v>68</v>
      </c>
      <c r="AD376" s="18" t="n">
        <f aca="false">IF(G376&lt;&gt;"TAK",0,IF(OR(E376="ZAKUP",E376="PRODUKCJA"),AA376,IF(OR(E376="SPRZEDAŻ",E376="ZUŻYCIE"),-AA376,0)))</f>
        <v>22.44</v>
      </c>
      <c r="AE376" s="19" t="n">
        <f aca="false">IF(E376="ZAKUP",IF(L376&lt;&gt;"",L376,IF(K376&lt;&gt;"",Z376*K376,0)),0)</f>
        <v>0</v>
      </c>
      <c r="AF376" s="19" t="n">
        <f aca="false">IF(E376="SPRZEDAŻ",IF(M376&lt;&gt;"",Z376*M376,0),0)</f>
        <v>0</v>
      </c>
      <c r="AG376" s="19" t="str">
        <f aca="false">IF(R376="","",IF(LOWER(R376)="brak","Brak",IF(OR(ISNUMBER(SEARCH("ric pl",LOWER(R376))),ISNUMBER(SEARCH("wojciechowski",LOWER(R376)))),"Własny","Zewnętrzny")))</f>
        <v/>
      </c>
      <c r="AH376" s="19" t="n">
        <f aca="false">Z376*Q376</f>
        <v>680</v>
      </c>
      <c r="AI376" s="19" t="str">
        <f aca="false">UPPER(TEXT(C376,"mmmm"))</f>
        <v>AUGUST</v>
      </c>
      <c r="AJ376" s="19" t="str">
        <f aca="false">IF(C376="","",TEXT(C376,"rrrr"))</f>
        <v>CE5786CE5786</v>
      </c>
      <c r="AK376" s="10"/>
      <c r="AL376" s="11" t="n">
        <v>0</v>
      </c>
      <c r="AM376" s="10" t="s">
        <v>718</v>
      </c>
      <c r="AN376" s="10" t="s">
        <v>59</v>
      </c>
      <c r="AO376" s="10"/>
      <c r="AP376" s="10"/>
      <c r="AQ376" s="10"/>
      <c r="AR376" s="10" t="s">
        <v>66</v>
      </c>
      <c r="AS376" s="10"/>
      <c r="AT376" s="15" t="n">
        <v>1</v>
      </c>
    </row>
    <row r="377" customFormat="false" ht="28.5" hidden="false" customHeight="true" outlineLevel="0" collapsed="false">
      <c r="A377" s="12" t="n">
        <v>46246</v>
      </c>
      <c r="B377" s="12"/>
      <c r="C377" s="12" t="n">
        <v>46246</v>
      </c>
      <c r="D377" s="10" t="s">
        <v>54</v>
      </c>
      <c r="E377" s="10" t="s">
        <v>79</v>
      </c>
      <c r="F377" s="13" t="s">
        <v>717</v>
      </c>
      <c r="G377" s="14" t="s">
        <v>49</v>
      </c>
      <c r="H377" s="10" t="s">
        <v>50</v>
      </c>
      <c r="I377" s="15" t="n">
        <v>68</v>
      </c>
      <c r="J377" s="10" t="s">
        <v>51</v>
      </c>
      <c r="K377" s="15" t="n">
        <v>0</v>
      </c>
      <c r="L377" s="11" t="n">
        <v>0</v>
      </c>
      <c r="M377" s="11" t="n">
        <v>0</v>
      </c>
      <c r="N377" s="10" t="s">
        <v>52</v>
      </c>
      <c r="O377" s="10" t="s">
        <v>67</v>
      </c>
      <c r="P377" s="10" t="s">
        <v>53</v>
      </c>
      <c r="Q377" s="16" t="n">
        <v>10</v>
      </c>
      <c r="R377" s="10"/>
      <c r="S377" s="10"/>
      <c r="T377" s="10" t="n">
        <v>0</v>
      </c>
      <c r="U377" s="11" t="n">
        <f aca="false">IF(E377="TRANSPORT",IF(T377="","",T377*5),IF(AL377="","",AL377))</f>
        <v>0</v>
      </c>
      <c r="V377" s="10" t="s">
        <v>54</v>
      </c>
      <c r="W377" s="15" t="s">
        <v>260</v>
      </c>
      <c r="X377" s="15" t="s">
        <v>54</v>
      </c>
      <c r="Y377" s="17" t="n">
        <v>46254.6389699074</v>
      </c>
      <c r="Z377" s="18" t="n">
        <f aca="false">IF(I377="",0,IF(ISNUMBER(SEARCH("mp",LOWER(J377))),I377,IF(ISNUMBER(SEARCH("ton",LOWER(J377))),I377/0.33,IF(ISNUMBER(SEARCH("m3",LOWER(J377))),I377*4,I377))))</f>
        <v>68</v>
      </c>
      <c r="AA377" s="18" t="n">
        <f aca="false">IF(I377="",0,IF(ISNUMBER(SEARCH("mp",LOWER(J377))),I377*0.33,IF(ISNUMBER(SEARCH("ton",LOWER(J377))),I377,I377*0.33)))</f>
        <v>22.44</v>
      </c>
      <c r="AB377" s="18" t="n">
        <f aca="false">Tabela_dane[[#This Row],[Wolumen_t]]*8.5</f>
        <v>190.74</v>
      </c>
      <c r="AC377" s="18" t="n">
        <f aca="false">IF(G377&lt;&gt;"TAK",0,IF(OR(E377="ZAKUP",E377="PRODUKCJA"),Z377,IF(OR(E377="SPRZEDAŻ",E377="ZUŻYCIE"),-Z377,0)))</f>
        <v>-68</v>
      </c>
      <c r="AD377" s="18" t="n">
        <f aca="false">IF(G377&lt;&gt;"TAK",0,IF(OR(E377="ZAKUP",E377="PRODUKCJA"),AA377,IF(OR(E377="SPRZEDAŻ",E377="ZUŻYCIE"),-AA377,0)))</f>
        <v>-22.44</v>
      </c>
      <c r="AE377" s="19" t="n">
        <f aca="false">IF(E377="ZAKUP",IF(L377&lt;&gt;"",L377,IF(K377&lt;&gt;"",Z377*K377,0)),0)</f>
        <v>0</v>
      </c>
      <c r="AF377" s="19" t="n">
        <f aca="false">IF(E377="SPRZEDAŻ",IF(M377&lt;&gt;"",Z377*M377,0),0)</f>
        <v>0</v>
      </c>
      <c r="AG377" s="19" t="str">
        <f aca="false">IF(R377="","",IF(LOWER(R377)="brak","Brak",IF(OR(ISNUMBER(SEARCH("ric pl",LOWER(R377))),ISNUMBER(SEARCH("wojciechowski",LOWER(R377)))),"Własny","Zewnętrzny")))</f>
        <v/>
      </c>
      <c r="AH377" s="19" t="n">
        <f aca="false">Z377*Q377</f>
        <v>680</v>
      </c>
      <c r="AI377" s="19" t="str">
        <f aca="false">UPPER(TEXT(C377,"mmmm"))</f>
        <v>AUGUST</v>
      </c>
      <c r="AJ377" s="19" t="str">
        <f aca="false">IF(C377="","",TEXT(C377,"rrrr"))</f>
        <v>CE5786CE5786</v>
      </c>
      <c r="AK377" s="10"/>
      <c r="AL377" s="11" t="n">
        <v>0</v>
      </c>
      <c r="AM377" s="10" t="s">
        <v>718</v>
      </c>
      <c r="AN377" s="10" t="s">
        <v>59</v>
      </c>
      <c r="AO377" s="10"/>
      <c r="AP377" s="10"/>
      <c r="AQ377" s="10"/>
      <c r="AR377" s="10" t="s">
        <v>81</v>
      </c>
      <c r="AS377" s="10"/>
      <c r="AT377" s="15" t="n">
        <v>1</v>
      </c>
    </row>
    <row r="378" customFormat="false" ht="28.5" hidden="false" customHeight="true" outlineLevel="0" collapsed="false">
      <c r="A378" s="12" t="n">
        <v>46246</v>
      </c>
      <c r="B378" s="12" t="s">
        <v>700</v>
      </c>
      <c r="C378" s="12" t="n">
        <v>46246</v>
      </c>
      <c r="D378" s="10" t="s">
        <v>54</v>
      </c>
      <c r="E378" s="10" t="s">
        <v>63</v>
      </c>
      <c r="F378" s="13" t="s">
        <v>717</v>
      </c>
      <c r="G378" s="14" t="s">
        <v>49</v>
      </c>
      <c r="H378" s="10" t="s">
        <v>50</v>
      </c>
      <c r="I378" s="15" t="n">
        <v>68</v>
      </c>
      <c r="J378" s="10" t="s">
        <v>51</v>
      </c>
      <c r="K378" s="15" t="n">
        <v>0</v>
      </c>
      <c r="L378" s="11" t="n">
        <v>0</v>
      </c>
      <c r="M378" s="11" t="n">
        <v>0</v>
      </c>
      <c r="N378" s="10" t="s">
        <v>52</v>
      </c>
      <c r="O378" s="10" t="s">
        <v>67</v>
      </c>
      <c r="P378" s="10"/>
      <c r="Q378" s="16" t="n">
        <v>0</v>
      </c>
      <c r="R378" s="10" t="s">
        <v>68</v>
      </c>
      <c r="S378" s="10" t="s">
        <v>69</v>
      </c>
      <c r="T378" s="10" t="n">
        <v>62</v>
      </c>
      <c r="U378" s="11" t="n">
        <f aca="false">IF(E378="TRANSPORT",IF(T378="","",T378*5),IF(AL378="","",AL378))</f>
        <v>310</v>
      </c>
      <c r="V378" s="10" t="s">
        <v>54</v>
      </c>
      <c r="W378" s="15" t="s">
        <v>629</v>
      </c>
      <c r="X378" s="15"/>
      <c r="Y378" s="17" t="n">
        <v>46254.6403125</v>
      </c>
      <c r="Z378" s="18" t="n">
        <f aca="false">IF(I378="",0,IF(ISNUMBER(SEARCH("mp",LOWER(J378))),I378,IF(ISNUMBER(SEARCH("ton",LOWER(J378))),I378/0.33,IF(ISNUMBER(SEARCH("m3",LOWER(J378))),I378*4,I378))))</f>
        <v>68</v>
      </c>
      <c r="AA378" s="18" t="n">
        <f aca="false">IF(I378="",0,IF(ISNUMBER(SEARCH("mp",LOWER(J378))),I378*0.33,IF(ISNUMBER(SEARCH("ton",LOWER(J378))),I378,I378*0.33)))</f>
        <v>22.44</v>
      </c>
      <c r="AB378" s="18" t="n">
        <f aca="false">Tabela_dane[[#This Row],[Wolumen_t]]*8.5</f>
        <v>190.74</v>
      </c>
      <c r="AC378" s="18" t="n">
        <f aca="false">IF(G378&lt;&gt;"TAK",0,IF(OR(E378="ZAKUP",E378="PRODUKCJA"),Z378,IF(OR(E378="SPRZEDAŻ",E378="ZUŻYCIE"),-Z378,0)))</f>
        <v>68</v>
      </c>
      <c r="AD378" s="18" t="n">
        <f aca="false">IF(G378&lt;&gt;"TAK",0,IF(OR(E378="ZAKUP",E378="PRODUKCJA"),AA378,IF(OR(E378="SPRZEDAŻ",E378="ZUŻYCIE"),-AA378,0)))</f>
        <v>22.44</v>
      </c>
      <c r="AE378" s="19" t="n">
        <f aca="false">IF(E378="ZAKUP",IF(L378&lt;&gt;"",L378,IF(K378&lt;&gt;"",Z378*K378,0)),0)</f>
        <v>0</v>
      </c>
      <c r="AF378" s="19" t="n">
        <f aca="false">IF(E378="SPRZEDAŻ",IF(M378&lt;&gt;"",Z378*M378,0),0)</f>
        <v>0</v>
      </c>
      <c r="AG378" s="19" t="str">
        <f aca="false">IF(R378="","",IF(LOWER(R378)="brak","Brak",IF(OR(ISNUMBER(SEARCH("ric pl",LOWER(R378))),ISNUMBER(SEARCH("wojciechowski",LOWER(R378)))),"Własny","Zewnętrzny")))</f>
        <v>Zewnętrzny</v>
      </c>
      <c r="AH378" s="19" t="n">
        <f aca="false">Z378*Q378</f>
        <v>0</v>
      </c>
      <c r="AI378" s="19" t="str">
        <f aca="false">UPPER(TEXT(C378,"mmmm"))</f>
        <v>AUGUST</v>
      </c>
      <c r="AJ378" s="19" t="str">
        <f aca="false">IF(C378="","",TEXT(C378,"rrrr"))</f>
        <v>CE5786CE5786</v>
      </c>
      <c r="AK378" s="10"/>
      <c r="AL378" s="11" t="n">
        <v>310</v>
      </c>
      <c r="AM378" s="10" t="s">
        <v>719</v>
      </c>
      <c r="AN378" s="10" t="s">
        <v>49</v>
      </c>
      <c r="AO378" s="10"/>
      <c r="AP378" s="10"/>
      <c r="AQ378" s="10"/>
      <c r="AR378" s="10" t="s">
        <v>66</v>
      </c>
      <c r="AS378" s="10"/>
      <c r="AT378" s="15" t="n">
        <v>1</v>
      </c>
    </row>
    <row r="379" customFormat="false" ht="28.5" hidden="false" customHeight="true" outlineLevel="0" collapsed="false">
      <c r="A379" s="12" t="n">
        <v>46246</v>
      </c>
      <c r="B379" s="12"/>
      <c r="C379" s="12" t="n">
        <v>46246</v>
      </c>
      <c r="D379" s="10" t="s">
        <v>46</v>
      </c>
      <c r="E379" s="10" t="s">
        <v>63</v>
      </c>
      <c r="F379" s="20" t="s">
        <v>720</v>
      </c>
      <c r="G379" s="14" t="s">
        <v>49</v>
      </c>
      <c r="H379" s="10" t="s">
        <v>76</v>
      </c>
      <c r="I379" s="15" t="n">
        <v>30</v>
      </c>
      <c r="J379" s="10" t="s">
        <v>77</v>
      </c>
      <c r="K379" s="15" t="n">
        <v>230</v>
      </c>
      <c r="L379" s="11" t="n">
        <v>6900</v>
      </c>
      <c r="M379" s="11" t="n">
        <v>0</v>
      </c>
      <c r="N379" s="10" t="s">
        <v>64</v>
      </c>
      <c r="O379" s="10"/>
      <c r="P379" s="10"/>
      <c r="Q379" s="16" t="n">
        <v>0</v>
      </c>
      <c r="R379" s="10"/>
      <c r="S379" s="10"/>
      <c r="T379" s="10" t="n">
        <v>0</v>
      </c>
      <c r="U379" s="11" t="n">
        <f aca="false">IF(E379="TRANSPORT",IF(T379="","",T379*5),IF(AL379="","",AL379))</f>
        <v>0</v>
      </c>
      <c r="V379" s="10" t="s">
        <v>54</v>
      </c>
      <c r="W379" s="15" t="s">
        <v>242</v>
      </c>
      <c r="X379" s="15"/>
      <c r="Y379" s="17" t="n">
        <v>46249.8758217593</v>
      </c>
      <c r="Z379" s="18" t="n">
        <f aca="false">IF(I379="",0,IF(ISNUMBER(SEARCH("mp",LOWER(J379))),I379,IF(ISNUMBER(SEARCH("ton",LOWER(J379))),I379/0.33,IF(ISNUMBER(SEARCH("m3",LOWER(J379))),I379*4,I379))))</f>
        <v>120</v>
      </c>
      <c r="AA379" s="18" t="n">
        <f aca="false">IF(I379="",0,IF(ISNUMBER(SEARCH("mp",LOWER(J379))),I379*0.33,IF(ISNUMBER(SEARCH("ton",LOWER(J379))),I379,I379*0.33)))</f>
        <v>9.9</v>
      </c>
      <c r="AB379" s="18" t="n">
        <f aca="false">Tabela_dane[[#This Row],[Wolumen_t]]*8.5</f>
        <v>84.15</v>
      </c>
      <c r="AC379" s="18" t="n">
        <f aca="false">IF(G379&lt;&gt;"TAK",0,IF(OR(E379="ZAKUP",E379="PRODUKCJA"),Z379,IF(OR(E379="SPRZEDAŻ",E379="ZUŻYCIE"),-Z379,0)))</f>
        <v>120</v>
      </c>
      <c r="AD379" s="18" t="n">
        <f aca="false">IF(G379&lt;&gt;"TAK",0,IF(OR(E379="ZAKUP",E379="PRODUKCJA"),AA379,IF(OR(E379="SPRZEDAŻ",E379="ZUŻYCIE"),-AA379,0)))</f>
        <v>9.9</v>
      </c>
      <c r="AE379" s="19" t="n">
        <f aca="false">IF(E379="ZAKUP",IF(L379&lt;&gt;"",L379,IF(K379&lt;&gt;"",Z379*K379,0)),0)</f>
        <v>6900</v>
      </c>
      <c r="AF379" s="19" t="n">
        <f aca="false">IF(E379="SPRZEDAŻ",IF(M379&lt;&gt;"",Z379*M379,0),0)</f>
        <v>0</v>
      </c>
      <c r="AG379" s="19" t="str">
        <f aca="false">IF(R379="","",IF(LOWER(R379)="brak","Brak",IF(OR(ISNUMBER(SEARCH("ric pl",LOWER(R379))),ISNUMBER(SEARCH("wojciechowski",LOWER(R379)))),"Własny","Zewnętrzny")))</f>
        <v/>
      </c>
      <c r="AH379" s="19" t="n">
        <f aca="false">Z379*Q379</f>
        <v>0</v>
      </c>
      <c r="AI379" s="19" t="str">
        <f aca="false">UPPER(TEXT(C379,"mmmm"))</f>
        <v>AUGUST</v>
      </c>
      <c r="AJ379" s="19" t="str">
        <f aca="false">IF(C379="","",TEXT(C379,"rrrr"))</f>
        <v>CE5786CE5786</v>
      </c>
      <c r="AK379" s="10"/>
      <c r="AL379" s="11" t="n">
        <v>0</v>
      </c>
      <c r="AM379" s="10" t="s">
        <v>721</v>
      </c>
      <c r="AN379" s="10" t="s">
        <v>59</v>
      </c>
      <c r="AO379" s="10"/>
      <c r="AP379" s="10"/>
      <c r="AQ379" s="10"/>
      <c r="AR379" s="10" t="s">
        <v>66</v>
      </c>
      <c r="AS379" s="10"/>
      <c r="AT379" s="15" t="n">
        <v>1</v>
      </c>
    </row>
    <row r="380" customFormat="false" ht="28.5" hidden="false" customHeight="true" outlineLevel="0" collapsed="false">
      <c r="A380" s="12" t="n">
        <v>46246</v>
      </c>
      <c r="B380" s="12"/>
      <c r="C380" s="12" t="n">
        <v>46246</v>
      </c>
      <c r="D380" s="10" t="s">
        <v>46</v>
      </c>
      <c r="E380" s="10" t="s">
        <v>63</v>
      </c>
      <c r="F380" s="20" t="s">
        <v>722</v>
      </c>
      <c r="G380" s="14" t="s">
        <v>49</v>
      </c>
      <c r="H380" s="10" t="s">
        <v>76</v>
      </c>
      <c r="I380" s="15" t="n">
        <v>23.17</v>
      </c>
      <c r="J380" s="10" t="s">
        <v>77</v>
      </c>
      <c r="K380" s="15" t="n">
        <v>230</v>
      </c>
      <c r="L380" s="11" t="n">
        <v>5329.1</v>
      </c>
      <c r="M380" s="11" t="n">
        <v>0</v>
      </c>
      <c r="N380" s="10" t="s">
        <v>64</v>
      </c>
      <c r="O380" s="10"/>
      <c r="P380" s="10"/>
      <c r="Q380" s="16" t="n">
        <v>0</v>
      </c>
      <c r="R380" s="10"/>
      <c r="S380" s="10"/>
      <c r="T380" s="10" t="n">
        <v>0</v>
      </c>
      <c r="U380" s="11" t="n">
        <f aca="false">IF(E380="TRANSPORT",IF(T380="","",T380*5),IF(AL380="","",AL380))</f>
        <v>0</v>
      </c>
      <c r="V380" s="10" t="s">
        <v>54</v>
      </c>
      <c r="W380" s="15" t="s">
        <v>302</v>
      </c>
      <c r="X380" s="15"/>
      <c r="Y380" s="17" t="n">
        <v>46249.8782291667</v>
      </c>
      <c r="Z380" s="18" t="n">
        <f aca="false">IF(I380="",0,IF(ISNUMBER(SEARCH("mp",LOWER(J380))),I380,IF(ISNUMBER(SEARCH("ton",LOWER(J380))),I380/0.33,IF(ISNUMBER(SEARCH("m3",LOWER(J380))),I380*4,I380))))</f>
        <v>92.68</v>
      </c>
      <c r="AA380" s="18" t="n">
        <f aca="false">IF(I380="",0,IF(ISNUMBER(SEARCH("mp",LOWER(J380))),I380*0.33,IF(ISNUMBER(SEARCH("ton",LOWER(J380))),I380,I380*0.33)))</f>
        <v>7.6461</v>
      </c>
      <c r="AB380" s="18" t="n">
        <f aca="false">Tabela_dane[[#This Row],[Wolumen_t]]*8.5</f>
        <v>64.99185</v>
      </c>
      <c r="AC380" s="18" t="n">
        <f aca="false">IF(G380&lt;&gt;"TAK",0,IF(OR(E380="ZAKUP",E380="PRODUKCJA"),Z380,IF(OR(E380="SPRZEDAŻ",E380="ZUŻYCIE"),-Z380,0)))</f>
        <v>92.68</v>
      </c>
      <c r="AD380" s="18" t="n">
        <f aca="false">IF(G380&lt;&gt;"TAK",0,IF(OR(E380="ZAKUP",E380="PRODUKCJA"),AA380,IF(OR(E380="SPRZEDAŻ",E380="ZUŻYCIE"),-AA380,0)))</f>
        <v>7.6461</v>
      </c>
      <c r="AE380" s="19" t="n">
        <f aca="false">IF(E380="ZAKUP",IF(L380&lt;&gt;"",L380,IF(K380&lt;&gt;"",Z380*K380,0)),0)</f>
        <v>5329.1</v>
      </c>
      <c r="AF380" s="19" t="n">
        <f aca="false">IF(E380="SPRZEDAŻ",IF(M380&lt;&gt;"",Z380*M380,0),0)</f>
        <v>0</v>
      </c>
      <c r="AG380" s="19" t="str">
        <f aca="false">IF(R380="","",IF(LOWER(R380)="brak","Brak",IF(OR(ISNUMBER(SEARCH("ric pl",LOWER(R380))),ISNUMBER(SEARCH("wojciechowski",LOWER(R380)))),"Własny","Zewnętrzny")))</f>
        <v/>
      </c>
      <c r="AH380" s="19" t="n">
        <f aca="false">Z380*Q380</f>
        <v>0</v>
      </c>
      <c r="AI380" s="19" t="str">
        <f aca="false">UPPER(TEXT(C380,"mmmm"))</f>
        <v>AUGUST</v>
      </c>
      <c r="AJ380" s="19" t="str">
        <f aca="false">IF(C380="","",TEXT(C380,"rrrr"))</f>
        <v>CE5786CE5786</v>
      </c>
      <c r="AK380" s="10"/>
      <c r="AL380" s="11" t="n">
        <v>0</v>
      </c>
      <c r="AM380" s="10" t="s">
        <v>723</v>
      </c>
      <c r="AN380" s="10" t="s">
        <v>59</v>
      </c>
      <c r="AO380" s="10"/>
      <c r="AP380" s="10"/>
      <c r="AQ380" s="10"/>
      <c r="AR380" s="10" t="s">
        <v>66</v>
      </c>
      <c r="AS380" s="10"/>
      <c r="AT380" s="15" t="n">
        <v>1</v>
      </c>
    </row>
    <row r="381" customFormat="false" ht="28.5" hidden="false" customHeight="true" outlineLevel="0" collapsed="false">
      <c r="A381" s="12" t="n">
        <v>46246</v>
      </c>
      <c r="B381" s="12"/>
      <c r="C381" s="12" t="n">
        <v>46246</v>
      </c>
      <c r="D381" s="10" t="s">
        <v>46</v>
      </c>
      <c r="E381" s="10" t="s">
        <v>63</v>
      </c>
      <c r="F381" s="20" t="s">
        <v>724</v>
      </c>
      <c r="G381" s="14" t="s">
        <v>49</v>
      </c>
      <c r="H381" s="10" t="s">
        <v>76</v>
      </c>
      <c r="I381" s="15" t="n">
        <v>28.06</v>
      </c>
      <c r="J381" s="10" t="s">
        <v>77</v>
      </c>
      <c r="K381" s="15" t="n">
        <v>230</v>
      </c>
      <c r="L381" s="11" t="n">
        <v>6453.8</v>
      </c>
      <c r="M381" s="11" t="n">
        <v>0</v>
      </c>
      <c r="N381" s="10" t="s">
        <v>64</v>
      </c>
      <c r="O381" s="10"/>
      <c r="P381" s="10"/>
      <c r="Q381" s="16" t="n">
        <v>0</v>
      </c>
      <c r="R381" s="10"/>
      <c r="S381" s="10"/>
      <c r="T381" s="10" t="n">
        <v>0</v>
      </c>
      <c r="U381" s="11" t="n">
        <f aca="false">IF(E381="TRANSPORT",IF(T381="","",T381*5),IF(AL381="","",AL381))</f>
        <v>0</v>
      </c>
      <c r="V381" s="10" t="s">
        <v>54</v>
      </c>
      <c r="W381" s="15" t="s">
        <v>242</v>
      </c>
      <c r="X381" s="15"/>
      <c r="Y381" s="17" t="n">
        <v>46249.884375</v>
      </c>
      <c r="Z381" s="18" t="n">
        <f aca="false">IF(I381="",0,IF(ISNUMBER(SEARCH("mp",LOWER(J381))),I381,IF(ISNUMBER(SEARCH("ton",LOWER(J381))),I381/0.33,IF(ISNUMBER(SEARCH("m3",LOWER(J381))),I381*4,I381))))</f>
        <v>112.24</v>
      </c>
      <c r="AA381" s="18" t="n">
        <f aca="false">IF(I381="",0,IF(ISNUMBER(SEARCH("mp",LOWER(J381))),I381*0.33,IF(ISNUMBER(SEARCH("ton",LOWER(J381))),I381,I381*0.33)))</f>
        <v>9.2598</v>
      </c>
      <c r="AB381" s="18" t="n">
        <f aca="false">Tabela_dane[[#This Row],[Wolumen_t]]*8.5</f>
        <v>78.7083</v>
      </c>
      <c r="AC381" s="18" t="n">
        <f aca="false">IF(G381&lt;&gt;"TAK",0,IF(OR(E381="ZAKUP",E381="PRODUKCJA"),Z381,IF(OR(E381="SPRZEDAŻ",E381="ZUŻYCIE"),-Z381,0)))</f>
        <v>112.24</v>
      </c>
      <c r="AD381" s="18" t="n">
        <f aca="false">IF(G381&lt;&gt;"TAK",0,IF(OR(E381="ZAKUP",E381="PRODUKCJA"),AA381,IF(OR(E381="SPRZEDAŻ",E381="ZUŻYCIE"),-AA381,0)))</f>
        <v>9.2598</v>
      </c>
      <c r="AE381" s="19" t="n">
        <f aca="false">IF(E381="ZAKUP",IF(L381&lt;&gt;"",L381,IF(K381&lt;&gt;"",Z381*K381,0)),0)</f>
        <v>6453.8</v>
      </c>
      <c r="AF381" s="19" t="n">
        <f aca="false">IF(E381="SPRZEDAŻ",IF(M381&lt;&gt;"",Z381*M381,0),0)</f>
        <v>0</v>
      </c>
      <c r="AG381" s="19" t="str">
        <f aca="false">IF(R381="","",IF(LOWER(R381)="brak","Brak",IF(OR(ISNUMBER(SEARCH("ric pl",LOWER(R381))),ISNUMBER(SEARCH("wojciechowski",LOWER(R381)))),"Własny","Zewnętrzny")))</f>
        <v/>
      </c>
      <c r="AH381" s="19" t="n">
        <f aca="false">Z381*Q381</f>
        <v>0</v>
      </c>
      <c r="AI381" s="19" t="str">
        <f aca="false">UPPER(TEXT(C381,"mmmm"))</f>
        <v>AUGUST</v>
      </c>
      <c r="AJ381" s="19" t="str">
        <f aca="false">IF(C381="","",TEXT(C381,"rrrr"))</f>
        <v>CE5786CE5786</v>
      </c>
      <c r="AK381" s="10"/>
      <c r="AL381" s="11" t="n">
        <v>0</v>
      </c>
      <c r="AM381" s="10" t="s">
        <v>725</v>
      </c>
      <c r="AN381" s="10" t="s">
        <v>59</v>
      </c>
      <c r="AO381" s="10"/>
      <c r="AP381" s="10"/>
      <c r="AQ381" s="10"/>
      <c r="AR381" s="10" t="s">
        <v>66</v>
      </c>
      <c r="AS381" s="10"/>
      <c r="AT381" s="15" t="n">
        <v>1</v>
      </c>
    </row>
    <row r="382" customFormat="false" ht="28.5" hidden="false" customHeight="true" outlineLevel="0" collapsed="false">
      <c r="A382" s="12" t="n">
        <v>46247</v>
      </c>
      <c r="B382" s="12"/>
      <c r="C382" s="12" t="n">
        <v>46247</v>
      </c>
      <c r="D382" s="10" t="s">
        <v>124</v>
      </c>
      <c r="E382" s="10" t="s">
        <v>63</v>
      </c>
      <c r="F382" s="13" t="s">
        <v>726</v>
      </c>
      <c r="G382" s="14" t="s">
        <v>49</v>
      </c>
      <c r="H382" s="10" t="s">
        <v>76</v>
      </c>
      <c r="I382" s="15" t="n">
        <v>26.86</v>
      </c>
      <c r="J382" s="10" t="s">
        <v>103</v>
      </c>
      <c r="K382" s="15" t="n">
        <v>275</v>
      </c>
      <c r="L382" s="11" t="n">
        <v>7386.5</v>
      </c>
      <c r="M382" s="11" t="n">
        <v>0</v>
      </c>
      <c r="N382" s="10" t="s">
        <v>104</v>
      </c>
      <c r="O382" s="10" t="s">
        <v>67</v>
      </c>
      <c r="P382" s="10"/>
      <c r="Q382" s="16" t="n">
        <v>0</v>
      </c>
      <c r="R382" s="10"/>
      <c r="S382" s="10"/>
      <c r="T382" s="10" t="n">
        <v>0</v>
      </c>
      <c r="U382" s="11" t="n">
        <f aca="false">IF(E382="TRANSPORT",IF(T382="","",T382*5),IF(AL382="","",AL382))</f>
        <v>0</v>
      </c>
      <c r="V382" s="10" t="s">
        <v>54</v>
      </c>
      <c r="W382" s="15" t="s">
        <v>727</v>
      </c>
      <c r="X382" s="15"/>
      <c r="Y382" s="17" t="n">
        <v>46255.528125</v>
      </c>
      <c r="Z382" s="18" t="n">
        <f aca="false">IF(I382="",0,IF(ISNUMBER(SEARCH("mp",LOWER(J382))),I382,IF(ISNUMBER(SEARCH("ton",LOWER(J382))),I382/0.33,IF(ISNUMBER(SEARCH("m3",LOWER(J382))),I382*4,I382))))</f>
        <v>81.3939393939394</v>
      </c>
      <c r="AA382" s="18" t="n">
        <f aca="false">IF(I382="",0,IF(ISNUMBER(SEARCH("mp",LOWER(J382))),I382*0.33,IF(ISNUMBER(SEARCH("ton",LOWER(J382))),I382,I382*0.33)))</f>
        <v>26.86</v>
      </c>
      <c r="AB382" s="18" t="n">
        <f aca="false">Tabela_dane[[#This Row],[Wolumen_t]]*8.5</f>
        <v>228.31</v>
      </c>
      <c r="AC382" s="18" t="n">
        <f aca="false">IF(G382&lt;&gt;"TAK",0,IF(OR(E382="ZAKUP",E382="PRODUKCJA"),Z382,IF(OR(E382="SPRZEDAŻ",E382="ZUŻYCIE"),-Z382,0)))</f>
        <v>81.3939393939394</v>
      </c>
      <c r="AD382" s="18" t="n">
        <f aca="false">IF(G382&lt;&gt;"TAK",0,IF(OR(E382="ZAKUP",E382="PRODUKCJA"),AA382,IF(OR(E382="SPRZEDAŻ",E382="ZUŻYCIE"),-AA382,0)))</f>
        <v>26.86</v>
      </c>
      <c r="AE382" s="19" t="n">
        <f aca="false">IF(E382="ZAKUP",IF(L382&lt;&gt;"",L382,IF(K382&lt;&gt;"",Z382*K382,0)),0)</f>
        <v>7386.5</v>
      </c>
      <c r="AF382" s="19" t="n">
        <f aca="false">IF(E382="SPRZEDAŻ",IF(M382&lt;&gt;"",Z382*M382,0),0)</f>
        <v>0</v>
      </c>
      <c r="AG382" s="19" t="str">
        <f aca="false">IF(R382="","",IF(LOWER(R382)="brak","Brak",IF(OR(ISNUMBER(SEARCH("ric pl",LOWER(R382))),ISNUMBER(SEARCH("wojciechowski",LOWER(R382)))),"Własny","Zewnętrzny")))</f>
        <v/>
      </c>
      <c r="AH382" s="19" t="n">
        <f aca="false">Z382*Q382</f>
        <v>0</v>
      </c>
      <c r="AI382" s="19" t="str">
        <f aca="false">UPPER(TEXT(C382,"mmmm"))</f>
        <v>AUGUST</v>
      </c>
      <c r="AJ382" s="19" t="str">
        <f aca="false">IF(C382="","",TEXT(C382,"rrrr"))</f>
        <v>CE5786CE5786</v>
      </c>
      <c r="AK382" s="10"/>
      <c r="AL382" s="11" t="n">
        <v>0</v>
      </c>
      <c r="AM382" s="10" t="s">
        <v>728</v>
      </c>
      <c r="AN382" s="10" t="s">
        <v>59</v>
      </c>
      <c r="AO382" s="10"/>
      <c r="AP382" s="10"/>
      <c r="AQ382" s="10"/>
      <c r="AR382" s="10" t="s">
        <v>66</v>
      </c>
      <c r="AS382" s="10"/>
      <c r="AT382" s="15" t="n">
        <v>1</v>
      </c>
    </row>
    <row r="383" customFormat="false" ht="28.5" hidden="false" customHeight="true" outlineLevel="0" collapsed="false">
      <c r="A383" s="12" t="n">
        <v>46247</v>
      </c>
      <c r="B383" s="12"/>
      <c r="C383" s="12" t="n">
        <v>46247</v>
      </c>
      <c r="D383" s="10" t="s">
        <v>124</v>
      </c>
      <c r="E383" s="10" t="s">
        <v>63</v>
      </c>
      <c r="F383" s="13" t="s">
        <v>729</v>
      </c>
      <c r="G383" s="14" t="s">
        <v>49</v>
      </c>
      <c r="H383" s="10" t="s">
        <v>76</v>
      </c>
      <c r="I383" s="15" t="n">
        <v>23.72</v>
      </c>
      <c r="J383" s="10" t="s">
        <v>103</v>
      </c>
      <c r="K383" s="15" t="n">
        <v>275</v>
      </c>
      <c r="L383" s="11" t="n">
        <v>6523</v>
      </c>
      <c r="M383" s="11" t="n">
        <v>0</v>
      </c>
      <c r="N383" s="10" t="s">
        <v>104</v>
      </c>
      <c r="O383" s="10" t="s">
        <v>67</v>
      </c>
      <c r="P383" s="10"/>
      <c r="Q383" s="16" t="n">
        <v>0</v>
      </c>
      <c r="R383" s="10"/>
      <c r="S383" s="10"/>
      <c r="T383" s="10" t="n">
        <v>0</v>
      </c>
      <c r="U383" s="11" t="n">
        <f aca="false">IF(E383="TRANSPORT",IF(T383="","",T383*5),IF(AL383="","",AL383))</f>
        <v>0</v>
      </c>
      <c r="V383" s="10" t="s">
        <v>54</v>
      </c>
      <c r="W383" s="15" t="s">
        <v>730</v>
      </c>
      <c r="X383" s="15"/>
      <c r="Y383" s="17" t="n">
        <v>46255.5458912037</v>
      </c>
      <c r="Z383" s="18" t="n">
        <f aca="false">IF(I383="",0,IF(ISNUMBER(SEARCH("mp",LOWER(J383))),I383,IF(ISNUMBER(SEARCH("ton",LOWER(J383))),I383/0.33,IF(ISNUMBER(SEARCH("m3",LOWER(J383))),I383*4,I383))))</f>
        <v>71.8787878787879</v>
      </c>
      <c r="AA383" s="18" t="n">
        <f aca="false">IF(I383="",0,IF(ISNUMBER(SEARCH("mp",LOWER(J383))),I383*0.33,IF(ISNUMBER(SEARCH("ton",LOWER(J383))),I383,I383*0.33)))</f>
        <v>23.72</v>
      </c>
      <c r="AB383" s="18" t="n">
        <f aca="false">Tabela_dane[[#This Row],[Wolumen_t]]*8.5</f>
        <v>201.62</v>
      </c>
      <c r="AC383" s="18" t="n">
        <f aca="false">IF(G383&lt;&gt;"TAK",0,IF(OR(E383="ZAKUP",E383="PRODUKCJA"),Z383,IF(OR(E383="SPRZEDAŻ",E383="ZUŻYCIE"),-Z383,0)))</f>
        <v>71.8787878787879</v>
      </c>
      <c r="AD383" s="18" t="n">
        <f aca="false">IF(G383&lt;&gt;"TAK",0,IF(OR(E383="ZAKUP",E383="PRODUKCJA"),AA383,IF(OR(E383="SPRZEDAŻ",E383="ZUŻYCIE"),-AA383,0)))</f>
        <v>23.72</v>
      </c>
      <c r="AE383" s="19" t="n">
        <f aca="false">IF(E383="ZAKUP",IF(L383&lt;&gt;"",L383,IF(K383&lt;&gt;"",Z383*K383,0)),0)</f>
        <v>6523</v>
      </c>
      <c r="AF383" s="19" t="n">
        <f aca="false">IF(E383="SPRZEDAŻ",IF(M383&lt;&gt;"",Z383*M383,0),0)</f>
        <v>0</v>
      </c>
      <c r="AG383" s="19" t="str">
        <f aca="false">IF(R383="","",IF(LOWER(R383)="brak","Brak",IF(OR(ISNUMBER(SEARCH("ric pl",LOWER(R383))),ISNUMBER(SEARCH("wojciechowski",LOWER(R383)))),"Własny","Zewnętrzny")))</f>
        <v/>
      </c>
      <c r="AH383" s="19" t="n">
        <f aca="false">Z383*Q383</f>
        <v>0</v>
      </c>
      <c r="AI383" s="19" t="str">
        <f aca="false">UPPER(TEXT(C383,"mmmm"))</f>
        <v>AUGUST</v>
      </c>
      <c r="AJ383" s="19" t="str">
        <f aca="false">IF(C383="","",TEXT(C383,"rrrr"))</f>
        <v>CE5786CE5786</v>
      </c>
      <c r="AK383" s="10"/>
      <c r="AL383" s="11" t="n">
        <v>0</v>
      </c>
      <c r="AM383" s="10" t="s">
        <v>731</v>
      </c>
      <c r="AN383" s="10" t="s">
        <v>59</v>
      </c>
      <c r="AO383" s="10"/>
      <c r="AP383" s="10"/>
      <c r="AQ383" s="10"/>
      <c r="AR383" s="10" t="s">
        <v>66</v>
      </c>
      <c r="AS383" s="10"/>
      <c r="AT383" s="15" t="n">
        <v>1</v>
      </c>
    </row>
    <row r="384" customFormat="false" ht="28.5" hidden="false" customHeight="true" outlineLevel="0" collapsed="false">
      <c r="A384" s="12" t="n">
        <v>46248</v>
      </c>
      <c r="B384" s="12"/>
      <c r="C384" s="12" t="n">
        <v>46248</v>
      </c>
      <c r="D384" s="10" t="s">
        <v>46</v>
      </c>
      <c r="E384" s="10" t="s">
        <v>63</v>
      </c>
      <c r="F384" s="20" t="s">
        <v>732</v>
      </c>
      <c r="G384" s="14" t="s">
        <v>49</v>
      </c>
      <c r="H384" s="10" t="s">
        <v>76</v>
      </c>
      <c r="I384" s="15" t="n">
        <v>29.11</v>
      </c>
      <c r="J384" s="10" t="s">
        <v>77</v>
      </c>
      <c r="K384" s="15" t="n">
        <v>230</v>
      </c>
      <c r="L384" s="11" t="n">
        <v>6695.3</v>
      </c>
      <c r="M384" s="11" t="n">
        <v>0</v>
      </c>
      <c r="N384" s="10" t="s">
        <v>64</v>
      </c>
      <c r="O384" s="10"/>
      <c r="P384" s="10"/>
      <c r="Q384" s="16" t="n">
        <v>0</v>
      </c>
      <c r="R384" s="10"/>
      <c r="S384" s="10"/>
      <c r="T384" s="10" t="n">
        <v>0</v>
      </c>
      <c r="U384" s="11" t="n">
        <f aca="false">IF(E384="TRANSPORT",IF(T384="","",T384*5),IF(AL384="","",AL384))</f>
        <v>0</v>
      </c>
      <c r="V384" s="10" t="s">
        <v>54</v>
      </c>
      <c r="W384" s="15" t="s">
        <v>302</v>
      </c>
      <c r="X384" s="15"/>
      <c r="Y384" s="17" t="n">
        <v>46249.8828240741</v>
      </c>
      <c r="Z384" s="18" t="n">
        <f aca="false">IF(I384="",0,IF(ISNUMBER(SEARCH("mp",LOWER(J384))),I384,IF(ISNUMBER(SEARCH("ton",LOWER(J384))),I384/0.33,IF(ISNUMBER(SEARCH("m3",LOWER(J384))),I384*4,I384))))</f>
        <v>116.44</v>
      </c>
      <c r="AA384" s="18" t="n">
        <f aca="false">IF(I384="",0,IF(ISNUMBER(SEARCH("mp",LOWER(J384))),I384*0.33,IF(ISNUMBER(SEARCH("ton",LOWER(J384))),I384,I384*0.33)))</f>
        <v>9.6063</v>
      </c>
      <c r="AB384" s="18" t="n">
        <f aca="false">Tabela_dane[[#This Row],[Wolumen_t]]*8.5</f>
        <v>81.65355</v>
      </c>
      <c r="AC384" s="18" t="n">
        <f aca="false">IF(G384&lt;&gt;"TAK",0,IF(OR(E384="ZAKUP",E384="PRODUKCJA"),Z384,IF(OR(E384="SPRZEDAŻ",E384="ZUŻYCIE"),-Z384,0)))</f>
        <v>116.44</v>
      </c>
      <c r="AD384" s="18" t="n">
        <f aca="false">IF(G384&lt;&gt;"TAK",0,IF(OR(E384="ZAKUP",E384="PRODUKCJA"),AA384,IF(OR(E384="SPRZEDAŻ",E384="ZUŻYCIE"),-AA384,0)))</f>
        <v>9.6063</v>
      </c>
      <c r="AE384" s="19" t="n">
        <f aca="false">IF(E384="ZAKUP",IF(L384&lt;&gt;"",L384,IF(K384&lt;&gt;"",Z384*K384,0)),0)</f>
        <v>6695.3</v>
      </c>
      <c r="AF384" s="19" t="n">
        <f aca="false">IF(E384="SPRZEDAŻ",IF(M384&lt;&gt;"",Z384*M384,0),0)</f>
        <v>0</v>
      </c>
      <c r="AG384" s="19" t="str">
        <f aca="false">IF(R384="","",IF(LOWER(R384)="brak","Brak",IF(OR(ISNUMBER(SEARCH("ric pl",LOWER(R384))),ISNUMBER(SEARCH("wojciechowski",LOWER(R384)))),"Własny","Zewnętrzny")))</f>
        <v/>
      </c>
      <c r="AH384" s="19" t="n">
        <f aca="false">Z384*Q384</f>
        <v>0</v>
      </c>
      <c r="AI384" s="19" t="str">
        <f aca="false">UPPER(TEXT(C384,"mmmm"))</f>
        <v>AUGUST</v>
      </c>
      <c r="AJ384" s="19" t="str">
        <f aca="false">IF(C384="","",TEXT(C384,"rrrr"))</f>
        <v>CE5786CE5786</v>
      </c>
      <c r="AK384" s="10"/>
      <c r="AL384" s="11" t="n">
        <v>0</v>
      </c>
      <c r="AM384" s="10" t="s">
        <v>733</v>
      </c>
      <c r="AN384" s="10" t="s">
        <v>59</v>
      </c>
      <c r="AO384" s="10"/>
      <c r="AP384" s="10"/>
      <c r="AQ384" s="10"/>
      <c r="AR384" s="10" t="s">
        <v>66</v>
      </c>
      <c r="AS384" s="10"/>
      <c r="AT384" s="15" t="n">
        <v>1</v>
      </c>
    </row>
    <row r="385" customFormat="false" ht="28.5" hidden="false" customHeight="true" outlineLevel="0" collapsed="false">
      <c r="A385" s="12" t="n">
        <v>46248</v>
      </c>
      <c r="B385" s="12"/>
      <c r="C385" s="12" t="n">
        <v>46248</v>
      </c>
      <c r="D385" s="10" t="s">
        <v>46</v>
      </c>
      <c r="E385" s="10" t="s">
        <v>63</v>
      </c>
      <c r="F385" s="20" t="s">
        <v>734</v>
      </c>
      <c r="G385" s="14" t="s">
        <v>49</v>
      </c>
      <c r="H385" s="10" t="s">
        <v>76</v>
      </c>
      <c r="I385" s="15" t="n">
        <v>31.7</v>
      </c>
      <c r="J385" s="10" t="s">
        <v>77</v>
      </c>
      <c r="K385" s="15" t="n">
        <v>230</v>
      </c>
      <c r="L385" s="11" t="n">
        <v>7291</v>
      </c>
      <c r="M385" s="11" t="n">
        <v>0</v>
      </c>
      <c r="N385" s="10" t="s">
        <v>64</v>
      </c>
      <c r="O385" s="10"/>
      <c r="P385" s="10"/>
      <c r="Q385" s="16" t="n">
        <v>0</v>
      </c>
      <c r="R385" s="10"/>
      <c r="S385" s="10"/>
      <c r="T385" s="10" t="n">
        <v>0</v>
      </c>
      <c r="U385" s="11" t="n">
        <f aca="false">IF(E385="TRANSPORT",IF(T385="","",T385*5),IF(AL385="","",AL385))</f>
        <v>0</v>
      </c>
      <c r="V385" s="10" t="s">
        <v>54</v>
      </c>
      <c r="W385" s="15" t="s">
        <v>735</v>
      </c>
      <c r="X385" s="15"/>
      <c r="Y385" s="17" t="n">
        <v>46257.8141898148</v>
      </c>
      <c r="Z385" s="18" t="n">
        <f aca="false">IF(I385="",0,IF(ISNUMBER(SEARCH("mp",LOWER(J385))),I385,IF(ISNUMBER(SEARCH("ton",LOWER(J385))),I385/0.33,IF(ISNUMBER(SEARCH("m3",LOWER(J385))),I385*4,I385))))</f>
        <v>126.8</v>
      </c>
      <c r="AA385" s="18" t="n">
        <f aca="false">IF(I385="",0,IF(ISNUMBER(SEARCH("mp",LOWER(J385))),I385*0.33,IF(ISNUMBER(SEARCH("ton",LOWER(J385))),I385,I385*0.33)))</f>
        <v>10.461</v>
      </c>
      <c r="AB385" s="18" t="n">
        <f aca="false">Tabela_dane[[#This Row],[Wolumen_t]]*8.5</f>
        <v>88.9185</v>
      </c>
      <c r="AC385" s="18" t="n">
        <f aca="false">IF(G385&lt;&gt;"TAK",0,IF(OR(E385="ZAKUP",E385="PRODUKCJA"),Z385,IF(OR(E385="SPRZEDAŻ",E385="ZUŻYCIE"),-Z385,0)))</f>
        <v>126.8</v>
      </c>
      <c r="AD385" s="18" t="n">
        <f aca="false">IF(G385&lt;&gt;"TAK",0,IF(OR(E385="ZAKUP",E385="PRODUKCJA"),AA385,IF(OR(E385="SPRZEDAŻ",E385="ZUŻYCIE"),-AA385,0)))</f>
        <v>10.461</v>
      </c>
      <c r="AE385" s="19" t="n">
        <f aca="false">IF(E385="ZAKUP",IF(L385&lt;&gt;"",L385,IF(K385&lt;&gt;"",Z385*K385,0)),0)</f>
        <v>7291</v>
      </c>
      <c r="AF385" s="19" t="n">
        <f aca="false">IF(E385="SPRZEDAŻ",IF(M385&lt;&gt;"",Z385*M385,0),0)</f>
        <v>0</v>
      </c>
      <c r="AG385" s="19" t="str">
        <f aca="false">IF(R385="","",IF(LOWER(R385)="brak","Brak",IF(OR(ISNUMBER(SEARCH("ric pl",LOWER(R385))),ISNUMBER(SEARCH("wojciechowski",LOWER(R385)))),"Własny","Zewnętrzny")))</f>
        <v/>
      </c>
      <c r="AH385" s="19" t="n">
        <f aca="false">Z385*Q385</f>
        <v>0</v>
      </c>
      <c r="AI385" s="19" t="str">
        <f aca="false">UPPER(TEXT(C385,"mmmm"))</f>
        <v>AUGUST</v>
      </c>
      <c r="AJ385" s="19" t="str">
        <f aca="false">IF(C385="","",TEXT(C385,"rrrr"))</f>
        <v>CE5786CE5786</v>
      </c>
      <c r="AK385" s="10"/>
      <c r="AL385" s="11" t="n">
        <v>0</v>
      </c>
      <c r="AM385" s="10" t="s">
        <v>736</v>
      </c>
      <c r="AN385" s="10" t="s">
        <v>59</v>
      </c>
      <c r="AO385" s="10"/>
      <c r="AP385" s="10"/>
      <c r="AQ385" s="10"/>
      <c r="AR385" s="10" t="s">
        <v>66</v>
      </c>
      <c r="AS385" s="10"/>
      <c r="AT385" s="15" t="n">
        <v>1</v>
      </c>
    </row>
    <row r="386" customFormat="false" ht="28.5" hidden="false" customHeight="true" outlineLevel="0" collapsed="false">
      <c r="A386" s="12" t="n">
        <v>46251</v>
      </c>
      <c r="B386" s="12" t="s">
        <v>737</v>
      </c>
      <c r="C386" s="12" t="n">
        <v>46251</v>
      </c>
      <c r="D386" s="10" t="s">
        <v>641</v>
      </c>
      <c r="E386" s="10" t="s">
        <v>107</v>
      </c>
      <c r="F386" s="22" t="s">
        <v>738</v>
      </c>
      <c r="G386" s="14" t="s">
        <v>49</v>
      </c>
      <c r="H386" s="10"/>
      <c r="I386" s="15" t="n">
        <v>84</v>
      </c>
      <c r="J386" s="10" t="s">
        <v>51</v>
      </c>
      <c r="K386" s="15" t="n">
        <v>0</v>
      </c>
      <c r="L386" s="11" t="n">
        <v>0</v>
      </c>
      <c r="M386" s="11" t="n">
        <v>0</v>
      </c>
      <c r="N386" s="10" t="s">
        <v>643</v>
      </c>
      <c r="O386" s="10" t="s">
        <v>67</v>
      </c>
      <c r="P386" s="10"/>
      <c r="Q386" s="16" t="n">
        <v>0</v>
      </c>
      <c r="R386" s="10" t="s">
        <v>182</v>
      </c>
      <c r="S386" s="10" t="s">
        <v>509</v>
      </c>
      <c r="T386" s="10" t="n">
        <v>340</v>
      </c>
      <c r="U386" s="11" t="n">
        <f aca="false">IF(E386="TRANSPORT",IF(T386="","",T386*5),IF(AL386="","",AL386))</f>
        <v>1700</v>
      </c>
      <c r="V386" s="10" t="s">
        <v>54</v>
      </c>
      <c r="W386" s="15" t="s">
        <v>739</v>
      </c>
      <c r="X386" s="15"/>
      <c r="Y386" s="17" t="n">
        <v>46255.5510532407</v>
      </c>
      <c r="Z386" s="18" t="n">
        <f aca="false">IF(I386="",0,IF(ISNUMBER(SEARCH("mp",LOWER(J386))),I386,IF(ISNUMBER(SEARCH("ton",LOWER(J386))),I386/0.33,IF(ISNUMBER(SEARCH("m3",LOWER(J386))),I386*4,I386))))</f>
        <v>84</v>
      </c>
      <c r="AA386" s="18" t="n">
        <f aca="false">IF(I386="",0,IF(ISNUMBER(SEARCH("mp",LOWER(J386))),I386*0.33,IF(ISNUMBER(SEARCH("ton",LOWER(J386))),I386,I386*0.33)))</f>
        <v>27.72</v>
      </c>
      <c r="AB386" s="18" t="n">
        <f aca="false">Tabela_dane[[#This Row],[Wolumen_t]]*8.5</f>
        <v>235.62</v>
      </c>
      <c r="AC386" s="18" t="n">
        <f aca="false">IF(G386&lt;&gt;"TAK",0,IF(OR(E386="ZAKUP",E386="PRODUKCJA"),Z386,IF(OR(E386="SPRZEDAŻ",E386="ZUŻYCIE"),-Z386,0)))</f>
        <v>0</v>
      </c>
      <c r="AD386" s="18" t="n">
        <f aca="false">IF(G386&lt;&gt;"TAK",0,IF(OR(E386="ZAKUP",E386="PRODUKCJA"),AA386,IF(OR(E386="SPRZEDAŻ",E386="ZUŻYCIE"),-AA386,0)))</f>
        <v>0</v>
      </c>
      <c r="AE386" s="19" t="n">
        <f aca="false">IF(E386="ZAKUP",IF(L386&lt;&gt;"",L386,IF(K386&lt;&gt;"",Z386*K386,0)),0)</f>
        <v>0</v>
      </c>
      <c r="AF386" s="19" t="n">
        <f aca="false">IF(E386="SPRZEDAŻ",IF(M386&lt;&gt;"",Z386*M386,0),0)</f>
        <v>0</v>
      </c>
      <c r="AG386" s="19" t="str">
        <f aca="false">IF(R386="","",IF(LOWER(R386)="brak","Brak",IF(OR(ISNUMBER(SEARCH("ric pl",LOWER(R386))),ISNUMBER(SEARCH("wojciechowski",LOWER(R386)))),"Własny","Zewnętrzny")))</f>
        <v>Zewnętrzny</v>
      </c>
      <c r="AH386" s="19" t="n">
        <f aca="false">Z386*Q386</f>
        <v>0</v>
      </c>
      <c r="AI386" s="19" t="str">
        <f aca="false">UPPER(TEXT(C386,"mmmm"))</f>
        <v>AUGUST</v>
      </c>
      <c r="AJ386" s="19" t="str">
        <f aca="false">IF(C386="","",TEXT(C386,"rrrr"))</f>
        <v>CE5786CE5786</v>
      </c>
      <c r="AK386" s="10"/>
      <c r="AL386" s="11" t="n">
        <v>1700</v>
      </c>
      <c r="AM386" s="10" t="s">
        <v>740</v>
      </c>
      <c r="AN386" s="10" t="s">
        <v>49</v>
      </c>
      <c r="AO386" s="10"/>
      <c r="AP386" s="10"/>
      <c r="AQ386" s="10"/>
      <c r="AR386" s="10" t="s">
        <v>66</v>
      </c>
      <c r="AS386" s="10"/>
      <c r="AT386" s="15" t="n">
        <v>1</v>
      </c>
    </row>
    <row r="387" customFormat="false" ht="28.5" hidden="false" customHeight="true" outlineLevel="0" collapsed="false">
      <c r="A387" s="12" t="n">
        <v>46251</v>
      </c>
      <c r="B387" s="12" t="s">
        <v>737</v>
      </c>
      <c r="C387" s="12" t="n">
        <v>46251</v>
      </c>
      <c r="D387" s="10" t="s">
        <v>641</v>
      </c>
      <c r="E387" s="10" t="s">
        <v>107</v>
      </c>
      <c r="F387" s="22" t="s">
        <v>741</v>
      </c>
      <c r="G387" s="14" t="s">
        <v>49</v>
      </c>
      <c r="H387" s="10"/>
      <c r="I387" s="15" t="n">
        <v>87</v>
      </c>
      <c r="J387" s="10" t="s">
        <v>51</v>
      </c>
      <c r="K387" s="15" t="n">
        <v>0</v>
      </c>
      <c r="L387" s="11" t="n">
        <v>0</v>
      </c>
      <c r="M387" s="11" t="n">
        <v>0</v>
      </c>
      <c r="N387" s="10" t="s">
        <v>643</v>
      </c>
      <c r="O387" s="10" t="s">
        <v>67</v>
      </c>
      <c r="P387" s="10"/>
      <c r="Q387" s="16" t="n">
        <v>0</v>
      </c>
      <c r="R387" s="10" t="s">
        <v>742</v>
      </c>
      <c r="S387" s="10" t="s">
        <v>743</v>
      </c>
      <c r="T387" s="10" t="n">
        <v>340</v>
      </c>
      <c r="U387" s="11" t="n">
        <f aca="false">IF(E387="TRANSPORT",IF(T387="","",T387*5),IF(AL387="","",AL387))</f>
        <v>1700</v>
      </c>
      <c r="V387" s="10" t="s">
        <v>54</v>
      </c>
      <c r="W387" s="15" t="s">
        <v>744</v>
      </c>
      <c r="X387" s="15"/>
      <c r="Y387" s="17" t="n">
        <v>46255.5537268519</v>
      </c>
      <c r="Z387" s="18" t="n">
        <f aca="false">IF(I387="",0,IF(ISNUMBER(SEARCH("mp",LOWER(J387))),I387,IF(ISNUMBER(SEARCH("ton",LOWER(J387))),I387/0.33,IF(ISNUMBER(SEARCH("m3",LOWER(J387))),I387*4,I387))))</f>
        <v>87</v>
      </c>
      <c r="AA387" s="18" t="n">
        <f aca="false">IF(I387="",0,IF(ISNUMBER(SEARCH("mp",LOWER(J387))),I387*0.33,IF(ISNUMBER(SEARCH("ton",LOWER(J387))),I387,I387*0.33)))</f>
        <v>28.71</v>
      </c>
      <c r="AB387" s="18" t="n">
        <f aca="false">Tabela_dane[[#This Row],[Wolumen_t]]*8.5</f>
        <v>244.035</v>
      </c>
      <c r="AC387" s="18" t="n">
        <f aca="false">IF(G387&lt;&gt;"TAK",0,IF(OR(E387="ZAKUP",E387="PRODUKCJA"),Z387,IF(OR(E387="SPRZEDAŻ",E387="ZUŻYCIE"),-Z387,0)))</f>
        <v>0</v>
      </c>
      <c r="AD387" s="18" t="n">
        <f aca="false">IF(G387&lt;&gt;"TAK",0,IF(OR(E387="ZAKUP",E387="PRODUKCJA"),AA387,IF(OR(E387="SPRZEDAŻ",E387="ZUŻYCIE"),-AA387,0)))</f>
        <v>0</v>
      </c>
      <c r="AE387" s="19" t="n">
        <f aca="false">IF(E387="ZAKUP",IF(L387&lt;&gt;"",L387,IF(K387&lt;&gt;"",Z387*K387,0)),0)</f>
        <v>0</v>
      </c>
      <c r="AF387" s="19" t="n">
        <f aca="false">IF(E387="SPRZEDAŻ",IF(M387&lt;&gt;"",Z387*M387,0),0)</f>
        <v>0</v>
      </c>
      <c r="AG387" s="19" t="str">
        <f aca="false">IF(R387="","",IF(LOWER(R387)="brak","Brak",IF(OR(ISNUMBER(SEARCH("ric pl",LOWER(R387))),ISNUMBER(SEARCH("wojciechowski",LOWER(R387)))),"Własny","Zewnętrzny")))</f>
        <v>Własny</v>
      </c>
      <c r="AH387" s="19" t="n">
        <f aca="false">Z387*Q387</f>
        <v>0</v>
      </c>
      <c r="AI387" s="19" t="str">
        <f aca="false">UPPER(TEXT(C387,"mmmm"))</f>
        <v>AUGUST</v>
      </c>
      <c r="AJ387" s="19" t="str">
        <f aca="false">IF(C387="","",TEXT(C387,"rrrr"))</f>
        <v>CE5786CE5786</v>
      </c>
      <c r="AK387" s="10"/>
      <c r="AL387" s="11" t="n">
        <v>1700</v>
      </c>
      <c r="AM387" s="10" t="s">
        <v>745</v>
      </c>
      <c r="AN387" s="10" t="s">
        <v>49</v>
      </c>
      <c r="AO387" s="10"/>
      <c r="AP387" s="10"/>
      <c r="AQ387" s="10"/>
      <c r="AR387" s="10" t="s">
        <v>66</v>
      </c>
      <c r="AS387" s="10"/>
      <c r="AT387" s="15" t="n">
        <v>1</v>
      </c>
    </row>
    <row r="388" customFormat="false" ht="28.5" hidden="false" customHeight="true" outlineLevel="0" collapsed="false">
      <c r="A388" s="12" t="n">
        <v>46251</v>
      </c>
      <c r="B388" s="12"/>
      <c r="C388" s="12" t="n">
        <v>46251</v>
      </c>
      <c r="D388" s="10" t="s">
        <v>694</v>
      </c>
      <c r="E388" s="10" t="s">
        <v>63</v>
      </c>
      <c r="F388" s="46" t="s">
        <v>746</v>
      </c>
      <c r="G388" s="14" t="s">
        <v>49</v>
      </c>
      <c r="H388" s="10" t="s">
        <v>50</v>
      </c>
      <c r="I388" s="15" t="n">
        <v>20</v>
      </c>
      <c r="J388" s="10" t="s">
        <v>77</v>
      </c>
      <c r="K388" s="15" t="n">
        <v>112</v>
      </c>
      <c r="L388" s="11" t="n">
        <v>2240</v>
      </c>
      <c r="M388" s="11" t="n">
        <v>0</v>
      </c>
      <c r="N388" s="10" t="s">
        <v>64</v>
      </c>
      <c r="O388" s="10"/>
      <c r="P388" s="10"/>
      <c r="Q388" s="16" t="n">
        <v>0</v>
      </c>
      <c r="R388" s="10"/>
      <c r="S388" s="10"/>
      <c r="T388" s="10" t="n">
        <v>0</v>
      </c>
      <c r="U388" s="11" t="n">
        <f aca="false">IF(E388="TRANSPORT",IF(T388="","",T388*5),IF(AL388="","",AL388))</f>
        <v>0</v>
      </c>
      <c r="V388" s="10" t="s">
        <v>54</v>
      </c>
      <c r="W388" s="15" t="s">
        <v>747</v>
      </c>
      <c r="X388" s="15"/>
      <c r="Y388" s="17" t="n">
        <v>46255.556087963</v>
      </c>
      <c r="Z388" s="18" t="n">
        <f aca="false">IF(I388="",0,IF(ISNUMBER(SEARCH("mp",LOWER(J388))),I388,IF(ISNUMBER(SEARCH("ton",LOWER(J388))),I388/0.33,IF(ISNUMBER(SEARCH("m3",LOWER(J388))),I388*4,I388))))</f>
        <v>80</v>
      </c>
      <c r="AA388" s="18" t="n">
        <f aca="false">IF(I388="",0,IF(ISNUMBER(SEARCH("mp",LOWER(J388))),I388*0.33,IF(ISNUMBER(SEARCH("ton",LOWER(J388))),I388,I388*0.33)))</f>
        <v>6.6</v>
      </c>
      <c r="AB388" s="18" t="n">
        <f aca="false">Tabela_dane[[#This Row],[Wolumen_t]]*8.5</f>
        <v>56.1</v>
      </c>
      <c r="AC388" s="18" t="n">
        <f aca="false">IF(G388&lt;&gt;"TAK",0,IF(OR(E388="ZAKUP",E388="PRODUKCJA"),Z388,IF(OR(E388="SPRZEDAŻ",E388="ZUŻYCIE"),-Z388,0)))</f>
        <v>80</v>
      </c>
      <c r="AD388" s="18" t="n">
        <f aca="false">IF(G388&lt;&gt;"TAK",0,IF(OR(E388="ZAKUP",E388="PRODUKCJA"),AA388,IF(OR(E388="SPRZEDAŻ",E388="ZUŻYCIE"),-AA388,0)))</f>
        <v>6.6</v>
      </c>
      <c r="AE388" s="19" t="n">
        <f aca="false">IF(E388="ZAKUP",IF(L388&lt;&gt;"",L388,IF(K388&lt;&gt;"",Z388*K388,0)),0)</f>
        <v>2240</v>
      </c>
      <c r="AF388" s="19" t="n">
        <f aca="false">IF(E388="SPRZEDAŻ",IF(M388&lt;&gt;"",Z388*M388,0),0)</f>
        <v>0</v>
      </c>
      <c r="AG388" s="19" t="str">
        <f aca="false">IF(R388="","",IF(LOWER(R388)="brak","Brak",IF(OR(ISNUMBER(SEARCH("ric pl",LOWER(R388))),ISNUMBER(SEARCH("wojciechowski",LOWER(R388)))),"Własny","Zewnętrzny")))</f>
        <v/>
      </c>
      <c r="AH388" s="19" t="n">
        <f aca="false">Z388*Q388</f>
        <v>0</v>
      </c>
      <c r="AI388" s="19" t="str">
        <f aca="false">UPPER(TEXT(C388,"mmmm"))</f>
        <v>AUGUST</v>
      </c>
      <c r="AJ388" s="19" t="str">
        <f aca="false">IF(C388="","",TEXT(C388,"rrrr"))</f>
        <v>CE5786CE5786</v>
      </c>
      <c r="AK388" s="10"/>
      <c r="AL388" s="11" t="n">
        <v>0</v>
      </c>
      <c r="AM388" s="10" t="s">
        <v>748</v>
      </c>
      <c r="AN388" s="10" t="s">
        <v>59</v>
      </c>
      <c r="AO388" s="10"/>
      <c r="AP388" s="10"/>
      <c r="AQ388" s="10"/>
      <c r="AR388" s="10" t="s">
        <v>66</v>
      </c>
      <c r="AS388" s="10"/>
      <c r="AT388" s="15" t="n">
        <v>1</v>
      </c>
    </row>
    <row r="389" customFormat="false" ht="28.5" hidden="false" customHeight="true" outlineLevel="0" collapsed="false">
      <c r="A389" s="12" t="n">
        <v>46251</v>
      </c>
      <c r="B389" s="12"/>
      <c r="C389" s="12" t="n">
        <v>46251</v>
      </c>
      <c r="D389" s="10" t="s">
        <v>54</v>
      </c>
      <c r="E389" s="10" t="s">
        <v>47</v>
      </c>
      <c r="F389" s="13" t="s">
        <v>749</v>
      </c>
      <c r="G389" s="14" t="s">
        <v>49</v>
      </c>
      <c r="H389" s="10" t="s">
        <v>50</v>
      </c>
      <c r="I389" s="15" t="n">
        <v>80</v>
      </c>
      <c r="J389" s="10" t="s">
        <v>51</v>
      </c>
      <c r="K389" s="15" t="n">
        <v>0</v>
      </c>
      <c r="L389" s="11" t="n">
        <v>0</v>
      </c>
      <c r="M389" s="11" t="n">
        <v>0</v>
      </c>
      <c r="N389" s="10" t="s">
        <v>52</v>
      </c>
      <c r="O389" s="10" t="s">
        <v>67</v>
      </c>
      <c r="P389" s="10" t="s">
        <v>53</v>
      </c>
      <c r="Q389" s="16" t="n">
        <v>10</v>
      </c>
      <c r="R389" s="10"/>
      <c r="S389" s="10"/>
      <c r="T389" s="10" t="n">
        <v>0</v>
      </c>
      <c r="U389" s="11" t="n">
        <f aca="false">IF(E389="TRANSPORT",IF(T389="","",T389*5),IF(AL389="","",AL389))</f>
        <v>0</v>
      </c>
      <c r="V389" s="10" t="s">
        <v>54</v>
      </c>
      <c r="W389" s="15" t="s">
        <v>655</v>
      </c>
      <c r="X389" s="15" t="s">
        <v>54</v>
      </c>
      <c r="Y389" s="17" t="n">
        <v>46255.5571643519</v>
      </c>
      <c r="Z389" s="18" t="n">
        <f aca="false">IF(I389="",0,IF(ISNUMBER(SEARCH("mp",LOWER(J389))),I389,IF(ISNUMBER(SEARCH("ton",LOWER(J389))),I389/0.33,IF(ISNUMBER(SEARCH("m3",LOWER(J389))),I389*4,I389))))</f>
        <v>80</v>
      </c>
      <c r="AA389" s="18" t="n">
        <f aca="false">IF(I389="",0,IF(ISNUMBER(SEARCH("mp",LOWER(J389))),I389*0.33,IF(ISNUMBER(SEARCH("ton",LOWER(J389))),I389,I389*0.33)))</f>
        <v>26.4</v>
      </c>
      <c r="AB389" s="18" t="n">
        <f aca="false">Tabela_dane[[#This Row],[Wolumen_t]]*8.5</f>
        <v>224.4</v>
      </c>
      <c r="AC389" s="18" t="n">
        <f aca="false">IF(G389&lt;&gt;"TAK",0,IF(OR(E389="ZAKUP",E389="PRODUKCJA"),Z389,IF(OR(E389="SPRZEDAŻ",E389="ZUŻYCIE"),-Z389,0)))</f>
        <v>80</v>
      </c>
      <c r="AD389" s="18" t="n">
        <f aca="false">IF(G389&lt;&gt;"TAK",0,IF(OR(E389="ZAKUP",E389="PRODUKCJA"),AA389,IF(OR(E389="SPRZEDAŻ",E389="ZUŻYCIE"),-AA389,0)))</f>
        <v>26.4</v>
      </c>
      <c r="AE389" s="19" t="n">
        <f aca="false">IF(E389="ZAKUP",IF(L389&lt;&gt;"",L389,IF(K389&lt;&gt;"",Z389*K389,0)),0)</f>
        <v>0</v>
      </c>
      <c r="AF389" s="19" t="n">
        <f aca="false">IF(E389="SPRZEDAŻ",IF(M389&lt;&gt;"",Z389*M389,0),0)</f>
        <v>0</v>
      </c>
      <c r="AG389" s="19" t="str">
        <f aca="false">IF(R389="","",IF(LOWER(R389)="brak","Brak",IF(OR(ISNUMBER(SEARCH("ric pl",LOWER(R389))),ISNUMBER(SEARCH("wojciechowski",LOWER(R389)))),"Własny","Zewnętrzny")))</f>
        <v/>
      </c>
      <c r="AH389" s="19" t="n">
        <f aca="false">Z389*Q389</f>
        <v>800</v>
      </c>
      <c r="AI389" s="19" t="str">
        <f aca="false">UPPER(TEXT(C389,"mmmm"))</f>
        <v>AUGUST</v>
      </c>
      <c r="AJ389" s="19" t="str">
        <f aca="false">IF(C389="","",TEXT(C389,"rrrr"))</f>
        <v>CE5786CE5786</v>
      </c>
      <c r="AK389" s="10"/>
      <c r="AL389" s="11" t="n">
        <v>0</v>
      </c>
      <c r="AM389" s="10" t="s">
        <v>750</v>
      </c>
      <c r="AN389" s="10" t="s">
        <v>59</v>
      </c>
      <c r="AO389" s="10"/>
      <c r="AP389" s="10"/>
      <c r="AQ389" s="10"/>
      <c r="AR389" s="10" t="s">
        <v>66</v>
      </c>
      <c r="AS389" s="10"/>
      <c r="AT389" s="15" t="n">
        <v>1</v>
      </c>
    </row>
    <row r="390" customFormat="false" ht="28.5" hidden="false" customHeight="true" outlineLevel="0" collapsed="false">
      <c r="A390" s="12" t="n">
        <v>46251</v>
      </c>
      <c r="B390" s="12"/>
      <c r="C390" s="12" t="n">
        <v>46251</v>
      </c>
      <c r="D390" s="10" t="s">
        <v>54</v>
      </c>
      <c r="E390" s="10" t="s">
        <v>79</v>
      </c>
      <c r="F390" s="13" t="s">
        <v>749</v>
      </c>
      <c r="G390" s="14" t="s">
        <v>49</v>
      </c>
      <c r="H390" s="10" t="s">
        <v>50</v>
      </c>
      <c r="I390" s="15" t="n">
        <v>80</v>
      </c>
      <c r="J390" s="10" t="s">
        <v>51</v>
      </c>
      <c r="K390" s="15" t="n">
        <v>0</v>
      </c>
      <c r="L390" s="11" t="n">
        <v>0</v>
      </c>
      <c r="M390" s="11" t="n">
        <v>0</v>
      </c>
      <c r="N390" s="10" t="s">
        <v>52</v>
      </c>
      <c r="O390" s="10" t="s">
        <v>67</v>
      </c>
      <c r="P390" s="10" t="s">
        <v>53</v>
      </c>
      <c r="Q390" s="16" t="n">
        <v>10</v>
      </c>
      <c r="R390" s="10"/>
      <c r="S390" s="10"/>
      <c r="T390" s="10" t="n">
        <v>0</v>
      </c>
      <c r="U390" s="11" t="n">
        <f aca="false">IF(E390="TRANSPORT",IF(T390="","",T390*5),IF(AL390="","",AL390))</f>
        <v>0</v>
      </c>
      <c r="V390" s="10" t="s">
        <v>54</v>
      </c>
      <c r="W390" s="15" t="s">
        <v>260</v>
      </c>
      <c r="X390" s="15" t="s">
        <v>54</v>
      </c>
      <c r="Y390" s="17" t="n">
        <v>46255.5571643519</v>
      </c>
      <c r="Z390" s="18" t="n">
        <f aca="false">IF(I390="",0,IF(ISNUMBER(SEARCH("mp",LOWER(J390))),I390,IF(ISNUMBER(SEARCH("ton",LOWER(J390))),I390/0.33,IF(ISNUMBER(SEARCH("m3",LOWER(J390))),I390*4,I390))))</f>
        <v>80</v>
      </c>
      <c r="AA390" s="18" t="n">
        <f aca="false">IF(I390="",0,IF(ISNUMBER(SEARCH("mp",LOWER(J390))),I390*0.33,IF(ISNUMBER(SEARCH("ton",LOWER(J390))),I390,I390*0.33)))</f>
        <v>26.4</v>
      </c>
      <c r="AB390" s="18" t="n">
        <f aca="false">Tabela_dane[[#This Row],[Wolumen_t]]*8.5</f>
        <v>224.4</v>
      </c>
      <c r="AC390" s="18" t="n">
        <f aca="false">IF(G390&lt;&gt;"TAK",0,IF(OR(E390="ZAKUP",E390="PRODUKCJA"),Z390,IF(OR(E390="SPRZEDAŻ",E390="ZUŻYCIE"),-Z390,0)))</f>
        <v>-80</v>
      </c>
      <c r="AD390" s="18" t="n">
        <f aca="false">IF(G390&lt;&gt;"TAK",0,IF(OR(E390="ZAKUP",E390="PRODUKCJA"),AA390,IF(OR(E390="SPRZEDAŻ",E390="ZUŻYCIE"),-AA390,0)))</f>
        <v>-26.4</v>
      </c>
      <c r="AE390" s="19" t="n">
        <f aca="false">IF(E390="ZAKUP",IF(L390&lt;&gt;"",L390,IF(K390&lt;&gt;"",Z390*K390,0)),0)</f>
        <v>0</v>
      </c>
      <c r="AF390" s="19" t="n">
        <f aca="false">IF(E390="SPRZEDAŻ",IF(M390&lt;&gt;"",Z390*M390,0),0)</f>
        <v>0</v>
      </c>
      <c r="AG390" s="19" t="str">
        <f aca="false">IF(R390="","",IF(LOWER(R390)="brak","Brak",IF(OR(ISNUMBER(SEARCH("ric pl",LOWER(R390))),ISNUMBER(SEARCH("wojciechowski",LOWER(R390)))),"Własny","Zewnętrzny")))</f>
        <v/>
      </c>
      <c r="AH390" s="19" t="n">
        <f aca="false">Z390*Q390</f>
        <v>800</v>
      </c>
      <c r="AI390" s="19" t="str">
        <f aca="false">UPPER(TEXT(C390,"mmmm"))</f>
        <v>AUGUST</v>
      </c>
      <c r="AJ390" s="19" t="str">
        <f aca="false">IF(C390="","",TEXT(C390,"rrrr"))</f>
        <v>CE5786CE5786</v>
      </c>
      <c r="AK390" s="10"/>
      <c r="AL390" s="11" t="n">
        <v>0</v>
      </c>
      <c r="AM390" s="10" t="s">
        <v>750</v>
      </c>
      <c r="AN390" s="10" t="s">
        <v>59</v>
      </c>
      <c r="AO390" s="10"/>
      <c r="AP390" s="10"/>
      <c r="AQ390" s="10"/>
      <c r="AR390" s="10" t="s">
        <v>81</v>
      </c>
      <c r="AS390" s="10"/>
      <c r="AT390" s="15" t="n">
        <v>1</v>
      </c>
    </row>
    <row r="391" customFormat="false" ht="28.5" hidden="false" customHeight="true" outlineLevel="0" collapsed="false">
      <c r="A391" s="12" t="n">
        <v>46251</v>
      </c>
      <c r="B391" s="12" t="s">
        <v>700</v>
      </c>
      <c r="C391" s="12" t="n">
        <v>46251</v>
      </c>
      <c r="D391" s="10" t="s">
        <v>54</v>
      </c>
      <c r="E391" s="10" t="s">
        <v>63</v>
      </c>
      <c r="F391" s="13" t="s">
        <v>749</v>
      </c>
      <c r="G391" s="14" t="s">
        <v>49</v>
      </c>
      <c r="H391" s="10" t="s">
        <v>50</v>
      </c>
      <c r="I391" s="15" t="n">
        <v>80</v>
      </c>
      <c r="J391" s="10" t="s">
        <v>51</v>
      </c>
      <c r="K391" s="15" t="n">
        <v>0</v>
      </c>
      <c r="L391" s="11" t="n">
        <v>0</v>
      </c>
      <c r="M391" s="11" t="n">
        <v>0</v>
      </c>
      <c r="N391" s="10" t="s">
        <v>52</v>
      </c>
      <c r="O391" s="10" t="s">
        <v>67</v>
      </c>
      <c r="P391" s="10"/>
      <c r="Q391" s="16" t="n">
        <v>0</v>
      </c>
      <c r="R391" s="10" t="s">
        <v>94</v>
      </c>
      <c r="S391" s="10" t="s">
        <v>95</v>
      </c>
      <c r="T391" s="10" t="n">
        <v>62</v>
      </c>
      <c r="U391" s="11" t="n">
        <f aca="false">IF(E391="TRANSPORT",IF(T391="","",T391*5),IF(AL391="","",AL391))</f>
        <v>310</v>
      </c>
      <c r="V391" s="10" t="s">
        <v>54</v>
      </c>
      <c r="W391" s="15" t="s">
        <v>629</v>
      </c>
      <c r="X391" s="15"/>
      <c r="Y391" s="17" t="n">
        <v>46255.5628009259</v>
      </c>
      <c r="Z391" s="18" t="n">
        <f aca="false">IF(I391="",0,IF(ISNUMBER(SEARCH("mp",LOWER(J391))),I391,IF(ISNUMBER(SEARCH("ton",LOWER(J391))),I391/0.33,IF(ISNUMBER(SEARCH("m3",LOWER(J391))),I391*4,I391))))</f>
        <v>80</v>
      </c>
      <c r="AA391" s="18" t="n">
        <f aca="false">IF(I391="",0,IF(ISNUMBER(SEARCH("mp",LOWER(J391))),I391*0.33,IF(ISNUMBER(SEARCH("ton",LOWER(J391))),I391,I391*0.33)))</f>
        <v>26.4</v>
      </c>
      <c r="AB391" s="18" t="n">
        <f aca="false">Tabela_dane[[#This Row],[Wolumen_t]]*8.5</f>
        <v>224.4</v>
      </c>
      <c r="AC391" s="18" t="n">
        <f aca="false">IF(G391&lt;&gt;"TAK",0,IF(OR(E391="ZAKUP",E391="PRODUKCJA"),Z391,IF(OR(E391="SPRZEDAŻ",E391="ZUŻYCIE"),-Z391,0)))</f>
        <v>80</v>
      </c>
      <c r="AD391" s="18" t="n">
        <f aca="false">IF(G391&lt;&gt;"TAK",0,IF(OR(E391="ZAKUP",E391="PRODUKCJA"),AA391,IF(OR(E391="SPRZEDAŻ",E391="ZUŻYCIE"),-AA391,0)))</f>
        <v>26.4</v>
      </c>
      <c r="AE391" s="19" t="n">
        <f aca="false">IF(E391="ZAKUP",IF(L391&lt;&gt;"",L391,IF(K391&lt;&gt;"",Z391*K391,0)),0)</f>
        <v>0</v>
      </c>
      <c r="AF391" s="19" t="n">
        <f aca="false">IF(E391="SPRZEDAŻ",IF(M391&lt;&gt;"",Z391*M391,0),0)</f>
        <v>0</v>
      </c>
      <c r="AG391" s="19" t="str">
        <f aca="false">IF(R391="","",IF(LOWER(R391)="brak","Brak",IF(OR(ISNUMBER(SEARCH("ric pl",LOWER(R391))),ISNUMBER(SEARCH("wojciechowski",LOWER(R391)))),"Własny","Zewnętrzny")))</f>
        <v>Zewnętrzny</v>
      </c>
      <c r="AH391" s="19" t="n">
        <f aca="false">Z391*Q391</f>
        <v>0</v>
      </c>
      <c r="AI391" s="19" t="str">
        <f aca="false">UPPER(TEXT(C391,"mmmm"))</f>
        <v>AUGUST</v>
      </c>
      <c r="AJ391" s="19" t="str">
        <f aca="false">IF(C391="","",TEXT(C391,"rrrr"))</f>
        <v>CE5786CE5786</v>
      </c>
      <c r="AK391" s="10"/>
      <c r="AL391" s="11" t="n">
        <v>310</v>
      </c>
      <c r="AM391" s="10" t="s">
        <v>751</v>
      </c>
      <c r="AN391" s="10" t="s">
        <v>49</v>
      </c>
      <c r="AO391" s="10"/>
      <c r="AP391" s="10"/>
      <c r="AQ391" s="10"/>
      <c r="AR391" s="10" t="s">
        <v>66</v>
      </c>
      <c r="AS391" s="10"/>
      <c r="AT391" s="15" t="n">
        <v>1</v>
      </c>
    </row>
    <row r="392" customFormat="false" ht="28.5" hidden="false" customHeight="true" outlineLevel="0" collapsed="false">
      <c r="A392" s="12" t="n">
        <v>46251</v>
      </c>
      <c r="B392" s="12"/>
      <c r="C392" s="12" t="n">
        <v>46251</v>
      </c>
      <c r="D392" s="10" t="s">
        <v>694</v>
      </c>
      <c r="E392" s="10" t="s">
        <v>63</v>
      </c>
      <c r="F392" s="46" t="s">
        <v>752</v>
      </c>
      <c r="G392" s="14" t="s">
        <v>49</v>
      </c>
      <c r="H392" s="10" t="s">
        <v>50</v>
      </c>
      <c r="I392" s="15" t="n">
        <v>20</v>
      </c>
      <c r="J392" s="10" t="s">
        <v>77</v>
      </c>
      <c r="K392" s="15" t="n">
        <v>112</v>
      </c>
      <c r="L392" s="11" t="n">
        <v>2240</v>
      </c>
      <c r="M392" s="11" t="n">
        <v>0</v>
      </c>
      <c r="N392" s="10" t="s">
        <v>64</v>
      </c>
      <c r="O392" s="10"/>
      <c r="P392" s="10"/>
      <c r="Q392" s="16" t="n">
        <v>0</v>
      </c>
      <c r="R392" s="10"/>
      <c r="S392" s="10"/>
      <c r="T392" s="10" t="n">
        <v>0</v>
      </c>
      <c r="U392" s="11" t="n">
        <f aca="false">IF(E392="TRANSPORT",IF(T392="","",T392*5),IF(AL392="","",AL392))</f>
        <v>0</v>
      </c>
      <c r="V392" s="10" t="s">
        <v>54</v>
      </c>
      <c r="W392" s="15" t="s">
        <v>753</v>
      </c>
      <c r="X392" s="15"/>
      <c r="Y392" s="17" t="n">
        <v>46255.571087963</v>
      </c>
      <c r="Z392" s="18" t="n">
        <f aca="false">IF(I392="",0,IF(ISNUMBER(SEARCH("mp",LOWER(J392))),I392,IF(ISNUMBER(SEARCH("ton",LOWER(J392))),I392/0.33,IF(ISNUMBER(SEARCH("m3",LOWER(J392))),I392*4,I392))))</f>
        <v>80</v>
      </c>
      <c r="AA392" s="18" t="n">
        <f aca="false">IF(I392="",0,IF(ISNUMBER(SEARCH("mp",LOWER(J392))),I392*0.33,IF(ISNUMBER(SEARCH("ton",LOWER(J392))),I392,I392*0.33)))</f>
        <v>6.6</v>
      </c>
      <c r="AB392" s="18" t="n">
        <f aca="false">Tabela_dane[[#This Row],[Wolumen_t]]*8.5</f>
        <v>56.1</v>
      </c>
      <c r="AC392" s="18" t="n">
        <f aca="false">IF(G392&lt;&gt;"TAK",0,IF(OR(E392="ZAKUP",E392="PRODUKCJA"),Z392,IF(OR(E392="SPRZEDAŻ",E392="ZUŻYCIE"),-Z392,0)))</f>
        <v>80</v>
      </c>
      <c r="AD392" s="18" t="n">
        <f aca="false">IF(G392&lt;&gt;"TAK",0,IF(OR(E392="ZAKUP",E392="PRODUKCJA"),AA392,IF(OR(E392="SPRZEDAŻ",E392="ZUŻYCIE"),-AA392,0)))</f>
        <v>6.6</v>
      </c>
      <c r="AE392" s="19" t="n">
        <f aca="false">IF(E392="ZAKUP",IF(L392&lt;&gt;"",L392,IF(K392&lt;&gt;"",Z392*K392,0)),0)</f>
        <v>2240</v>
      </c>
      <c r="AF392" s="19" t="n">
        <f aca="false">IF(E392="SPRZEDAŻ",IF(M392&lt;&gt;"",Z392*M392,0),0)</f>
        <v>0</v>
      </c>
      <c r="AG392" s="19" t="str">
        <f aca="false">IF(R392="","",IF(LOWER(R392)="brak","Brak",IF(OR(ISNUMBER(SEARCH("ric pl",LOWER(R392))),ISNUMBER(SEARCH("wojciechowski",LOWER(R392)))),"Własny","Zewnętrzny")))</f>
        <v/>
      </c>
      <c r="AH392" s="19" t="n">
        <f aca="false">Z392*Q392</f>
        <v>0</v>
      </c>
      <c r="AI392" s="19" t="str">
        <f aca="false">UPPER(TEXT(C392,"mmmm"))</f>
        <v>AUGUST</v>
      </c>
      <c r="AJ392" s="19" t="str">
        <f aca="false">IF(C392="","",TEXT(C392,"rrrr"))</f>
        <v>CE5786CE5786</v>
      </c>
      <c r="AK392" s="10"/>
      <c r="AL392" s="11" t="n">
        <v>0</v>
      </c>
      <c r="AM392" s="10" t="s">
        <v>754</v>
      </c>
      <c r="AN392" s="10" t="s">
        <v>59</v>
      </c>
      <c r="AO392" s="10"/>
      <c r="AP392" s="10"/>
      <c r="AQ392" s="10"/>
      <c r="AR392" s="10" t="s">
        <v>66</v>
      </c>
      <c r="AS392" s="10"/>
      <c r="AT392" s="15" t="n">
        <v>1</v>
      </c>
    </row>
    <row r="393" customFormat="false" ht="28.5" hidden="false" customHeight="true" outlineLevel="0" collapsed="false">
      <c r="A393" s="12" t="n">
        <v>46251</v>
      </c>
      <c r="B393" s="12"/>
      <c r="C393" s="12" t="n">
        <v>46251</v>
      </c>
      <c r="D393" s="10" t="s">
        <v>54</v>
      </c>
      <c r="E393" s="10" t="s">
        <v>47</v>
      </c>
      <c r="F393" s="13" t="s">
        <v>755</v>
      </c>
      <c r="G393" s="14" t="s">
        <v>49</v>
      </c>
      <c r="H393" s="10" t="s">
        <v>50</v>
      </c>
      <c r="I393" s="15" t="n">
        <v>80</v>
      </c>
      <c r="J393" s="10" t="s">
        <v>51</v>
      </c>
      <c r="K393" s="15" t="n">
        <v>0</v>
      </c>
      <c r="L393" s="11" t="n">
        <v>0</v>
      </c>
      <c r="M393" s="11" t="n">
        <v>0</v>
      </c>
      <c r="N393" s="10" t="s">
        <v>52</v>
      </c>
      <c r="O393" s="10" t="s">
        <v>67</v>
      </c>
      <c r="P393" s="10" t="s">
        <v>53</v>
      </c>
      <c r="Q393" s="16" t="n">
        <v>10</v>
      </c>
      <c r="R393" s="10"/>
      <c r="S393" s="10"/>
      <c r="T393" s="10" t="n">
        <v>0</v>
      </c>
      <c r="U393" s="11" t="n">
        <f aca="false">IF(E393="TRANSPORT",IF(T393="","",T393*5),IF(AL393="","",AL393))</f>
        <v>0</v>
      </c>
      <c r="V393" s="10" t="s">
        <v>54</v>
      </c>
      <c r="W393" s="15" t="s">
        <v>655</v>
      </c>
      <c r="X393" s="15" t="s">
        <v>54</v>
      </c>
      <c r="Y393" s="17" t="n">
        <v>46255.572025463</v>
      </c>
      <c r="Z393" s="18" t="n">
        <f aca="false">IF(I393="",0,IF(ISNUMBER(SEARCH("mp",LOWER(J393))),I393,IF(ISNUMBER(SEARCH("ton",LOWER(J393))),I393/0.33,IF(ISNUMBER(SEARCH("m3",LOWER(J393))),I393*4,I393))))</f>
        <v>80</v>
      </c>
      <c r="AA393" s="18" t="n">
        <f aca="false">IF(I393="",0,IF(ISNUMBER(SEARCH("mp",LOWER(J393))),I393*0.33,IF(ISNUMBER(SEARCH("ton",LOWER(J393))),I393,I393*0.33)))</f>
        <v>26.4</v>
      </c>
      <c r="AB393" s="18" t="n">
        <f aca="false">Tabela_dane[[#This Row],[Wolumen_t]]*8.5</f>
        <v>224.4</v>
      </c>
      <c r="AC393" s="18" t="n">
        <f aca="false">IF(G393&lt;&gt;"TAK",0,IF(OR(E393="ZAKUP",E393="PRODUKCJA"),Z393,IF(OR(E393="SPRZEDAŻ",E393="ZUŻYCIE"),-Z393,0)))</f>
        <v>80</v>
      </c>
      <c r="AD393" s="18" t="n">
        <f aca="false">IF(G393&lt;&gt;"TAK",0,IF(OR(E393="ZAKUP",E393="PRODUKCJA"),AA393,IF(OR(E393="SPRZEDAŻ",E393="ZUŻYCIE"),-AA393,0)))</f>
        <v>26.4</v>
      </c>
      <c r="AE393" s="19" t="n">
        <f aca="false">IF(E393="ZAKUP",IF(L393&lt;&gt;"",L393,IF(K393&lt;&gt;"",Z393*K393,0)),0)</f>
        <v>0</v>
      </c>
      <c r="AF393" s="19" t="n">
        <f aca="false">IF(E393="SPRZEDAŻ",IF(M393&lt;&gt;"",Z393*M393,0),0)</f>
        <v>0</v>
      </c>
      <c r="AG393" s="19" t="str">
        <f aca="false">IF(R393="","",IF(LOWER(R393)="brak","Brak",IF(OR(ISNUMBER(SEARCH("ric pl",LOWER(R393))),ISNUMBER(SEARCH("wojciechowski",LOWER(R393)))),"Własny","Zewnętrzny")))</f>
        <v/>
      </c>
      <c r="AH393" s="19" t="n">
        <f aca="false">Z393*Q393</f>
        <v>800</v>
      </c>
      <c r="AI393" s="19" t="str">
        <f aca="false">UPPER(TEXT(C393,"mmmm"))</f>
        <v>AUGUST</v>
      </c>
      <c r="AJ393" s="19" t="str">
        <f aca="false">IF(C393="","",TEXT(C393,"rrrr"))</f>
        <v>CE5786CE5786</v>
      </c>
      <c r="AK393" s="10"/>
      <c r="AL393" s="11" t="n">
        <v>0</v>
      </c>
      <c r="AM393" s="10" t="s">
        <v>756</v>
      </c>
      <c r="AN393" s="10" t="s">
        <v>59</v>
      </c>
      <c r="AO393" s="10"/>
      <c r="AP393" s="10"/>
      <c r="AQ393" s="10"/>
      <c r="AR393" s="10" t="s">
        <v>66</v>
      </c>
      <c r="AS393" s="10"/>
      <c r="AT393" s="15" t="n">
        <v>1</v>
      </c>
    </row>
    <row r="394" customFormat="false" ht="28.5" hidden="false" customHeight="true" outlineLevel="0" collapsed="false">
      <c r="A394" s="12" t="n">
        <v>46251</v>
      </c>
      <c r="B394" s="12"/>
      <c r="C394" s="12" t="n">
        <v>46251</v>
      </c>
      <c r="D394" s="10" t="s">
        <v>54</v>
      </c>
      <c r="E394" s="10" t="s">
        <v>79</v>
      </c>
      <c r="F394" s="13" t="s">
        <v>755</v>
      </c>
      <c r="G394" s="14" t="s">
        <v>49</v>
      </c>
      <c r="H394" s="10" t="s">
        <v>50</v>
      </c>
      <c r="I394" s="15" t="n">
        <v>80</v>
      </c>
      <c r="J394" s="10" t="s">
        <v>51</v>
      </c>
      <c r="K394" s="15" t="n">
        <v>0</v>
      </c>
      <c r="L394" s="11" t="n">
        <v>0</v>
      </c>
      <c r="M394" s="11" t="n">
        <v>0</v>
      </c>
      <c r="N394" s="10" t="s">
        <v>52</v>
      </c>
      <c r="O394" s="10" t="s">
        <v>67</v>
      </c>
      <c r="P394" s="10" t="s">
        <v>53</v>
      </c>
      <c r="Q394" s="16" t="n">
        <v>10</v>
      </c>
      <c r="R394" s="10"/>
      <c r="S394" s="10"/>
      <c r="T394" s="10" t="n">
        <v>0</v>
      </c>
      <c r="U394" s="11" t="n">
        <f aca="false">IF(E394="TRANSPORT",IF(T394="","",T394*5),IF(AL394="","",AL394))</f>
        <v>0</v>
      </c>
      <c r="V394" s="10" t="s">
        <v>54</v>
      </c>
      <c r="W394" s="15" t="s">
        <v>260</v>
      </c>
      <c r="X394" s="15" t="s">
        <v>54</v>
      </c>
      <c r="Y394" s="17" t="n">
        <v>46255.572025463</v>
      </c>
      <c r="Z394" s="18" t="n">
        <f aca="false">IF(I394="",0,IF(ISNUMBER(SEARCH("mp",LOWER(J394))),I394,IF(ISNUMBER(SEARCH("ton",LOWER(J394))),I394/0.33,IF(ISNUMBER(SEARCH("m3",LOWER(J394))),I394*4,I394))))</f>
        <v>80</v>
      </c>
      <c r="AA394" s="18" t="n">
        <f aca="false">IF(I394="",0,IF(ISNUMBER(SEARCH("mp",LOWER(J394))),I394*0.33,IF(ISNUMBER(SEARCH("ton",LOWER(J394))),I394,I394*0.33)))</f>
        <v>26.4</v>
      </c>
      <c r="AB394" s="18" t="n">
        <f aca="false">Tabela_dane[[#This Row],[Wolumen_t]]*8.5</f>
        <v>224.4</v>
      </c>
      <c r="AC394" s="18" t="n">
        <f aca="false">IF(G394&lt;&gt;"TAK",0,IF(OR(E394="ZAKUP",E394="PRODUKCJA"),Z394,IF(OR(E394="SPRZEDAŻ",E394="ZUŻYCIE"),-Z394,0)))</f>
        <v>-80</v>
      </c>
      <c r="AD394" s="18" t="n">
        <f aca="false">IF(G394&lt;&gt;"TAK",0,IF(OR(E394="ZAKUP",E394="PRODUKCJA"),AA394,IF(OR(E394="SPRZEDAŻ",E394="ZUŻYCIE"),-AA394,0)))</f>
        <v>-26.4</v>
      </c>
      <c r="AE394" s="19" t="n">
        <f aca="false">IF(E394="ZAKUP",IF(L394&lt;&gt;"",L394,IF(K394&lt;&gt;"",Z394*K394,0)),0)</f>
        <v>0</v>
      </c>
      <c r="AF394" s="19" t="n">
        <f aca="false">IF(E394="SPRZEDAŻ",IF(M394&lt;&gt;"",Z394*M394,0),0)</f>
        <v>0</v>
      </c>
      <c r="AG394" s="19" t="str">
        <f aca="false">IF(R394="","",IF(LOWER(R394)="brak","Brak",IF(OR(ISNUMBER(SEARCH("ric pl",LOWER(R394))),ISNUMBER(SEARCH("wojciechowski",LOWER(R394)))),"Własny","Zewnętrzny")))</f>
        <v/>
      </c>
      <c r="AH394" s="19" t="n">
        <f aca="false">Z394*Q394</f>
        <v>800</v>
      </c>
      <c r="AI394" s="19" t="str">
        <f aca="false">UPPER(TEXT(C394,"mmmm"))</f>
        <v>AUGUST</v>
      </c>
      <c r="AJ394" s="19" t="str">
        <f aca="false">IF(C394="","",TEXT(C394,"rrrr"))</f>
        <v>CE5786CE5786</v>
      </c>
      <c r="AK394" s="10"/>
      <c r="AL394" s="11" t="n">
        <v>0</v>
      </c>
      <c r="AM394" s="10" t="s">
        <v>756</v>
      </c>
      <c r="AN394" s="10" t="s">
        <v>59</v>
      </c>
      <c r="AO394" s="10"/>
      <c r="AP394" s="10"/>
      <c r="AQ394" s="10"/>
      <c r="AR394" s="10" t="s">
        <v>81</v>
      </c>
      <c r="AS394" s="10"/>
      <c r="AT394" s="15" t="n">
        <v>1</v>
      </c>
    </row>
    <row r="395" customFormat="false" ht="28.5" hidden="false" customHeight="true" outlineLevel="0" collapsed="false">
      <c r="A395" s="12" t="n">
        <v>46251</v>
      </c>
      <c r="B395" s="12" t="s">
        <v>700</v>
      </c>
      <c r="C395" s="12" t="n">
        <v>46251</v>
      </c>
      <c r="D395" s="10" t="s">
        <v>54</v>
      </c>
      <c r="E395" s="10" t="s">
        <v>63</v>
      </c>
      <c r="F395" s="13" t="s">
        <v>755</v>
      </c>
      <c r="G395" s="14" t="s">
        <v>49</v>
      </c>
      <c r="H395" s="10" t="s">
        <v>50</v>
      </c>
      <c r="I395" s="15" t="n">
        <v>80</v>
      </c>
      <c r="J395" s="10" t="s">
        <v>51</v>
      </c>
      <c r="K395" s="15" t="n">
        <v>0</v>
      </c>
      <c r="L395" s="11" t="n">
        <v>0</v>
      </c>
      <c r="M395" s="11" t="n">
        <v>0</v>
      </c>
      <c r="N395" s="10" t="s">
        <v>52</v>
      </c>
      <c r="O395" s="10" t="s">
        <v>67</v>
      </c>
      <c r="P395" s="10"/>
      <c r="Q395" s="16" t="n">
        <v>0</v>
      </c>
      <c r="R395" s="10" t="s">
        <v>68</v>
      </c>
      <c r="S395" s="10" t="s">
        <v>69</v>
      </c>
      <c r="T395" s="10" t="n">
        <v>62</v>
      </c>
      <c r="U395" s="11" t="n">
        <f aca="false">IF(E395="TRANSPORT",IF(T395="","",T395*5),IF(AL395="","",AL395))</f>
        <v>310</v>
      </c>
      <c r="V395" s="10" t="s">
        <v>54</v>
      </c>
      <c r="W395" s="15" t="s">
        <v>629</v>
      </c>
      <c r="X395" s="15"/>
      <c r="Y395" s="17" t="n">
        <v>46255.572974537</v>
      </c>
      <c r="Z395" s="18" t="n">
        <f aca="false">IF(I395="",0,IF(ISNUMBER(SEARCH("mp",LOWER(J395))),I395,IF(ISNUMBER(SEARCH("ton",LOWER(J395))),I395/0.33,IF(ISNUMBER(SEARCH("m3",LOWER(J395))),I395*4,I395))))</f>
        <v>80</v>
      </c>
      <c r="AA395" s="18" t="n">
        <f aca="false">IF(I395="",0,IF(ISNUMBER(SEARCH("mp",LOWER(J395))),I395*0.33,IF(ISNUMBER(SEARCH("ton",LOWER(J395))),I395,I395*0.33)))</f>
        <v>26.4</v>
      </c>
      <c r="AB395" s="18" t="n">
        <f aca="false">Tabela_dane[[#This Row],[Wolumen_t]]*8.5</f>
        <v>224.4</v>
      </c>
      <c r="AC395" s="18" t="n">
        <f aca="false">IF(G395&lt;&gt;"TAK",0,IF(OR(E395="ZAKUP",E395="PRODUKCJA"),Z395,IF(OR(E395="SPRZEDAŻ",E395="ZUŻYCIE"),-Z395,0)))</f>
        <v>80</v>
      </c>
      <c r="AD395" s="18" t="n">
        <f aca="false">IF(G395&lt;&gt;"TAK",0,IF(OR(E395="ZAKUP",E395="PRODUKCJA"),AA395,IF(OR(E395="SPRZEDAŻ",E395="ZUŻYCIE"),-AA395,0)))</f>
        <v>26.4</v>
      </c>
      <c r="AE395" s="19" t="n">
        <f aca="false">IF(E395="ZAKUP",IF(L395&lt;&gt;"",L395,IF(K395&lt;&gt;"",Z395*K395,0)),0)</f>
        <v>0</v>
      </c>
      <c r="AF395" s="19" t="n">
        <f aca="false">IF(E395="SPRZEDAŻ",IF(M395&lt;&gt;"",Z395*M395,0),0)</f>
        <v>0</v>
      </c>
      <c r="AG395" s="19" t="str">
        <f aca="false">IF(R395="","",IF(LOWER(R395)="brak","Brak",IF(OR(ISNUMBER(SEARCH("ric pl",LOWER(R395))),ISNUMBER(SEARCH("wojciechowski",LOWER(R395)))),"Własny","Zewnętrzny")))</f>
        <v>Zewnętrzny</v>
      </c>
      <c r="AH395" s="19" t="n">
        <f aca="false">Z395*Q395</f>
        <v>0</v>
      </c>
      <c r="AI395" s="19" t="str">
        <f aca="false">UPPER(TEXT(C395,"mmmm"))</f>
        <v>AUGUST</v>
      </c>
      <c r="AJ395" s="19" t="str">
        <f aca="false">IF(C395="","",TEXT(C395,"rrrr"))</f>
        <v>CE5786CE5786</v>
      </c>
      <c r="AK395" s="10"/>
      <c r="AL395" s="11" t="n">
        <v>310</v>
      </c>
      <c r="AM395" s="10" t="s">
        <v>757</v>
      </c>
      <c r="AN395" s="10" t="s">
        <v>49</v>
      </c>
      <c r="AO395" s="10"/>
      <c r="AP395" s="10"/>
      <c r="AQ395" s="10"/>
      <c r="AR395" s="10" t="s">
        <v>66</v>
      </c>
      <c r="AS395" s="10"/>
      <c r="AT395" s="15" t="n">
        <v>1</v>
      </c>
    </row>
    <row r="396" customFormat="false" ht="28.5" hidden="false" customHeight="true" outlineLevel="0" collapsed="false">
      <c r="A396" s="12" t="n">
        <v>46251</v>
      </c>
      <c r="B396" s="12"/>
      <c r="C396" s="12" t="n">
        <v>46251</v>
      </c>
      <c r="D396" s="10" t="s">
        <v>694</v>
      </c>
      <c r="E396" s="10" t="s">
        <v>63</v>
      </c>
      <c r="F396" s="46" t="s">
        <v>758</v>
      </c>
      <c r="G396" s="14" t="s">
        <v>49</v>
      </c>
      <c r="H396" s="10" t="s">
        <v>50</v>
      </c>
      <c r="I396" s="15" t="n">
        <v>20</v>
      </c>
      <c r="J396" s="10" t="s">
        <v>77</v>
      </c>
      <c r="K396" s="15" t="n">
        <v>112</v>
      </c>
      <c r="L396" s="11" t="n">
        <v>2240</v>
      </c>
      <c r="M396" s="11" t="n">
        <v>0</v>
      </c>
      <c r="N396" s="10" t="s">
        <v>64</v>
      </c>
      <c r="O396" s="10"/>
      <c r="P396" s="10"/>
      <c r="Q396" s="16" t="n">
        <v>0</v>
      </c>
      <c r="R396" s="10"/>
      <c r="S396" s="10"/>
      <c r="T396" s="10" t="n">
        <v>0</v>
      </c>
      <c r="U396" s="11" t="n">
        <f aca="false">IF(E396="TRANSPORT",IF(T396="","",T396*5),IF(AL396="","",AL396))</f>
        <v>0</v>
      </c>
      <c r="V396" s="10" t="s">
        <v>54</v>
      </c>
      <c r="W396" s="15" t="s">
        <v>759</v>
      </c>
      <c r="X396" s="15"/>
      <c r="Y396" s="17" t="n">
        <v>46255.574537037</v>
      </c>
      <c r="Z396" s="18" t="n">
        <f aca="false">IF(I396="",0,IF(ISNUMBER(SEARCH("mp",LOWER(J396))),I396,IF(ISNUMBER(SEARCH("ton",LOWER(J396))),I396/0.33,IF(ISNUMBER(SEARCH("m3",LOWER(J396))),I396*4,I396))))</f>
        <v>80</v>
      </c>
      <c r="AA396" s="18" t="n">
        <f aca="false">IF(I396="",0,IF(ISNUMBER(SEARCH("mp",LOWER(J396))),I396*0.33,IF(ISNUMBER(SEARCH("ton",LOWER(J396))),I396,I396*0.33)))</f>
        <v>6.6</v>
      </c>
      <c r="AB396" s="18" t="n">
        <f aca="false">Tabela_dane[[#This Row],[Wolumen_t]]*8.5</f>
        <v>56.1</v>
      </c>
      <c r="AC396" s="18" t="n">
        <f aca="false">IF(G396&lt;&gt;"TAK",0,IF(OR(E396="ZAKUP",E396="PRODUKCJA"),Z396,IF(OR(E396="SPRZEDAŻ",E396="ZUŻYCIE"),-Z396,0)))</f>
        <v>80</v>
      </c>
      <c r="AD396" s="18" t="n">
        <f aca="false">IF(G396&lt;&gt;"TAK",0,IF(OR(E396="ZAKUP",E396="PRODUKCJA"),AA396,IF(OR(E396="SPRZEDAŻ",E396="ZUŻYCIE"),-AA396,0)))</f>
        <v>6.6</v>
      </c>
      <c r="AE396" s="19" t="n">
        <f aca="false">IF(E396="ZAKUP",IF(L396&lt;&gt;"",L396,IF(K396&lt;&gt;"",Z396*K396,0)),0)</f>
        <v>2240</v>
      </c>
      <c r="AF396" s="19" t="n">
        <f aca="false">IF(E396="SPRZEDAŻ",IF(M396&lt;&gt;"",Z396*M396,0),0)</f>
        <v>0</v>
      </c>
      <c r="AG396" s="19" t="str">
        <f aca="false">IF(R396="","",IF(LOWER(R396)="brak","Brak",IF(OR(ISNUMBER(SEARCH("ric pl",LOWER(R396))),ISNUMBER(SEARCH("wojciechowski",LOWER(R396)))),"Własny","Zewnętrzny")))</f>
        <v/>
      </c>
      <c r="AH396" s="19" t="n">
        <f aca="false">Z396*Q396</f>
        <v>0</v>
      </c>
      <c r="AI396" s="19" t="str">
        <f aca="false">UPPER(TEXT(C396,"mmmm"))</f>
        <v>AUGUST</v>
      </c>
      <c r="AJ396" s="19" t="str">
        <f aca="false">IF(C396="","",TEXT(C396,"rrrr"))</f>
        <v>CE5786CE5786</v>
      </c>
      <c r="AK396" s="10"/>
      <c r="AL396" s="11" t="n">
        <v>0</v>
      </c>
      <c r="AM396" s="10" t="s">
        <v>760</v>
      </c>
      <c r="AN396" s="10" t="s">
        <v>59</v>
      </c>
      <c r="AO396" s="10"/>
      <c r="AP396" s="10"/>
      <c r="AQ396" s="10"/>
      <c r="AR396" s="10" t="s">
        <v>66</v>
      </c>
      <c r="AS396" s="10"/>
      <c r="AT396" s="15" t="n">
        <v>1</v>
      </c>
    </row>
    <row r="397" customFormat="false" ht="28.5" hidden="false" customHeight="true" outlineLevel="0" collapsed="false">
      <c r="A397" s="12" t="n">
        <v>46251</v>
      </c>
      <c r="B397" s="12"/>
      <c r="C397" s="12" t="n">
        <v>46251</v>
      </c>
      <c r="D397" s="10" t="s">
        <v>54</v>
      </c>
      <c r="E397" s="10" t="s">
        <v>47</v>
      </c>
      <c r="F397" s="13" t="s">
        <v>761</v>
      </c>
      <c r="G397" s="14" t="s">
        <v>49</v>
      </c>
      <c r="H397" s="10" t="s">
        <v>50</v>
      </c>
      <c r="I397" s="15" t="n">
        <v>80</v>
      </c>
      <c r="J397" s="10" t="s">
        <v>51</v>
      </c>
      <c r="K397" s="15" t="n">
        <v>0</v>
      </c>
      <c r="L397" s="11" t="n">
        <v>0</v>
      </c>
      <c r="M397" s="11" t="n">
        <v>0</v>
      </c>
      <c r="N397" s="10" t="s">
        <v>52</v>
      </c>
      <c r="O397" s="10" t="s">
        <v>67</v>
      </c>
      <c r="P397" s="10" t="s">
        <v>53</v>
      </c>
      <c r="Q397" s="16" t="n">
        <v>10</v>
      </c>
      <c r="R397" s="10"/>
      <c r="S397" s="10"/>
      <c r="T397" s="10" t="n">
        <v>0</v>
      </c>
      <c r="U397" s="11" t="n">
        <f aca="false">IF(E397="TRANSPORT",IF(T397="","",T397*5),IF(AL397="","",AL397))</f>
        <v>0</v>
      </c>
      <c r="V397" s="10" t="s">
        <v>54</v>
      </c>
      <c r="W397" s="15" t="s">
        <v>655</v>
      </c>
      <c r="X397" s="15" t="s">
        <v>54</v>
      </c>
      <c r="Y397" s="17" t="n">
        <v>46255.5767939815</v>
      </c>
      <c r="Z397" s="18" t="n">
        <f aca="false">IF(I397="",0,IF(ISNUMBER(SEARCH("mp",LOWER(J397))),I397,IF(ISNUMBER(SEARCH("ton",LOWER(J397))),I397/0.33,IF(ISNUMBER(SEARCH("m3",LOWER(J397))),I397*4,I397))))</f>
        <v>80</v>
      </c>
      <c r="AA397" s="18" t="n">
        <f aca="false">IF(I397="",0,IF(ISNUMBER(SEARCH("mp",LOWER(J397))),I397*0.33,IF(ISNUMBER(SEARCH("ton",LOWER(J397))),I397,I397*0.33)))</f>
        <v>26.4</v>
      </c>
      <c r="AB397" s="18" t="n">
        <f aca="false">Tabela_dane[[#This Row],[Wolumen_t]]*8.5</f>
        <v>224.4</v>
      </c>
      <c r="AC397" s="18" t="n">
        <f aca="false">IF(G397&lt;&gt;"TAK",0,IF(OR(E397="ZAKUP",E397="PRODUKCJA"),Z397,IF(OR(E397="SPRZEDAŻ",E397="ZUŻYCIE"),-Z397,0)))</f>
        <v>80</v>
      </c>
      <c r="AD397" s="18" t="n">
        <f aca="false">IF(G397&lt;&gt;"TAK",0,IF(OR(E397="ZAKUP",E397="PRODUKCJA"),AA397,IF(OR(E397="SPRZEDAŻ",E397="ZUŻYCIE"),-AA397,0)))</f>
        <v>26.4</v>
      </c>
      <c r="AE397" s="19" t="n">
        <f aca="false">IF(E397="ZAKUP",IF(L397&lt;&gt;"",L397,IF(K397&lt;&gt;"",Z397*K397,0)),0)</f>
        <v>0</v>
      </c>
      <c r="AF397" s="19" t="n">
        <f aca="false">IF(E397="SPRZEDAŻ",IF(M397&lt;&gt;"",Z397*M397,0),0)</f>
        <v>0</v>
      </c>
      <c r="AG397" s="19" t="str">
        <f aca="false">IF(R397="","",IF(LOWER(R397)="brak","Brak",IF(OR(ISNUMBER(SEARCH("ric pl",LOWER(R397))),ISNUMBER(SEARCH("wojciechowski",LOWER(R397)))),"Własny","Zewnętrzny")))</f>
        <v/>
      </c>
      <c r="AH397" s="19" t="n">
        <f aca="false">Z397*Q397</f>
        <v>800</v>
      </c>
      <c r="AI397" s="19" t="str">
        <f aca="false">UPPER(TEXT(C397,"mmmm"))</f>
        <v>AUGUST</v>
      </c>
      <c r="AJ397" s="19" t="str">
        <f aca="false">IF(C397="","",TEXT(C397,"rrrr"))</f>
        <v>CE5786CE5786</v>
      </c>
      <c r="AK397" s="10"/>
      <c r="AL397" s="11" t="n">
        <v>0</v>
      </c>
      <c r="AM397" s="10" t="s">
        <v>762</v>
      </c>
      <c r="AN397" s="10" t="s">
        <v>59</v>
      </c>
      <c r="AO397" s="10"/>
      <c r="AP397" s="10"/>
      <c r="AQ397" s="10"/>
      <c r="AR397" s="10" t="s">
        <v>66</v>
      </c>
      <c r="AS397" s="10"/>
      <c r="AT397" s="15" t="n">
        <v>1</v>
      </c>
    </row>
    <row r="398" customFormat="false" ht="28.5" hidden="false" customHeight="true" outlineLevel="0" collapsed="false">
      <c r="A398" s="12" t="n">
        <v>46251</v>
      </c>
      <c r="B398" s="12"/>
      <c r="C398" s="12" t="n">
        <v>46251</v>
      </c>
      <c r="D398" s="10" t="s">
        <v>54</v>
      </c>
      <c r="E398" s="10" t="s">
        <v>79</v>
      </c>
      <c r="F398" s="13" t="s">
        <v>761</v>
      </c>
      <c r="G398" s="14" t="s">
        <v>49</v>
      </c>
      <c r="H398" s="10" t="s">
        <v>50</v>
      </c>
      <c r="I398" s="15" t="n">
        <v>80</v>
      </c>
      <c r="J398" s="10" t="s">
        <v>51</v>
      </c>
      <c r="K398" s="15" t="n">
        <v>0</v>
      </c>
      <c r="L398" s="11" t="n">
        <v>0</v>
      </c>
      <c r="M398" s="11" t="n">
        <v>0</v>
      </c>
      <c r="N398" s="10" t="s">
        <v>52</v>
      </c>
      <c r="O398" s="10" t="s">
        <v>67</v>
      </c>
      <c r="P398" s="10" t="s">
        <v>53</v>
      </c>
      <c r="Q398" s="16" t="n">
        <v>10</v>
      </c>
      <c r="R398" s="10"/>
      <c r="S398" s="10"/>
      <c r="T398" s="10" t="n">
        <v>0</v>
      </c>
      <c r="U398" s="11" t="n">
        <f aca="false">IF(E398="TRANSPORT",IF(T398="","",T398*5),IF(AL398="","",AL398))</f>
        <v>0</v>
      </c>
      <c r="V398" s="10" t="s">
        <v>54</v>
      </c>
      <c r="W398" s="15" t="s">
        <v>260</v>
      </c>
      <c r="X398" s="15" t="s">
        <v>54</v>
      </c>
      <c r="Y398" s="17" t="n">
        <v>46255.5767939815</v>
      </c>
      <c r="Z398" s="18" t="n">
        <f aca="false">IF(I398="",0,IF(ISNUMBER(SEARCH("mp",LOWER(J398))),I398,IF(ISNUMBER(SEARCH("ton",LOWER(J398))),I398/0.33,IF(ISNUMBER(SEARCH("m3",LOWER(J398))),I398*4,I398))))</f>
        <v>80</v>
      </c>
      <c r="AA398" s="18" t="n">
        <f aca="false">IF(I398="",0,IF(ISNUMBER(SEARCH("mp",LOWER(J398))),I398*0.33,IF(ISNUMBER(SEARCH("ton",LOWER(J398))),I398,I398*0.33)))</f>
        <v>26.4</v>
      </c>
      <c r="AB398" s="18" t="n">
        <f aca="false">Tabela_dane[[#This Row],[Wolumen_t]]*8.5</f>
        <v>224.4</v>
      </c>
      <c r="AC398" s="18" t="n">
        <f aca="false">IF(G398&lt;&gt;"TAK",0,IF(OR(E398="ZAKUP",E398="PRODUKCJA"),Z398,IF(OR(E398="SPRZEDAŻ",E398="ZUŻYCIE"),-Z398,0)))</f>
        <v>-80</v>
      </c>
      <c r="AD398" s="18" t="n">
        <f aca="false">IF(G398&lt;&gt;"TAK",0,IF(OR(E398="ZAKUP",E398="PRODUKCJA"),AA398,IF(OR(E398="SPRZEDAŻ",E398="ZUŻYCIE"),-AA398,0)))</f>
        <v>-26.4</v>
      </c>
      <c r="AE398" s="19" t="n">
        <f aca="false">IF(E398="ZAKUP",IF(L398&lt;&gt;"",L398,IF(K398&lt;&gt;"",Z398*K398,0)),0)</f>
        <v>0</v>
      </c>
      <c r="AF398" s="19" t="n">
        <f aca="false">IF(E398="SPRZEDAŻ",IF(M398&lt;&gt;"",Z398*M398,0),0)</f>
        <v>0</v>
      </c>
      <c r="AG398" s="19" t="str">
        <f aca="false">IF(R398="","",IF(LOWER(R398)="brak","Brak",IF(OR(ISNUMBER(SEARCH("ric pl",LOWER(R398))),ISNUMBER(SEARCH("wojciechowski",LOWER(R398)))),"Własny","Zewnętrzny")))</f>
        <v/>
      </c>
      <c r="AH398" s="19" t="n">
        <f aca="false">Z398*Q398</f>
        <v>800</v>
      </c>
      <c r="AI398" s="19" t="str">
        <f aca="false">UPPER(TEXT(C398,"mmmm"))</f>
        <v>AUGUST</v>
      </c>
      <c r="AJ398" s="19" t="str">
        <f aca="false">IF(C398="","",TEXT(C398,"rrrr"))</f>
        <v>CE5786CE5786</v>
      </c>
      <c r="AK398" s="10"/>
      <c r="AL398" s="11" t="n">
        <v>0</v>
      </c>
      <c r="AM398" s="10" t="s">
        <v>762</v>
      </c>
      <c r="AN398" s="10" t="s">
        <v>59</v>
      </c>
      <c r="AO398" s="10"/>
      <c r="AP398" s="10"/>
      <c r="AQ398" s="10"/>
      <c r="AR398" s="10" t="s">
        <v>81</v>
      </c>
      <c r="AS398" s="10"/>
      <c r="AT398" s="15" t="n">
        <v>1</v>
      </c>
    </row>
    <row r="399" customFormat="false" ht="28.5" hidden="false" customHeight="true" outlineLevel="0" collapsed="false">
      <c r="A399" s="12" t="n">
        <v>46251</v>
      </c>
      <c r="B399" s="12" t="s">
        <v>700</v>
      </c>
      <c r="C399" s="12" t="n">
        <v>46251</v>
      </c>
      <c r="D399" s="10" t="s">
        <v>54</v>
      </c>
      <c r="E399" s="10" t="s">
        <v>63</v>
      </c>
      <c r="F399" s="13" t="s">
        <v>761</v>
      </c>
      <c r="G399" s="14" t="s">
        <v>49</v>
      </c>
      <c r="H399" s="10" t="s">
        <v>50</v>
      </c>
      <c r="I399" s="15" t="n">
        <v>80</v>
      </c>
      <c r="J399" s="10" t="s">
        <v>51</v>
      </c>
      <c r="K399" s="15" t="n">
        <v>0</v>
      </c>
      <c r="L399" s="11" t="n">
        <v>0</v>
      </c>
      <c r="M399" s="11" t="n">
        <v>0</v>
      </c>
      <c r="N399" s="10" t="s">
        <v>52</v>
      </c>
      <c r="O399" s="10" t="s">
        <v>67</v>
      </c>
      <c r="P399" s="10"/>
      <c r="Q399" s="16" t="n">
        <v>0</v>
      </c>
      <c r="R399" s="10" t="s">
        <v>182</v>
      </c>
      <c r="S399" s="10" t="s">
        <v>509</v>
      </c>
      <c r="T399" s="10" t="n">
        <v>62</v>
      </c>
      <c r="U399" s="11" t="n">
        <f aca="false">IF(E399="TRANSPORT",IF(T399="","",T399*5),IF(AL399="","",AL399))</f>
        <v>310</v>
      </c>
      <c r="V399" s="10" t="s">
        <v>54</v>
      </c>
      <c r="W399" s="15" t="s">
        <v>629</v>
      </c>
      <c r="X399" s="15"/>
      <c r="Y399" s="17" t="n">
        <v>46255.5806712963</v>
      </c>
      <c r="Z399" s="18" t="n">
        <f aca="false">IF(I399="",0,IF(ISNUMBER(SEARCH("mp",LOWER(J399))),I399,IF(ISNUMBER(SEARCH("ton",LOWER(J399))),I399/0.33,IF(ISNUMBER(SEARCH("m3",LOWER(J399))),I399*4,I399))))</f>
        <v>80</v>
      </c>
      <c r="AA399" s="18" t="n">
        <f aca="false">IF(I399="",0,IF(ISNUMBER(SEARCH("mp",LOWER(J399))),I399*0.33,IF(ISNUMBER(SEARCH("ton",LOWER(J399))),I399,I399*0.33)))</f>
        <v>26.4</v>
      </c>
      <c r="AB399" s="18" t="n">
        <f aca="false">Tabela_dane[[#This Row],[Wolumen_t]]*8.5</f>
        <v>224.4</v>
      </c>
      <c r="AC399" s="18" t="n">
        <f aca="false">IF(G399&lt;&gt;"TAK",0,IF(OR(E399="ZAKUP",E399="PRODUKCJA"),Z399,IF(OR(E399="SPRZEDAŻ",E399="ZUŻYCIE"),-Z399,0)))</f>
        <v>80</v>
      </c>
      <c r="AD399" s="18" t="n">
        <f aca="false">IF(G399&lt;&gt;"TAK",0,IF(OR(E399="ZAKUP",E399="PRODUKCJA"),AA399,IF(OR(E399="SPRZEDAŻ",E399="ZUŻYCIE"),-AA399,0)))</f>
        <v>26.4</v>
      </c>
      <c r="AE399" s="19" t="n">
        <f aca="false">IF(E399="ZAKUP",IF(L399&lt;&gt;"",L399,IF(K399&lt;&gt;"",Z399*K399,0)),0)</f>
        <v>0</v>
      </c>
      <c r="AF399" s="19" t="n">
        <f aca="false">IF(E399="SPRZEDAŻ",IF(M399&lt;&gt;"",Z399*M399,0),0)</f>
        <v>0</v>
      </c>
      <c r="AG399" s="19" t="str">
        <f aca="false">IF(R399="","",IF(LOWER(R399)="brak","Brak",IF(OR(ISNUMBER(SEARCH("ric pl",LOWER(R399))),ISNUMBER(SEARCH("wojciechowski",LOWER(R399)))),"Własny","Zewnętrzny")))</f>
        <v>Zewnętrzny</v>
      </c>
      <c r="AH399" s="19" t="n">
        <f aca="false">Z399*Q399</f>
        <v>0</v>
      </c>
      <c r="AI399" s="19" t="str">
        <f aca="false">UPPER(TEXT(C399,"mmmm"))</f>
        <v>AUGUST</v>
      </c>
      <c r="AJ399" s="19" t="str">
        <f aca="false">IF(C399="","",TEXT(C399,"rrrr"))</f>
        <v>CE5786CE5786</v>
      </c>
      <c r="AK399" s="10"/>
      <c r="AL399" s="11" t="n">
        <v>310</v>
      </c>
      <c r="AM399" s="10" t="s">
        <v>763</v>
      </c>
      <c r="AN399" s="10" t="s">
        <v>49</v>
      </c>
      <c r="AO399" s="10"/>
      <c r="AP399" s="10"/>
      <c r="AQ399" s="10"/>
      <c r="AR399" s="10" t="s">
        <v>66</v>
      </c>
      <c r="AS399" s="10"/>
      <c r="AT399" s="15" t="n">
        <v>1</v>
      </c>
    </row>
    <row r="400" customFormat="false" ht="28.5" hidden="false" customHeight="true" outlineLevel="0" collapsed="false">
      <c r="A400" s="12" t="n">
        <v>46251</v>
      </c>
      <c r="B400" s="12"/>
      <c r="C400" s="12" t="n">
        <v>46251</v>
      </c>
      <c r="D400" s="10" t="s">
        <v>694</v>
      </c>
      <c r="E400" s="10" t="s">
        <v>63</v>
      </c>
      <c r="F400" s="46" t="s">
        <v>764</v>
      </c>
      <c r="G400" s="14" t="s">
        <v>49</v>
      </c>
      <c r="H400" s="10" t="s">
        <v>50</v>
      </c>
      <c r="I400" s="15" t="n">
        <v>20</v>
      </c>
      <c r="J400" s="10" t="s">
        <v>77</v>
      </c>
      <c r="K400" s="15" t="n">
        <v>112</v>
      </c>
      <c r="L400" s="11" t="n">
        <v>2240</v>
      </c>
      <c r="M400" s="11" t="n">
        <v>0</v>
      </c>
      <c r="N400" s="10" t="s">
        <v>64</v>
      </c>
      <c r="O400" s="10"/>
      <c r="P400" s="10"/>
      <c r="Q400" s="16" t="n">
        <v>0</v>
      </c>
      <c r="R400" s="10"/>
      <c r="S400" s="10"/>
      <c r="T400" s="10" t="n">
        <v>0</v>
      </c>
      <c r="U400" s="11" t="n">
        <f aca="false">IF(E400="TRANSPORT",IF(T400="","",T400*5),IF(AL400="","",AL400))</f>
        <v>0</v>
      </c>
      <c r="V400" s="10" t="s">
        <v>54</v>
      </c>
      <c r="W400" s="15" t="s">
        <v>765</v>
      </c>
      <c r="X400" s="15"/>
      <c r="Y400" s="17" t="n">
        <v>46255.616099537</v>
      </c>
      <c r="Z400" s="18" t="n">
        <f aca="false">IF(I400="",0,IF(ISNUMBER(SEARCH("mp",LOWER(J400))),I400,IF(ISNUMBER(SEARCH("ton",LOWER(J400))),I400/0.33,IF(ISNUMBER(SEARCH("m3",LOWER(J400))),I400*4,I400))))</f>
        <v>80</v>
      </c>
      <c r="AA400" s="18" t="n">
        <f aca="false">IF(I400="",0,IF(ISNUMBER(SEARCH("mp",LOWER(J400))),I400*0.33,IF(ISNUMBER(SEARCH("ton",LOWER(J400))),I400,I400*0.33)))</f>
        <v>6.6</v>
      </c>
      <c r="AB400" s="18" t="n">
        <f aca="false">Tabela_dane[[#This Row],[Wolumen_t]]*8.5</f>
        <v>56.1</v>
      </c>
      <c r="AC400" s="18" t="n">
        <f aca="false">IF(G400&lt;&gt;"TAK",0,IF(OR(E400="ZAKUP",E400="PRODUKCJA"),Z400,IF(OR(E400="SPRZEDAŻ",E400="ZUŻYCIE"),-Z400,0)))</f>
        <v>80</v>
      </c>
      <c r="AD400" s="18" t="n">
        <f aca="false">IF(G400&lt;&gt;"TAK",0,IF(OR(E400="ZAKUP",E400="PRODUKCJA"),AA400,IF(OR(E400="SPRZEDAŻ",E400="ZUŻYCIE"),-AA400,0)))</f>
        <v>6.6</v>
      </c>
      <c r="AE400" s="19" t="n">
        <f aca="false">IF(E400="ZAKUP",IF(L400&lt;&gt;"",L400,IF(K400&lt;&gt;"",Z400*K400,0)),0)</f>
        <v>2240</v>
      </c>
      <c r="AF400" s="19" t="n">
        <f aca="false">IF(E400="SPRZEDAŻ",IF(M400&lt;&gt;"",Z400*M400,0),0)</f>
        <v>0</v>
      </c>
      <c r="AG400" s="19" t="str">
        <f aca="false">IF(R400="","",IF(LOWER(R400)="brak","Brak",IF(OR(ISNUMBER(SEARCH("ric pl",LOWER(R400))),ISNUMBER(SEARCH("wojciechowski",LOWER(R400)))),"Własny","Zewnętrzny")))</f>
        <v/>
      </c>
      <c r="AH400" s="19" t="n">
        <f aca="false">Z400*Q400</f>
        <v>0</v>
      </c>
      <c r="AI400" s="19" t="str">
        <f aca="false">UPPER(TEXT(C400,"mmmm"))</f>
        <v>AUGUST</v>
      </c>
      <c r="AJ400" s="19" t="str">
        <f aca="false">IF(C400="","",TEXT(C400,"rrrr"))</f>
        <v>CE5786CE5786</v>
      </c>
      <c r="AK400" s="10"/>
      <c r="AL400" s="11" t="n">
        <v>0</v>
      </c>
      <c r="AM400" s="10" t="s">
        <v>766</v>
      </c>
      <c r="AN400" s="10" t="s">
        <v>59</v>
      </c>
      <c r="AO400" s="10"/>
      <c r="AP400" s="10"/>
      <c r="AQ400" s="10"/>
      <c r="AR400" s="10" t="s">
        <v>66</v>
      </c>
      <c r="AS400" s="10"/>
      <c r="AT400" s="15" t="n">
        <v>1</v>
      </c>
    </row>
    <row r="401" customFormat="false" ht="28.5" hidden="false" customHeight="true" outlineLevel="0" collapsed="false">
      <c r="A401" s="12" t="n">
        <v>46251</v>
      </c>
      <c r="B401" s="12"/>
      <c r="C401" s="12" t="n">
        <v>46251</v>
      </c>
      <c r="D401" s="10" t="s">
        <v>54</v>
      </c>
      <c r="E401" s="10" t="s">
        <v>47</v>
      </c>
      <c r="F401" s="13" t="s">
        <v>767</v>
      </c>
      <c r="G401" s="14" t="s">
        <v>49</v>
      </c>
      <c r="H401" s="10" t="s">
        <v>50</v>
      </c>
      <c r="I401" s="15" t="n">
        <v>80</v>
      </c>
      <c r="J401" s="10" t="s">
        <v>51</v>
      </c>
      <c r="K401" s="15" t="n">
        <v>0</v>
      </c>
      <c r="L401" s="11" t="n">
        <v>0</v>
      </c>
      <c r="M401" s="11" t="n">
        <v>0</v>
      </c>
      <c r="N401" s="10" t="s">
        <v>52</v>
      </c>
      <c r="O401" s="10" t="s">
        <v>67</v>
      </c>
      <c r="P401" s="10" t="s">
        <v>53</v>
      </c>
      <c r="Q401" s="16" t="n">
        <v>10</v>
      </c>
      <c r="R401" s="10"/>
      <c r="S401" s="10"/>
      <c r="T401" s="10" t="n">
        <v>0</v>
      </c>
      <c r="U401" s="11" t="n">
        <f aca="false">IF(E401="TRANSPORT",IF(T401="","",T401*5),IF(AL401="","",AL401))</f>
        <v>0</v>
      </c>
      <c r="V401" s="10" t="s">
        <v>54</v>
      </c>
      <c r="W401" s="15" t="s">
        <v>655</v>
      </c>
      <c r="X401" s="15" t="s">
        <v>54</v>
      </c>
      <c r="Y401" s="17" t="n">
        <v>46255.6199537037</v>
      </c>
      <c r="Z401" s="18" t="n">
        <f aca="false">IF(I401="",0,IF(ISNUMBER(SEARCH("mp",LOWER(J401))),I401,IF(ISNUMBER(SEARCH("ton",LOWER(J401))),I401/0.33,IF(ISNUMBER(SEARCH("m3",LOWER(J401))),I401*4,I401))))</f>
        <v>80</v>
      </c>
      <c r="AA401" s="18" t="n">
        <f aca="false">IF(I401="",0,IF(ISNUMBER(SEARCH("mp",LOWER(J401))),I401*0.33,IF(ISNUMBER(SEARCH("ton",LOWER(J401))),I401,I401*0.33)))</f>
        <v>26.4</v>
      </c>
      <c r="AB401" s="18" t="n">
        <f aca="false">Tabela_dane[[#This Row],[Wolumen_t]]*8.5</f>
        <v>224.4</v>
      </c>
      <c r="AC401" s="18" t="n">
        <f aca="false">IF(G401&lt;&gt;"TAK",0,IF(OR(E401="ZAKUP",E401="PRODUKCJA"),Z401,IF(OR(E401="SPRZEDAŻ",E401="ZUŻYCIE"),-Z401,0)))</f>
        <v>80</v>
      </c>
      <c r="AD401" s="18" t="n">
        <f aca="false">IF(G401&lt;&gt;"TAK",0,IF(OR(E401="ZAKUP",E401="PRODUKCJA"),AA401,IF(OR(E401="SPRZEDAŻ",E401="ZUŻYCIE"),-AA401,0)))</f>
        <v>26.4</v>
      </c>
      <c r="AE401" s="19" t="n">
        <f aca="false">IF(E401="ZAKUP",IF(L401&lt;&gt;"",L401,IF(K401&lt;&gt;"",Z401*K401,0)),0)</f>
        <v>0</v>
      </c>
      <c r="AF401" s="19" t="n">
        <f aca="false">IF(E401="SPRZEDAŻ",IF(M401&lt;&gt;"",Z401*M401,0),0)</f>
        <v>0</v>
      </c>
      <c r="AG401" s="19" t="str">
        <f aca="false">IF(R401="","",IF(LOWER(R401)="brak","Brak",IF(OR(ISNUMBER(SEARCH("ric pl",LOWER(R401))),ISNUMBER(SEARCH("wojciechowski",LOWER(R401)))),"Własny","Zewnętrzny")))</f>
        <v/>
      </c>
      <c r="AH401" s="19" t="n">
        <f aca="false">Z401*Q401</f>
        <v>800</v>
      </c>
      <c r="AI401" s="19" t="str">
        <f aca="false">UPPER(TEXT(C401,"mmmm"))</f>
        <v>AUGUST</v>
      </c>
      <c r="AJ401" s="19" t="str">
        <f aca="false">IF(C401="","",TEXT(C401,"rrrr"))</f>
        <v>CE5786CE5786</v>
      </c>
      <c r="AK401" s="10"/>
      <c r="AL401" s="11" t="n">
        <v>0</v>
      </c>
      <c r="AM401" s="10" t="s">
        <v>768</v>
      </c>
      <c r="AN401" s="10" t="s">
        <v>59</v>
      </c>
      <c r="AO401" s="10"/>
      <c r="AP401" s="10"/>
      <c r="AQ401" s="10"/>
      <c r="AR401" s="10" t="s">
        <v>66</v>
      </c>
      <c r="AS401" s="10"/>
      <c r="AT401" s="15" t="n">
        <v>1</v>
      </c>
    </row>
    <row r="402" customFormat="false" ht="28.5" hidden="false" customHeight="true" outlineLevel="0" collapsed="false">
      <c r="A402" s="12" t="n">
        <v>46251</v>
      </c>
      <c r="B402" s="12"/>
      <c r="C402" s="12" t="n">
        <v>46251</v>
      </c>
      <c r="D402" s="10" t="s">
        <v>54</v>
      </c>
      <c r="E402" s="10" t="s">
        <v>79</v>
      </c>
      <c r="F402" s="13" t="s">
        <v>767</v>
      </c>
      <c r="G402" s="14" t="s">
        <v>49</v>
      </c>
      <c r="H402" s="10" t="s">
        <v>50</v>
      </c>
      <c r="I402" s="15" t="n">
        <v>80</v>
      </c>
      <c r="J402" s="10" t="s">
        <v>51</v>
      </c>
      <c r="K402" s="15" t="n">
        <v>0</v>
      </c>
      <c r="L402" s="11" t="n">
        <v>0</v>
      </c>
      <c r="M402" s="11" t="n">
        <v>0</v>
      </c>
      <c r="N402" s="10" t="s">
        <v>52</v>
      </c>
      <c r="O402" s="10" t="s">
        <v>67</v>
      </c>
      <c r="P402" s="10" t="s">
        <v>53</v>
      </c>
      <c r="Q402" s="16" t="n">
        <v>10</v>
      </c>
      <c r="R402" s="10"/>
      <c r="S402" s="10"/>
      <c r="T402" s="10" t="n">
        <v>0</v>
      </c>
      <c r="U402" s="11" t="n">
        <f aca="false">IF(E402="TRANSPORT",IF(T402="","",T402*5),IF(AL402="","",AL402))</f>
        <v>0</v>
      </c>
      <c r="V402" s="10" t="s">
        <v>54</v>
      </c>
      <c r="W402" s="15" t="s">
        <v>260</v>
      </c>
      <c r="X402" s="15" t="s">
        <v>54</v>
      </c>
      <c r="Y402" s="17" t="n">
        <v>46255.6199537037</v>
      </c>
      <c r="Z402" s="18" t="n">
        <f aca="false">IF(I402="",0,IF(ISNUMBER(SEARCH("mp",LOWER(J402))),I402,IF(ISNUMBER(SEARCH("ton",LOWER(J402))),I402/0.33,IF(ISNUMBER(SEARCH("m3",LOWER(J402))),I402*4,I402))))</f>
        <v>80</v>
      </c>
      <c r="AA402" s="18" t="n">
        <f aca="false">IF(I402="",0,IF(ISNUMBER(SEARCH("mp",LOWER(J402))),I402*0.33,IF(ISNUMBER(SEARCH("ton",LOWER(J402))),I402,I402*0.33)))</f>
        <v>26.4</v>
      </c>
      <c r="AB402" s="18" t="n">
        <f aca="false">Tabela_dane[[#This Row],[Wolumen_t]]*8.5</f>
        <v>224.4</v>
      </c>
      <c r="AC402" s="18" t="n">
        <f aca="false">IF(G402&lt;&gt;"TAK",0,IF(OR(E402="ZAKUP",E402="PRODUKCJA"),Z402,IF(OR(E402="SPRZEDAŻ",E402="ZUŻYCIE"),-Z402,0)))</f>
        <v>-80</v>
      </c>
      <c r="AD402" s="18" t="n">
        <f aca="false">IF(G402&lt;&gt;"TAK",0,IF(OR(E402="ZAKUP",E402="PRODUKCJA"),AA402,IF(OR(E402="SPRZEDAŻ",E402="ZUŻYCIE"),-AA402,0)))</f>
        <v>-26.4</v>
      </c>
      <c r="AE402" s="19" t="n">
        <f aca="false">IF(E402="ZAKUP",IF(L402&lt;&gt;"",L402,IF(K402&lt;&gt;"",Z402*K402,0)),0)</f>
        <v>0</v>
      </c>
      <c r="AF402" s="19" t="n">
        <f aca="false">IF(E402="SPRZEDAŻ",IF(M402&lt;&gt;"",Z402*M402,0),0)</f>
        <v>0</v>
      </c>
      <c r="AG402" s="19" t="str">
        <f aca="false">IF(R402="","",IF(LOWER(R402)="brak","Brak",IF(OR(ISNUMBER(SEARCH("ric pl",LOWER(R402))),ISNUMBER(SEARCH("wojciechowski",LOWER(R402)))),"Własny","Zewnętrzny")))</f>
        <v/>
      </c>
      <c r="AH402" s="19" t="n">
        <f aca="false">Z402*Q402</f>
        <v>800</v>
      </c>
      <c r="AI402" s="19" t="str">
        <f aca="false">UPPER(TEXT(C402,"mmmm"))</f>
        <v>AUGUST</v>
      </c>
      <c r="AJ402" s="19" t="str">
        <f aca="false">IF(C402="","",TEXT(C402,"rrrr"))</f>
        <v>CE5786CE5786</v>
      </c>
      <c r="AK402" s="10"/>
      <c r="AL402" s="11" t="n">
        <v>0</v>
      </c>
      <c r="AM402" s="10" t="s">
        <v>768</v>
      </c>
      <c r="AN402" s="10" t="s">
        <v>59</v>
      </c>
      <c r="AO402" s="10"/>
      <c r="AP402" s="10"/>
      <c r="AQ402" s="10"/>
      <c r="AR402" s="10" t="s">
        <v>81</v>
      </c>
      <c r="AS402" s="10"/>
      <c r="AT402" s="15" t="n">
        <v>1</v>
      </c>
    </row>
    <row r="403" customFormat="false" ht="28.5" hidden="false" customHeight="true" outlineLevel="0" collapsed="false">
      <c r="A403" s="12" t="n">
        <v>46251</v>
      </c>
      <c r="B403" s="12" t="s">
        <v>700</v>
      </c>
      <c r="C403" s="12" t="n">
        <v>46251</v>
      </c>
      <c r="D403" s="10" t="s">
        <v>54</v>
      </c>
      <c r="E403" s="10" t="s">
        <v>63</v>
      </c>
      <c r="F403" s="13" t="s">
        <v>767</v>
      </c>
      <c r="G403" s="14" t="s">
        <v>49</v>
      </c>
      <c r="H403" s="10" t="s">
        <v>50</v>
      </c>
      <c r="I403" s="15" t="n">
        <v>80</v>
      </c>
      <c r="J403" s="10" t="s">
        <v>51</v>
      </c>
      <c r="K403" s="15" t="n">
        <v>0</v>
      </c>
      <c r="L403" s="11" t="n">
        <v>0</v>
      </c>
      <c r="M403" s="11" t="n">
        <v>0</v>
      </c>
      <c r="N403" s="10" t="s">
        <v>52</v>
      </c>
      <c r="O403" s="10" t="s">
        <v>67</v>
      </c>
      <c r="P403" s="10"/>
      <c r="Q403" s="16" t="n">
        <v>0</v>
      </c>
      <c r="R403" s="10" t="s">
        <v>742</v>
      </c>
      <c r="S403" s="10" t="s">
        <v>743</v>
      </c>
      <c r="T403" s="10" t="n">
        <v>62</v>
      </c>
      <c r="U403" s="11" t="n">
        <f aca="false">IF(E403="TRANSPORT",IF(T403="","",T403*5),IF(AL403="","",AL403))</f>
        <v>310</v>
      </c>
      <c r="V403" s="10" t="s">
        <v>54</v>
      </c>
      <c r="W403" s="15" t="s">
        <v>769</v>
      </c>
      <c r="X403" s="15"/>
      <c r="Y403" s="17" t="n">
        <v>46255.6226851852</v>
      </c>
      <c r="Z403" s="18" t="n">
        <f aca="false">IF(I403="",0,IF(ISNUMBER(SEARCH("mp",LOWER(J403))),I403,IF(ISNUMBER(SEARCH("ton",LOWER(J403))),I403/0.33,IF(ISNUMBER(SEARCH("m3",LOWER(J403))),I403*4,I403))))</f>
        <v>80</v>
      </c>
      <c r="AA403" s="18" t="n">
        <f aca="false">IF(I403="",0,IF(ISNUMBER(SEARCH("mp",LOWER(J403))),I403*0.33,IF(ISNUMBER(SEARCH("ton",LOWER(J403))),I403,I403*0.33)))</f>
        <v>26.4</v>
      </c>
      <c r="AB403" s="18" t="n">
        <f aca="false">Tabela_dane[[#This Row],[Wolumen_t]]*8.5</f>
        <v>224.4</v>
      </c>
      <c r="AC403" s="18" t="n">
        <f aca="false">IF(G403&lt;&gt;"TAK",0,IF(OR(E403="ZAKUP",E403="PRODUKCJA"),Z403,IF(OR(E403="SPRZEDAŻ",E403="ZUŻYCIE"),-Z403,0)))</f>
        <v>80</v>
      </c>
      <c r="AD403" s="18" t="n">
        <f aca="false">IF(G403&lt;&gt;"TAK",0,IF(OR(E403="ZAKUP",E403="PRODUKCJA"),AA403,IF(OR(E403="SPRZEDAŻ",E403="ZUŻYCIE"),-AA403,0)))</f>
        <v>26.4</v>
      </c>
      <c r="AE403" s="19" t="n">
        <f aca="false">IF(E403="ZAKUP",IF(L403&lt;&gt;"",L403,IF(K403&lt;&gt;"",Z403*K403,0)),0)</f>
        <v>0</v>
      </c>
      <c r="AF403" s="19" t="n">
        <f aca="false">IF(E403="SPRZEDAŻ",IF(M403&lt;&gt;"",Z403*M403,0),0)</f>
        <v>0</v>
      </c>
      <c r="AG403" s="19" t="str">
        <f aca="false">IF(R403="","",IF(LOWER(R403)="brak","Brak",IF(OR(ISNUMBER(SEARCH("ric pl",LOWER(R403))),ISNUMBER(SEARCH("wojciechowski",LOWER(R403)))),"Własny","Zewnętrzny")))</f>
        <v>Własny</v>
      </c>
      <c r="AH403" s="19" t="n">
        <f aca="false">Z403*Q403</f>
        <v>0</v>
      </c>
      <c r="AI403" s="19" t="str">
        <f aca="false">UPPER(TEXT(C403,"mmmm"))</f>
        <v>AUGUST</v>
      </c>
      <c r="AJ403" s="19" t="str">
        <f aca="false">IF(C403="","",TEXT(C403,"rrrr"))</f>
        <v>CE5786CE5786</v>
      </c>
      <c r="AK403" s="10"/>
      <c r="AL403" s="11" t="n">
        <v>310</v>
      </c>
      <c r="AM403" s="10" t="s">
        <v>770</v>
      </c>
      <c r="AN403" s="10" t="s">
        <v>49</v>
      </c>
      <c r="AO403" s="10"/>
      <c r="AP403" s="10"/>
      <c r="AQ403" s="10"/>
      <c r="AR403" s="10" t="s">
        <v>66</v>
      </c>
      <c r="AS403" s="10"/>
      <c r="AT403" s="15" t="n">
        <v>1</v>
      </c>
    </row>
    <row r="404" customFormat="false" ht="28.5" hidden="false" customHeight="true" outlineLevel="0" collapsed="false">
      <c r="A404" s="12" t="n">
        <v>46251</v>
      </c>
      <c r="B404" s="12"/>
      <c r="C404" s="12" t="n">
        <v>46251</v>
      </c>
      <c r="D404" s="10" t="s">
        <v>694</v>
      </c>
      <c r="E404" s="10" t="s">
        <v>63</v>
      </c>
      <c r="F404" s="46" t="s">
        <v>771</v>
      </c>
      <c r="G404" s="14" t="s">
        <v>49</v>
      </c>
      <c r="H404" s="10" t="s">
        <v>50</v>
      </c>
      <c r="I404" s="15" t="n">
        <v>10</v>
      </c>
      <c r="J404" s="10" t="s">
        <v>77</v>
      </c>
      <c r="K404" s="15" t="n">
        <v>112</v>
      </c>
      <c r="L404" s="11" t="n">
        <v>1120</v>
      </c>
      <c r="M404" s="11" t="n">
        <v>0</v>
      </c>
      <c r="N404" s="10" t="s">
        <v>64</v>
      </c>
      <c r="O404" s="10"/>
      <c r="P404" s="10"/>
      <c r="Q404" s="16" t="n">
        <v>0</v>
      </c>
      <c r="R404" s="10"/>
      <c r="S404" s="10"/>
      <c r="T404" s="10" t="n">
        <v>0</v>
      </c>
      <c r="U404" s="11" t="n">
        <f aca="false">IF(E404="TRANSPORT",IF(T404="","",T404*5),IF(AL404="","",AL404))</f>
        <v>0</v>
      </c>
      <c r="V404" s="10" t="s">
        <v>54</v>
      </c>
      <c r="W404" s="15" t="s">
        <v>772</v>
      </c>
      <c r="X404" s="15"/>
      <c r="Y404" s="17" t="n">
        <v>46255.6290972222</v>
      </c>
      <c r="Z404" s="18" t="n">
        <f aca="false">IF(I404="",0,IF(ISNUMBER(SEARCH("mp",LOWER(J404))),I404,IF(ISNUMBER(SEARCH("ton",LOWER(J404))),I404/0.33,IF(ISNUMBER(SEARCH("m3",LOWER(J404))),I404*4,I404))))</f>
        <v>40</v>
      </c>
      <c r="AA404" s="18" t="n">
        <f aca="false">IF(I404="",0,IF(ISNUMBER(SEARCH("mp",LOWER(J404))),I404*0.33,IF(ISNUMBER(SEARCH("ton",LOWER(J404))),I404,I404*0.33)))</f>
        <v>3.3</v>
      </c>
      <c r="AB404" s="18" t="n">
        <f aca="false">Tabela_dane[[#This Row],[Wolumen_t]]*8.5</f>
        <v>28.05</v>
      </c>
      <c r="AC404" s="18" t="n">
        <f aca="false">IF(G404&lt;&gt;"TAK",0,IF(OR(E404="ZAKUP",E404="PRODUKCJA"),Z404,IF(OR(E404="SPRZEDAŻ",E404="ZUŻYCIE"),-Z404,0)))</f>
        <v>40</v>
      </c>
      <c r="AD404" s="18" t="n">
        <f aca="false">IF(G404&lt;&gt;"TAK",0,IF(OR(E404="ZAKUP",E404="PRODUKCJA"),AA404,IF(OR(E404="SPRZEDAŻ",E404="ZUŻYCIE"),-AA404,0)))</f>
        <v>3.3</v>
      </c>
      <c r="AE404" s="19" t="n">
        <f aca="false">IF(E404="ZAKUP",IF(L404&lt;&gt;"",L404,IF(K404&lt;&gt;"",Z404*K404,0)),0)</f>
        <v>1120</v>
      </c>
      <c r="AF404" s="19" t="n">
        <f aca="false">IF(E404="SPRZEDAŻ",IF(M404&lt;&gt;"",Z404*M404,0),0)</f>
        <v>0</v>
      </c>
      <c r="AG404" s="19" t="str">
        <f aca="false">IF(R404="","",IF(LOWER(R404)="brak","Brak",IF(OR(ISNUMBER(SEARCH("ric pl",LOWER(R404))),ISNUMBER(SEARCH("wojciechowski",LOWER(R404)))),"Własny","Zewnętrzny")))</f>
        <v/>
      </c>
      <c r="AH404" s="19" t="n">
        <f aca="false">Z404*Q404</f>
        <v>0</v>
      </c>
      <c r="AI404" s="19" t="str">
        <f aca="false">UPPER(TEXT(C404,"mmmm"))</f>
        <v>AUGUST</v>
      </c>
      <c r="AJ404" s="19" t="str">
        <f aca="false">IF(C404="","",TEXT(C404,"rrrr"))</f>
        <v>CE5786CE5786</v>
      </c>
      <c r="AK404" s="10"/>
      <c r="AL404" s="11" t="n">
        <v>0</v>
      </c>
      <c r="AM404" s="10" t="s">
        <v>773</v>
      </c>
      <c r="AN404" s="10" t="s">
        <v>59</v>
      </c>
      <c r="AO404" s="10"/>
      <c r="AP404" s="10"/>
      <c r="AQ404" s="10"/>
      <c r="AR404" s="10" t="s">
        <v>66</v>
      </c>
      <c r="AS404" s="10"/>
      <c r="AT404" s="15" t="n">
        <v>1</v>
      </c>
    </row>
    <row r="405" customFormat="false" ht="28.5" hidden="false" customHeight="true" outlineLevel="0" collapsed="false">
      <c r="A405" s="12" t="n">
        <v>46251</v>
      </c>
      <c r="B405" s="12"/>
      <c r="C405" s="12" t="n">
        <v>46251</v>
      </c>
      <c r="D405" s="10" t="s">
        <v>54</v>
      </c>
      <c r="E405" s="10" t="s">
        <v>47</v>
      </c>
      <c r="F405" s="13" t="s">
        <v>774</v>
      </c>
      <c r="G405" s="14" t="s">
        <v>49</v>
      </c>
      <c r="H405" s="10" t="s">
        <v>50</v>
      </c>
      <c r="I405" s="15" t="n">
        <v>40</v>
      </c>
      <c r="J405" s="10" t="s">
        <v>51</v>
      </c>
      <c r="K405" s="15" t="n">
        <v>0</v>
      </c>
      <c r="L405" s="11" t="n">
        <v>0</v>
      </c>
      <c r="M405" s="11" t="n">
        <v>0</v>
      </c>
      <c r="N405" s="10" t="s">
        <v>52</v>
      </c>
      <c r="O405" s="10" t="s">
        <v>67</v>
      </c>
      <c r="P405" s="10" t="s">
        <v>53</v>
      </c>
      <c r="Q405" s="16" t="n">
        <v>10</v>
      </c>
      <c r="R405" s="10"/>
      <c r="S405" s="10"/>
      <c r="T405" s="10" t="n">
        <v>0</v>
      </c>
      <c r="U405" s="11" t="n">
        <f aca="false">IF(E405="TRANSPORT",IF(T405="","",T405*5),IF(AL405="","",AL405))</f>
        <v>0</v>
      </c>
      <c r="V405" s="10" t="s">
        <v>54</v>
      </c>
      <c r="W405" s="15" t="s">
        <v>655</v>
      </c>
      <c r="X405" s="15" t="s">
        <v>54</v>
      </c>
      <c r="Y405" s="17" t="n">
        <v>46257.794375</v>
      </c>
      <c r="Z405" s="18" t="n">
        <f aca="false">IF(I405="",0,IF(ISNUMBER(SEARCH("mp",LOWER(J405))),I405,IF(ISNUMBER(SEARCH("ton",LOWER(J405))),I405/0.33,IF(ISNUMBER(SEARCH("m3",LOWER(J405))),I405*4,I405))))</f>
        <v>40</v>
      </c>
      <c r="AA405" s="18" t="n">
        <f aca="false">IF(I405="",0,IF(ISNUMBER(SEARCH("mp",LOWER(J405))),I405*0.33,IF(ISNUMBER(SEARCH("ton",LOWER(J405))),I405,I405*0.33)))</f>
        <v>13.2</v>
      </c>
      <c r="AB405" s="18" t="n">
        <f aca="false">Tabela_dane[[#This Row],[Wolumen_t]]*8.5</f>
        <v>112.2</v>
      </c>
      <c r="AC405" s="18" t="n">
        <f aca="false">IF(G405&lt;&gt;"TAK",0,IF(OR(E405="ZAKUP",E405="PRODUKCJA"),Z405,IF(OR(E405="SPRZEDAŻ",E405="ZUŻYCIE"),-Z405,0)))</f>
        <v>40</v>
      </c>
      <c r="AD405" s="18" t="n">
        <f aca="false">IF(G405&lt;&gt;"TAK",0,IF(OR(E405="ZAKUP",E405="PRODUKCJA"),AA405,IF(OR(E405="SPRZEDAŻ",E405="ZUŻYCIE"),-AA405,0)))</f>
        <v>13.2</v>
      </c>
      <c r="AE405" s="19" t="n">
        <f aca="false">IF(E405="ZAKUP",IF(L405&lt;&gt;"",L405,IF(K405&lt;&gt;"",Z405*K405,0)),0)</f>
        <v>0</v>
      </c>
      <c r="AF405" s="19" t="n">
        <f aca="false">IF(E405="SPRZEDAŻ",IF(M405&lt;&gt;"",Z405*M405,0),0)</f>
        <v>0</v>
      </c>
      <c r="AG405" s="19" t="str">
        <f aca="false">IF(R405="","",IF(LOWER(R405)="brak","Brak",IF(OR(ISNUMBER(SEARCH("ric pl",LOWER(R405))),ISNUMBER(SEARCH("wojciechowski",LOWER(R405)))),"Własny","Zewnętrzny")))</f>
        <v/>
      </c>
      <c r="AH405" s="19" t="n">
        <f aca="false">Z405*Q405</f>
        <v>400</v>
      </c>
      <c r="AI405" s="19" t="str">
        <f aca="false">UPPER(TEXT(C405,"mmmm"))</f>
        <v>AUGUST</v>
      </c>
      <c r="AJ405" s="19" t="str">
        <f aca="false">IF(C405="","",TEXT(C405,"rrrr"))</f>
        <v>CE5786CE5786</v>
      </c>
      <c r="AK405" s="10"/>
      <c r="AL405" s="11" t="n">
        <v>0</v>
      </c>
      <c r="AM405" s="10" t="s">
        <v>775</v>
      </c>
      <c r="AN405" s="10" t="s">
        <v>59</v>
      </c>
      <c r="AO405" s="10"/>
      <c r="AP405" s="10"/>
      <c r="AQ405" s="10"/>
      <c r="AR405" s="10" t="s">
        <v>66</v>
      </c>
      <c r="AS405" s="10"/>
      <c r="AT405" s="15" t="n">
        <v>1</v>
      </c>
    </row>
    <row r="406" customFormat="false" ht="28.5" hidden="false" customHeight="true" outlineLevel="0" collapsed="false">
      <c r="A406" s="12" t="n">
        <v>46251</v>
      </c>
      <c r="B406" s="12"/>
      <c r="C406" s="12" t="n">
        <v>46251</v>
      </c>
      <c r="D406" s="10" t="s">
        <v>54</v>
      </c>
      <c r="E406" s="10" t="s">
        <v>79</v>
      </c>
      <c r="F406" s="13" t="s">
        <v>774</v>
      </c>
      <c r="G406" s="14" t="s">
        <v>49</v>
      </c>
      <c r="H406" s="10" t="s">
        <v>50</v>
      </c>
      <c r="I406" s="15" t="n">
        <v>40</v>
      </c>
      <c r="J406" s="10" t="s">
        <v>51</v>
      </c>
      <c r="K406" s="15" t="n">
        <v>0</v>
      </c>
      <c r="L406" s="11" t="n">
        <v>0</v>
      </c>
      <c r="M406" s="11" t="n">
        <v>0</v>
      </c>
      <c r="N406" s="10" t="s">
        <v>52</v>
      </c>
      <c r="O406" s="10" t="s">
        <v>67</v>
      </c>
      <c r="P406" s="10" t="s">
        <v>53</v>
      </c>
      <c r="Q406" s="16" t="n">
        <v>10</v>
      </c>
      <c r="R406" s="10"/>
      <c r="S406" s="10"/>
      <c r="T406" s="10" t="n">
        <v>0</v>
      </c>
      <c r="U406" s="11" t="n">
        <f aca="false">IF(E406="TRANSPORT",IF(T406="","",T406*5),IF(AL406="","",AL406))</f>
        <v>0</v>
      </c>
      <c r="V406" s="10" t="s">
        <v>54</v>
      </c>
      <c r="W406" s="15" t="s">
        <v>260</v>
      </c>
      <c r="X406" s="15" t="s">
        <v>54</v>
      </c>
      <c r="Y406" s="17" t="n">
        <v>46257.794375</v>
      </c>
      <c r="Z406" s="18" t="n">
        <f aca="false">IF(I406="",0,IF(ISNUMBER(SEARCH("mp",LOWER(J406))),I406,IF(ISNUMBER(SEARCH("ton",LOWER(J406))),I406/0.33,IF(ISNUMBER(SEARCH("m3",LOWER(J406))),I406*4,I406))))</f>
        <v>40</v>
      </c>
      <c r="AA406" s="18" t="n">
        <f aca="false">IF(I406="",0,IF(ISNUMBER(SEARCH("mp",LOWER(J406))),I406*0.33,IF(ISNUMBER(SEARCH("ton",LOWER(J406))),I406,I406*0.33)))</f>
        <v>13.2</v>
      </c>
      <c r="AB406" s="18" t="n">
        <f aca="false">Tabela_dane[[#This Row],[Wolumen_t]]*8.5</f>
        <v>112.2</v>
      </c>
      <c r="AC406" s="18" t="n">
        <f aca="false">IF(G406&lt;&gt;"TAK",0,IF(OR(E406="ZAKUP",E406="PRODUKCJA"),Z406,IF(OR(E406="SPRZEDAŻ",E406="ZUŻYCIE"),-Z406,0)))</f>
        <v>-40</v>
      </c>
      <c r="AD406" s="18" t="n">
        <f aca="false">IF(G406&lt;&gt;"TAK",0,IF(OR(E406="ZAKUP",E406="PRODUKCJA"),AA406,IF(OR(E406="SPRZEDAŻ",E406="ZUŻYCIE"),-AA406,0)))</f>
        <v>-13.2</v>
      </c>
      <c r="AE406" s="19" t="n">
        <f aca="false">IF(E406="ZAKUP",IF(L406&lt;&gt;"",L406,IF(K406&lt;&gt;"",Z406*K406,0)),0)</f>
        <v>0</v>
      </c>
      <c r="AF406" s="19" t="n">
        <f aca="false">IF(E406="SPRZEDAŻ",IF(M406&lt;&gt;"",Z406*M406,0),0)</f>
        <v>0</v>
      </c>
      <c r="AG406" s="19" t="str">
        <f aca="false">IF(R406="","",IF(LOWER(R406)="brak","Brak",IF(OR(ISNUMBER(SEARCH("ric pl",LOWER(R406))),ISNUMBER(SEARCH("wojciechowski",LOWER(R406)))),"Własny","Zewnętrzny")))</f>
        <v/>
      </c>
      <c r="AH406" s="19" t="n">
        <f aca="false">Z406*Q406</f>
        <v>400</v>
      </c>
      <c r="AI406" s="19" t="str">
        <f aca="false">UPPER(TEXT(C406,"mmmm"))</f>
        <v>AUGUST</v>
      </c>
      <c r="AJ406" s="19" t="str">
        <f aca="false">IF(C406="","",TEXT(C406,"rrrr"))</f>
        <v>CE5786CE5786</v>
      </c>
      <c r="AK406" s="10"/>
      <c r="AL406" s="11" t="n">
        <v>0</v>
      </c>
      <c r="AM406" s="10" t="s">
        <v>775</v>
      </c>
      <c r="AN406" s="10" t="s">
        <v>59</v>
      </c>
      <c r="AO406" s="10"/>
      <c r="AP406" s="10"/>
      <c r="AQ406" s="10"/>
      <c r="AR406" s="10" t="s">
        <v>81</v>
      </c>
      <c r="AS406" s="10"/>
      <c r="AT406" s="15" t="n">
        <v>1</v>
      </c>
    </row>
    <row r="407" customFormat="false" ht="28.5" hidden="false" customHeight="true" outlineLevel="0" collapsed="false">
      <c r="A407" s="12" t="n">
        <v>46251</v>
      </c>
      <c r="B407" s="12" t="s">
        <v>700</v>
      </c>
      <c r="C407" s="12" t="n">
        <v>46251</v>
      </c>
      <c r="D407" s="10" t="s">
        <v>54</v>
      </c>
      <c r="E407" s="10" t="s">
        <v>63</v>
      </c>
      <c r="F407" s="13" t="s">
        <v>774</v>
      </c>
      <c r="G407" s="14" t="s">
        <v>49</v>
      </c>
      <c r="H407" s="10" t="s">
        <v>50</v>
      </c>
      <c r="I407" s="15" t="n">
        <v>40</v>
      </c>
      <c r="J407" s="10" t="s">
        <v>51</v>
      </c>
      <c r="K407" s="15" t="n">
        <v>0</v>
      </c>
      <c r="L407" s="11" t="n">
        <v>0</v>
      </c>
      <c r="M407" s="11" t="n">
        <v>0</v>
      </c>
      <c r="N407" s="10" t="s">
        <v>52</v>
      </c>
      <c r="O407" s="10" t="s">
        <v>67</v>
      </c>
      <c r="P407" s="10"/>
      <c r="Q407" s="16" t="n">
        <v>0</v>
      </c>
      <c r="R407" s="10" t="s">
        <v>94</v>
      </c>
      <c r="S407" s="10" t="s">
        <v>95</v>
      </c>
      <c r="T407" s="10" t="n">
        <v>62</v>
      </c>
      <c r="U407" s="11" t="n">
        <f aca="false">IF(E407="TRANSPORT",IF(T407="","",T407*5),IF(AL407="","",AL407))</f>
        <v>310</v>
      </c>
      <c r="V407" s="10" t="s">
        <v>54</v>
      </c>
      <c r="W407" s="15" t="s">
        <v>629</v>
      </c>
      <c r="X407" s="15"/>
      <c r="Y407" s="17" t="n">
        <v>46257.7958333333</v>
      </c>
      <c r="Z407" s="18" t="n">
        <f aca="false">IF(I407="",0,IF(ISNUMBER(SEARCH("mp",LOWER(J407))),I407,IF(ISNUMBER(SEARCH("ton",LOWER(J407))),I407/0.33,IF(ISNUMBER(SEARCH("m3",LOWER(J407))),I407*4,I407))))</f>
        <v>40</v>
      </c>
      <c r="AA407" s="18" t="n">
        <f aca="false">IF(I407="",0,IF(ISNUMBER(SEARCH("mp",LOWER(J407))),I407*0.33,IF(ISNUMBER(SEARCH("ton",LOWER(J407))),I407,I407*0.33)))</f>
        <v>13.2</v>
      </c>
      <c r="AB407" s="18" t="n">
        <f aca="false">Tabela_dane[[#This Row],[Wolumen_t]]*8.5</f>
        <v>112.2</v>
      </c>
      <c r="AC407" s="18" t="n">
        <f aca="false">IF(G407&lt;&gt;"TAK",0,IF(OR(E407="ZAKUP",E407="PRODUKCJA"),Z407,IF(OR(E407="SPRZEDAŻ",E407="ZUŻYCIE"),-Z407,0)))</f>
        <v>40</v>
      </c>
      <c r="AD407" s="18" t="n">
        <f aca="false">IF(G407&lt;&gt;"TAK",0,IF(OR(E407="ZAKUP",E407="PRODUKCJA"),AA407,IF(OR(E407="SPRZEDAŻ",E407="ZUŻYCIE"),-AA407,0)))</f>
        <v>13.2</v>
      </c>
      <c r="AE407" s="19" t="n">
        <f aca="false">IF(E407="ZAKUP",IF(L407&lt;&gt;"",L407,IF(K407&lt;&gt;"",Z407*K407,0)),0)</f>
        <v>0</v>
      </c>
      <c r="AF407" s="19" t="n">
        <f aca="false">IF(E407="SPRZEDAŻ",IF(M407&lt;&gt;"",Z407*M407,0),0)</f>
        <v>0</v>
      </c>
      <c r="AG407" s="19" t="str">
        <f aca="false">IF(R407="","",IF(LOWER(R407)="brak","Brak",IF(OR(ISNUMBER(SEARCH("ric pl",LOWER(R407))),ISNUMBER(SEARCH("wojciechowski",LOWER(R407)))),"Własny","Zewnętrzny")))</f>
        <v>Zewnętrzny</v>
      </c>
      <c r="AH407" s="19" t="n">
        <f aca="false">Z407*Q407</f>
        <v>0</v>
      </c>
      <c r="AI407" s="19" t="str">
        <f aca="false">UPPER(TEXT(C407,"mmmm"))</f>
        <v>AUGUST</v>
      </c>
      <c r="AJ407" s="19" t="str">
        <f aca="false">IF(C407="","",TEXT(C407,"rrrr"))</f>
        <v>CE5786CE5786</v>
      </c>
      <c r="AK407" s="10"/>
      <c r="AL407" s="11" t="n">
        <v>310</v>
      </c>
      <c r="AM407" s="10" t="s">
        <v>776</v>
      </c>
      <c r="AN407" s="10" t="s">
        <v>49</v>
      </c>
      <c r="AO407" s="10"/>
      <c r="AP407" s="10"/>
      <c r="AQ407" s="10"/>
      <c r="AR407" s="10" t="s">
        <v>66</v>
      </c>
      <c r="AS407" s="10"/>
      <c r="AT407" s="15" t="n">
        <v>1</v>
      </c>
    </row>
    <row r="408" customFormat="false" ht="28.5" hidden="false" customHeight="true" outlineLevel="0" collapsed="false">
      <c r="A408" s="12" t="n">
        <v>46252</v>
      </c>
      <c r="B408" s="12"/>
      <c r="C408" s="12" t="n">
        <v>46252</v>
      </c>
      <c r="D408" s="10" t="s">
        <v>46</v>
      </c>
      <c r="E408" s="10" t="s">
        <v>63</v>
      </c>
      <c r="F408" s="20" t="s">
        <v>777</v>
      </c>
      <c r="G408" s="14" t="s">
        <v>49</v>
      </c>
      <c r="H408" s="10" t="s">
        <v>76</v>
      </c>
      <c r="I408" s="15" t="n">
        <v>29.68</v>
      </c>
      <c r="J408" s="10" t="s">
        <v>51</v>
      </c>
      <c r="K408" s="15" t="n">
        <v>230</v>
      </c>
      <c r="L408" s="11" t="n">
        <v>6826.4</v>
      </c>
      <c r="M408" s="11" t="n">
        <v>0</v>
      </c>
      <c r="N408" s="10" t="s">
        <v>64</v>
      </c>
      <c r="O408" s="10"/>
      <c r="P408" s="10"/>
      <c r="Q408" s="16" t="n">
        <v>0</v>
      </c>
      <c r="R408" s="10"/>
      <c r="S408" s="10"/>
      <c r="T408" s="10" t="n">
        <v>0</v>
      </c>
      <c r="U408" s="11" t="n">
        <f aca="false">IF(E408="TRANSPORT",IF(T408="","",T408*5),IF(AL408="","",AL408))</f>
        <v>0</v>
      </c>
      <c r="V408" s="10" t="s">
        <v>54</v>
      </c>
      <c r="W408" s="15" t="s">
        <v>778</v>
      </c>
      <c r="X408" s="15"/>
      <c r="Y408" s="17" t="n">
        <v>46257.8192824074</v>
      </c>
      <c r="Z408" s="18" t="n">
        <f aca="false">IF(I408="",0,IF(ISNUMBER(SEARCH("mp",LOWER(J408))),I408,IF(ISNUMBER(SEARCH("ton",LOWER(J408))),I408/0.33,IF(ISNUMBER(SEARCH("m3",LOWER(J408))),I408*4,I408))))</f>
        <v>29.68</v>
      </c>
      <c r="AA408" s="18" t="n">
        <f aca="false">IF(I408="",0,IF(ISNUMBER(SEARCH("mp",LOWER(J408))),I408*0.33,IF(ISNUMBER(SEARCH("ton",LOWER(J408))),I408,I408*0.33)))</f>
        <v>9.7944</v>
      </c>
      <c r="AB408" s="18" t="n">
        <f aca="false">Tabela_dane[[#This Row],[Wolumen_t]]*8.5</f>
        <v>83.2524</v>
      </c>
      <c r="AC408" s="18" t="n">
        <f aca="false">IF(G408&lt;&gt;"TAK",0,IF(OR(E408="ZAKUP",E408="PRODUKCJA"),Z408,IF(OR(E408="SPRZEDAŻ",E408="ZUŻYCIE"),-Z408,0)))</f>
        <v>29.68</v>
      </c>
      <c r="AD408" s="18" t="n">
        <f aca="false">IF(G408&lt;&gt;"TAK",0,IF(OR(E408="ZAKUP",E408="PRODUKCJA"),AA408,IF(OR(E408="SPRZEDAŻ",E408="ZUŻYCIE"),-AA408,0)))</f>
        <v>9.7944</v>
      </c>
      <c r="AE408" s="19" t="n">
        <f aca="false">IF(E408="ZAKUP",IF(L408&lt;&gt;"",L408,IF(K408&lt;&gt;"",Z408*K408,0)),0)</f>
        <v>6826.4</v>
      </c>
      <c r="AF408" s="19" t="n">
        <f aca="false">IF(E408="SPRZEDAŻ",IF(M408&lt;&gt;"",Z408*M408,0),0)</f>
        <v>0</v>
      </c>
      <c r="AG408" s="19" t="str">
        <f aca="false">IF(R408="","",IF(LOWER(R408)="brak","Brak",IF(OR(ISNUMBER(SEARCH("ric pl",LOWER(R408))),ISNUMBER(SEARCH("wojciechowski",LOWER(R408)))),"Własny","Zewnętrzny")))</f>
        <v/>
      </c>
      <c r="AH408" s="19" t="n">
        <f aca="false">Z408*Q408</f>
        <v>0</v>
      </c>
      <c r="AI408" s="19" t="str">
        <f aca="false">UPPER(TEXT(C408,"mmmm"))</f>
        <v>AUGUST</v>
      </c>
      <c r="AJ408" s="19" t="str">
        <f aca="false">IF(C408="","",TEXT(C408,"rrrr"))</f>
        <v>CE5786CE5786</v>
      </c>
      <c r="AK408" s="10"/>
      <c r="AL408" s="11" t="n">
        <v>0</v>
      </c>
      <c r="AM408" s="10" t="s">
        <v>779</v>
      </c>
      <c r="AN408" s="10" t="s">
        <v>59</v>
      </c>
      <c r="AO408" s="10"/>
      <c r="AP408" s="10"/>
      <c r="AQ408" s="10"/>
      <c r="AR408" s="10" t="s">
        <v>66</v>
      </c>
      <c r="AS408" s="10"/>
      <c r="AT408" s="15" t="n">
        <v>1</v>
      </c>
    </row>
    <row r="409" customFormat="false" ht="28.5" hidden="false" customHeight="true" outlineLevel="0" collapsed="false">
      <c r="A409" s="12" t="n">
        <v>46252</v>
      </c>
      <c r="B409" s="12"/>
      <c r="C409" s="12" t="n">
        <v>46252</v>
      </c>
      <c r="D409" s="10" t="s">
        <v>46</v>
      </c>
      <c r="E409" s="10" t="s">
        <v>63</v>
      </c>
      <c r="F409" s="20" t="s">
        <v>780</v>
      </c>
      <c r="G409" s="14" t="s">
        <v>49</v>
      </c>
      <c r="H409" s="10" t="s">
        <v>76</v>
      </c>
      <c r="I409" s="15" t="n">
        <v>29.82</v>
      </c>
      <c r="J409" s="10" t="s">
        <v>77</v>
      </c>
      <c r="K409" s="15" t="n">
        <v>230</v>
      </c>
      <c r="L409" s="11" t="n">
        <v>6858.6</v>
      </c>
      <c r="M409" s="11" t="n">
        <v>0</v>
      </c>
      <c r="N409" s="10" t="s">
        <v>64</v>
      </c>
      <c r="O409" s="10"/>
      <c r="P409" s="10"/>
      <c r="Q409" s="16" t="n">
        <v>0</v>
      </c>
      <c r="R409" s="10"/>
      <c r="S409" s="10"/>
      <c r="T409" s="10" t="n">
        <v>0</v>
      </c>
      <c r="U409" s="11" t="n">
        <f aca="false">IF(E409="TRANSPORT",IF(T409="","",T409*5),IF(AL409="","",AL409))</f>
        <v>0</v>
      </c>
      <c r="V409" s="10" t="s">
        <v>54</v>
      </c>
      <c r="W409" s="15" t="s">
        <v>781</v>
      </c>
      <c r="X409" s="15"/>
      <c r="Y409" s="17" t="n">
        <v>46257.8210300926</v>
      </c>
      <c r="Z409" s="18" t="n">
        <f aca="false">IF(I409="",0,IF(ISNUMBER(SEARCH("mp",LOWER(J409))),I409,IF(ISNUMBER(SEARCH("ton",LOWER(J409))),I409/0.33,IF(ISNUMBER(SEARCH("m3",LOWER(J409))),I409*4,I409))))</f>
        <v>119.28</v>
      </c>
      <c r="AA409" s="18" t="n">
        <f aca="false">IF(I409="",0,IF(ISNUMBER(SEARCH("mp",LOWER(J409))),I409*0.33,IF(ISNUMBER(SEARCH("ton",LOWER(J409))),I409,I409*0.33)))</f>
        <v>9.8406</v>
      </c>
      <c r="AB409" s="18" t="n">
        <f aca="false">Tabela_dane[[#This Row],[Wolumen_t]]*8.5</f>
        <v>83.6451</v>
      </c>
      <c r="AC409" s="18" t="n">
        <f aca="false">IF(G409&lt;&gt;"TAK",0,IF(OR(E409="ZAKUP",E409="PRODUKCJA"),Z409,IF(OR(E409="SPRZEDAŻ",E409="ZUŻYCIE"),-Z409,0)))</f>
        <v>119.28</v>
      </c>
      <c r="AD409" s="18" t="n">
        <f aca="false">IF(G409&lt;&gt;"TAK",0,IF(OR(E409="ZAKUP",E409="PRODUKCJA"),AA409,IF(OR(E409="SPRZEDAŻ",E409="ZUŻYCIE"),-AA409,0)))</f>
        <v>9.8406</v>
      </c>
      <c r="AE409" s="19" t="n">
        <f aca="false">IF(E409="ZAKUP",IF(L409&lt;&gt;"",L409,IF(K409&lt;&gt;"",Z409*K409,0)),0)</f>
        <v>6858.6</v>
      </c>
      <c r="AF409" s="19" t="n">
        <f aca="false">IF(E409="SPRZEDAŻ",IF(M409&lt;&gt;"",Z409*M409,0),0)</f>
        <v>0</v>
      </c>
      <c r="AG409" s="19" t="str">
        <f aca="false">IF(R409="","",IF(LOWER(R409)="brak","Brak",IF(OR(ISNUMBER(SEARCH("ric pl",LOWER(R409))),ISNUMBER(SEARCH("wojciechowski",LOWER(R409)))),"Własny","Zewnętrzny")))</f>
        <v/>
      </c>
      <c r="AH409" s="19" t="n">
        <f aca="false">Z409*Q409</f>
        <v>0</v>
      </c>
      <c r="AI409" s="19" t="str">
        <f aca="false">UPPER(TEXT(C409,"mmmm"))</f>
        <v>AUGUST</v>
      </c>
      <c r="AJ409" s="19" t="str">
        <f aca="false">IF(C409="","",TEXT(C409,"rrrr"))</f>
        <v>CE5786CE5786</v>
      </c>
      <c r="AK409" s="10"/>
      <c r="AL409" s="11" t="n">
        <v>0</v>
      </c>
      <c r="AM409" s="10" t="s">
        <v>782</v>
      </c>
      <c r="AN409" s="10" t="s">
        <v>59</v>
      </c>
      <c r="AO409" s="10"/>
      <c r="AP409" s="10"/>
      <c r="AQ409" s="10"/>
      <c r="AR409" s="10" t="s">
        <v>66</v>
      </c>
      <c r="AS409" s="10"/>
      <c r="AT409" s="15" t="n">
        <v>1</v>
      </c>
    </row>
    <row r="410" customFormat="false" ht="28.5" hidden="false" customHeight="true" outlineLevel="0" collapsed="false">
      <c r="A410" s="12" t="n">
        <v>46252</v>
      </c>
      <c r="B410" s="12"/>
      <c r="C410" s="12" t="n">
        <v>46252</v>
      </c>
      <c r="D410" s="10" t="s">
        <v>376</v>
      </c>
      <c r="E410" s="10" t="s">
        <v>63</v>
      </c>
      <c r="F410" s="13" t="s">
        <v>783</v>
      </c>
      <c r="G410" s="14" t="s">
        <v>59</v>
      </c>
      <c r="H410" s="10" t="s">
        <v>76</v>
      </c>
      <c r="I410" s="15" t="n">
        <v>74</v>
      </c>
      <c r="J410" s="10" t="s">
        <v>51</v>
      </c>
      <c r="K410" s="15" t="n">
        <v>45</v>
      </c>
      <c r="L410" s="11" t="n">
        <v>3330</v>
      </c>
      <c r="M410" s="11" t="n">
        <v>0</v>
      </c>
      <c r="N410" s="10" t="s">
        <v>255</v>
      </c>
      <c r="O410" s="10"/>
      <c r="P410" s="10"/>
      <c r="Q410" s="16" t="n">
        <v>0</v>
      </c>
      <c r="R410" s="10"/>
      <c r="S410" s="10"/>
      <c r="T410" s="10" t="n">
        <v>0</v>
      </c>
      <c r="U410" s="11" t="n">
        <f aca="false">IF(E410="TRANSPORT",IF(T410="","",T410*5),IF(AL410="","",AL410))</f>
        <v>0</v>
      </c>
      <c r="V410" s="10" t="s">
        <v>54</v>
      </c>
      <c r="W410" s="15" t="s">
        <v>784</v>
      </c>
      <c r="X410" s="15"/>
      <c r="Y410" s="17" t="n">
        <v>46257.8248726852</v>
      </c>
      <c r="Z410" s="18" t="n">
        <f aca="false">IF(I410="",0,IF(ISNUMBER(SEARCH("mp",LOWER(J410))),I410,IF(ISNUMBER(SEARCH("ton",LOWER(J410))),I410/0.33,IF(ISNUMBER(SEARCH("m3",LOWER(J410))),I410*4,I410))))</f>
        <v>74</v>
      </c>
      <c r="AA410" s="18" t="n">
        <f aca="false">IF(I410="",0,IF(ISNUMBER(SEARCH("mp",LOWER(J410))),I410*0.33,IF(ISNUMBER(SEARCH("ton",LOWER(J410))),I410,I410*0.33)))</f>
        <v>24.42</v>
      </c>
      <c r="AB410" s="18" t="n">
        <f aca="false">Tabela_dane[[#This Row],[Wolumen_t]]*8.5</f>
        <v>207.57</v>
      </c>
      <c r="AC410" s="18" t="n">
        <f aca="false">IF(G410&lt;&gt;"TAK",0,IF(OR(E410="ZAKUP",E410="PRODUKCJA"),Z410,IF(OR(E410="SPRZEDAŻ",E410="ZUŻYCIE"),-Z410,0)))</f>
        <v>0</v>
      </c>
      <c r="AD410" s="18" t="n">
        <f aca="false">IF(G410&lt;&gt;"TAK",0,IF(OR(E410="ZAKUP",E410="PRODUKCJA"),AA410,IF(OR(E410="SPRZEDAŻ",E410="ZUŻYCIE"),-AA410,0)))</f>
        <v>0</v>
      </c>
      <c r="AE410" s="19" t="n">
        <f aca="false">IF(E410="ZAKUP",IF(L410&lt;&gt;"",L410,IF(K410&lt;&gt;"",Z410*K410,0)),0)</f>
        <v>3330</v>
      </c>
      <c r="AF410" s="19" t="n">
        <f aca="false">IF(E410="SPRZEDAŻ",IF(M410&lt;&gt;"",Z410*M410,0),0)</f>
        <v>0</v>
      </c>
      <c r="AG410" s="19" t="str">
        <f aca="false">IF(R410="","",IF(LOWER(R410)="brak","Brak",IF(OR(ISNUMBER(SEARCH("ric pl",LOWER(R410))),ISNUMBER(SEARCH("wojciechowski",LOWER(R410)))),"Własny","Zewnętrzny")))</f>
        <v/>
      </c>
      <c r="AH410" s="19" t="n">
        <f aca="false">Z410*Q410</f>
        <v>0</v>
      </c>
      <c r="AI410" s="19" t="str">
        <f aca="false">UPPER(TEXT(C410,"mmmm"))</f>
        <v>AUGUST</v>
      </c>
      <c r="AJ410" s="19" t="str">
        <f aca="false">IF(C410="","",TEXT(C410,"rrrr"))</f>
        <v>CE5786CE5786</v>
      </c>
      <c r="AK410" s="10"/>
      <c r="AL410" s="11" t="n">
        <v>0</v>
      </c>
      <c r="AM410" s="10" t="s">
        <v>785</v>
      </c>
      <c r="AN410" s="10" t="s">
        <v>59</v>
      </c>
      <c r="AO410" s="10"/>
      <c r="AP410" s="10"/>
      <c r="AQ410" s="10"/>
      <c r="AR410" s="10" t="s">
        <v>66</v>
      </c>
      <c r="AS410" s="10"/>
      <c r="AT410" s="15" t="n">
        <v>1</v>
      </c>
    </row>
    <row r="411" customFormat="false" ht="28.5" hidden="false" customHeight="true" outlineLevel="0" collapsed="false">
      <c r="A411" s="12" t="n">
        <v>46252</v>
      </c>
      <c r="B411" s="12"/>
      <c r="C411" s="12" t="n">
        <v>46252</v>
      </c>
      <c r="D411" s="10" t="s">
        <v>54</v>
      </c>
      <c r="E411" s="10" t="s">
        <v>47</v>
      </c>
      <c r="F411" s="13" t="s">
        <v>783</v>
      </c>
      <c r="G411" s="14" t="s">
        <v>49</v>
      </c>
      <c r="H411" s="10" t="s">
        <v>76</v>
      </c>
      <c r="I411" s="15" t="n">
        <v>74</v>
      </c>
      <c r="J411" s="10" t="s">
        <v>51</v>
      </c>
      <c r="K411" s="15" t="n">
        <v>0</v>
      </c>
      <c r="L411" s="11" t="n">
        <v>0</v>
      </c>
      <c r="M411" s="11" t="n">
        <v>0</v>
      </c>
      <c r="N411" s="10" t="s">
        <v>258</v>
      </c>
      <c r="O411" s="10" t="s">
        <v>67</v>
      </c>
      <c r="P411" s="10" t="s">
        <v>53</v>
      </c>
      <c r="Q411" s="16" t="n">
        <v>10</v>
      </c>
      <c r="R411" s="10"/>
      <c r="S411" s="10"/>
      <c r="T411" s="10" t="n">
        <v>0</v>
      </c>
      <c r="U411" s="11" t="n">
        <f aca="false">IF(E411="TRANSPORT",IF(T411="","",T411*5),IF(AL411="","",AL411))</f>
        <v>0</v>
      </c>
      <c r="V411" s="10" t="s">
        <v>54</v>
      </c>
      <c r="W411" s="15" t="s">
        <v>655</v>
      </c>
      <c r="X411" s="15" t="s">
        <v>54</v>
      </c>
      <c r="Y411" s="17" t="n">
        <v>46257.826099537</v>
      </c>
      <c r="Z411" s="18" t="n">
        <f aca="false">IF(I411="",0,IF(ISNUMBER(SEARCH("mp",LOWER(J411))),I411,IF(ISNUMBER(SEARCH("ton",LOWER(J411))),I411/0.33,IF(ISNUMBER(SEARCH("m3",LOWER(J411))),I411*4,I411))))</f>
        <v>74</v>
      </c>
      <c r="AA411" s="18" t="n">
        <f aca="false">IF(I411="",0,IF(ISNUMBER(SEARCH("mp",LOWER(J411))),I411*0.33,IF(ISNUMBER(SEARCH("ton",LOWER(J411))),I411,I411*0.33)))</f>
        <v>24.42</v>
      </c>
      <c r="AB411" s="18" t="n">
        <f aca="false">Tabela_dane[[#This Row],[Wolumen_t]]*8.5</f>
        <v>207.57</v>
      </c>
      <c r="AC411" s="18" t="n">
        <f aca="false">IF(G411&lt;&gt;"TAK",0,IF(OR(E411="ZAKUP",E411="PRODUKCJA"),Z411,IF(OR(E411="SPRZEDAŻ",E411="ZUŻYCIE"),-Z411,0)))</f>
        <v>74</v>
      </c>
      <c r="AD411" s="18" t="n">
        <f aca="false">IF(G411&lt;&gt;"TAK",0,IF(OR(E411="ZAKUP",E411="PRODUKCJA"),AA411,IF(OR(E411="SPRZEDAŻ",E411="ZUŻYCIE"),-AA411,0)))</f>
        <v>24.42</v>
      </c>
      <c r="AE411" s="19" t="n">
        <f aca="false">IF(E411="ZAKUP",IF(L411&lt;&gt;"",L411,IF(K411&lt;&gt;"",Z411*K411,0)),0)</f>
        <v>0</v>
      </c>
      <c r="AF411" s="19" t="n">
        <f aca="false">IF(E411="SPRZEDAŻ",IF(M411&lt;&gt;"",Z411*M411,0),0)</f>
        <v>0</v>
      </c>
      <c r="AG411" s="19" t="str">
        <f aca="false">IF(R411="","",IF(LOWER(R411)="brak","Brak",IF(OR(ISNUMBER(SEARCH("ric pl",LOWER(R411))),ISNUMBER(SEARCH("wojciechowski",LOWER(R411)))),"Własny","Zewnętrzny")))</f>
        <v/>
      </c>
      <c r="AH411" s="19" t="n">
        <f aca="false">Z411*Q411</f>
        <v>740</v>
      </c>
      <c r="AI411" s="19" t="str">
        <f aca="false">UPPER(TEXT(C411,"mmmm"))</f>
        <v>AUGUST</v>
      </c>
      <c r="AJ411" s="19" t="str">
        <f aca="false">IF(C411="","",TEXT(C411,"rrrr"))</f>
        <v>CE5786CE5786</v>
      </c>
      <c r="AK411" s="10"/>
      <c r="AL411" s="11" t="n">
        <v>0</v>
      </c>
      <c r="AM411" s="10" t="s">
        <v>786</v>
      </c>
      <c r="AN411" s="10" t="s">
        <v>59</v>
      </c>
      <c r="AO411" s="10"/>
      <c r="AP411" s="10"/>
      <c r="AQ411" s="10"/>
      <c r="AR411" s="10" t="s">
        <v>66</v>
      </c>
      <c r="AS411" s="10"/>
      <c r="AT411" s="15" t="n">
        <v>1</v>
      </c>
    </row>
    <row r="412" customFormat="false" ht="28.5" hidden="false" customHeight="true" outlineLevel="0" collapsed="false">
      <c r="A412" s="12" t="n">
        <v>46252</v>
      </c>
      <c r="B412" s="12"/>
      <c r="C412" s="12" t="n">
        <v>46252</v>
      </c>
      <c r="D412" s="10" t="s">
        <v>54</v>
      </c>
      <c r="E412" s="10" t="s">
        <v>79</v>
      </c>
      <c r="F412" s="13" t="s">
        <v>783</v>
      </c>
      <c r="G412" s="14" t="s">
        <v>49</v>
      </c>
      <c r="H412" s="10" t="s">
        <v>76</v>
      </c>
      <c r="I412" s="15" t="n">
        <v>74</v>
      </c>
      <c r="J412" s="10" t="s">
        <v>51</v>
      </c>
      <c r="K412" s="15" t="n">
        <v>0</v>
      </c>
      <c r="L412" s="11" t="n">
        <v>0</v>
      </c>
      <c r="M412" s="11" t="n">
        <v>0</v>
      </c>
      <c r="N412" s="10" t="s">
        <v>258</v>
      </c>
      <c r="O412" s="10" t="s">
        <v>67</v>
      </c>
      <c r="P412" s="10" t="s">
        <v>53</v>
      </c>
      <c r="Q412" s="16" t="n">
        <v>10</v>
      </c>
      <c r="R412" s="10"/>
      <c r="S412" s="10"/>
      <c r="T412" s="10" t="n">
        <v>0</v>
      </c>
      <c r="U412" s="11" t="n">
        <f aca="false">IF(E412="TRANSPORT",IF(T412="","",T412*5),IF(AL412="","",AL412))</f>
        <v>0</v>
      </c>
      <c r="V412" s="10" t="s">
        <v>54</v>
      </c>
      <c r="W412" s="15" t="s">
        <v>260</v>
      </c>
      <c r="X412" s="15" t="s">
        <v>54</v>
      </c>
      <c r="Y412" s="17" t="n">
        <v>46257.826099537</v>
      </c>
      <c r="Z412" s="18" t="n">
        <f aca="false">IF(I412="",0,IF(ISNUMBER(SEARCH("mp",LOWER(J412))),I412,IF(ISNUMBER(SEARCH("ton",LOWER(J412))),I412/0.33,IF(ISNUMBER(SEARCH("m3",LOWER(J412))),I412*4,I412))))</f>
        <v>74</v>
      </c>
      <c r="AA412" s="18" t="n">
        <f aca="false">IF(I412="",0,IF(ISNUMBER(SEARCH("mp",LOWER(J412))),I412*0.33,IF(ISNUMBER(SEARCH("ton",LOWER(J412))),I412,I412*0.33)))</f>
        <v>24.42</v>
      </c>
      <c r="AB412" s="18" t="n">
        <f aca="false">Tabela_dane[[#This Row],[Wolumen_t]]*8.5</f>
        <v>207.57</v>
      </c>
      <c r="AC412" s="18" t="n">
        <f aca="false">IF(G412&lt;&gt;"TAK",0,IF(OR(E412="ZAKUP",E412="PRODUKCJA"),Z412,IF(OR(E412="SPRZEDAŻ",E412="ZUŻYCIE"),-Z412,0)))</f>
        <v>-74</v>
      </c>
      <c r="AD412" s="18" t="n">
        <f aca="false">IF(G412&lt;&gt;"TAK",0,IF(OR(E412="ZAKUP",E412="PRODUKCJA"),AA412,IF(OR(E412="SPRZEDAŻ",E412="ZUŻYCIE"),-AA412,0)))</f>
        <v>-24.42</v>
      </c>
      <c r="AE412" s="19" t="n">
        <f aca="false">IF(E412="ZAKUP",IF(L412&lt;&gt;"",L412,IF(K412&lt;&gt;"",Z412*K412,0)),0)</f>
        <v>0</v>
      </c>
      <c r="AF412" s="19" t="n">
        <f aca="false">IF(E412="SPRZEDAŻ",IF(M412&lt;&gt;"",Z412*M412,0),0)</f>
        <v>0</v>
      </c>
      <c r="AG412" s="19" t="str">
        <f aca="false">IF(R412="","",IF(LOWER(R412)="brak","Brak",IF(OR(ISNUMBER(SEARCH("ric pl",LOWER(R412))),ISNUMBER(SEARCH("wojciechowski",LOWER(R412)))),"Własny","Zewnętrzny")))</f>
        <v/>
      </c>
      <c r="AH412" s="19" t="n">
        <f aca="false">Z412*Q412</f>
        <v>740</v>
      </c>
      <c r="AI412" s="19" t="str">
        <f aca="false">UPPER(TEXT(C412,"mmmm"))</f>
        <v>AUGUST</v>
      </c>
      <c r="AJ412" s="19" t="str">
        <f aca="false">IF(C412="","",TEXT(C412,"rrrr"))</f>
        <v>CE5786CE5786</v>
      </c>
      <c r="AK412" s="10"/>
      <c r="AL412" s="11" t="n">
        <v>0</v>
      </c>
      <c r="AM412" s="10" t="s">
        <v>786</v>
      </c>
      <c r="AN412" s="10" t="s">
        <v>59</v>
      </c>
      <c r="AO412" s="10"/>
      <c r="AP412" s="10"/>
      <c r="AQ412" s="10"/>
      <c r="AR412" s="10" t="s">
        <v>81</v>
      </c>
      <c r="AS412" s="10"/>
      <c r="AT412" s="15" t="n">
        <v>1</v>
      </c>
    </row>
    <row r="413" customFormat="false" ht="39" hidden="false" customHeight="true" outlineLevel="0" collapsed="false">
      <c r="A413" s="12" t="n">
        <v>46252</v>
      </c>
      <c r="B413" s="12" t="s">
        <v>380</v>
      </c>
      <c r="C413" s="12" t="n">
        <v>46252</v>
      </c>
      <c r="D413" s="10" t="s">
        <v>54</v>
      </c>
      <c r="E413" s="10" t="s">
        <v>63</v>
      </c>
      <c r="F413" s="13" t="s">
        <v>783</v>
      </c>
      <c r="G413" s="14" t="s">
        <v>49</v>
      </c>
      <c r="H413" s="10" t="s">
        <v>76</v>
      </c>
      <c r="I413" s="15" t="n">
        <v>74</v>
      </c>
      <c r="J413" s="10" t="s">
        <v>51</v>
      </c>
      <c r="K413" s="15" t="n">
        <v>0</v>
      </c>
      <c r="L413" s="11" t="n">
        <v>0</v>
      </c>
      <c r="M413" s="11" t="n">
        <v>0</v>
      </c>
      <c r="N413" s="10" t="s">
        <v>258</v>
      </c>
      <c r="O413" s="10" t="s">
        <v>67</v>
      </c>
      <c r="P413" s="10"/>
      <c r="Q413" s="16" t="n">
        <v>0</v>
      </c>
      <c r="R413" s="10" t="s">
        <v>182</v>
      </c>
      <c r="S413" s="10" t="s">
        <v>509</v>
      </c>
      <c r="T413" s="10" t="n">
        <v>210</v>
      </c>
      <c r="U413" s="11" t="n">
        <f aca="false">IF(E413="TRANSPORT",IF(T413="","",T413*5),IF(AL413="","",AL413))</f>
        <v>1050</v>
      </c>
      <c r="V413" s="10" t="s">
        <v>54</v>
      </c>
      <c r="W413" s="15" t="s">
        <v>629</v>
      </c>
      <c r="X413" s="15"/>
      <c r="Y413" s="17" t="n">
        <v>46257.8290277778</v>
      </c>
      <c r="Z413" s="18" t="n">
        <f aca="false">IF(I413="",0,IF(ISNUMBER(SEARCH("mp",LOWER(J413))),I413,IF(ISNUMBER(SEARCH("ton",LOWER(J413))),I413/0.33,IF(ISNUMBER(SEARCH("m3",LOWER(J413))),I413*4,I413))))</f>
        <v>74</v>
      </c>
      <c r="AA413" s="18" t="n">
        <f aca="false">IF(I413="",0,IF(ISNUMBER(SEARCH("mp",LOWER(J413))),I413*0.33,IF(ISNUMBER(SEARCH("ton",LOWER(J413))),I413,I413*0.33)))</f>
        <v>24.42</v>
      </c>
      <c r="AB413" s="18" t="n">
        <f aca="false">Tabela_dane[[#This Row],[Wolumen_t]]*8.5</f>
        <v>207.57</v>
      </c>
      <c r="AC413" s="18" t="n">
        <f aca="false">IF(G413&lt;&gt;"TAK",0,IF(OR(E413="ZAKUP",E413="PRODUKCJA"),Z413,IF(OR(E413="SPRZEDAŻ",E413="ZUŻYCIE"),-Z413,0)))</f>
        <v>74</v>
      </c>
      <c r="AD413" s="18" t="n">
        <f aca="false">IF(G413&lt;&gt;"TAK",0,IF(OR(E413="ZAKUP",E413="PRODUKCJA"),AA413,IF(OR(E413="SPRZEDAŻ",E413="ZUŻYCIE"),-AA413,0)))</f>
        <v>24.42</v>
      </c>
      <c r="AE413" s="19" t="n">
        <f aca="false">IF(E413="ZAKUP",IF(L413&lt;&gt;"",L413,IF(K413&lt;&gt;"",Z413*K413,0)),0)</f>
        <v>0</v>
      </c>
      <c r="AF413" s="19" t="n">
        <f aca="false">IF(E413="SPRZEDAŻ",IF(M413&lt;&gt;"",Z413*M413,0),0)</f>
        <v>0</v>
      </c>
      <c r="AG413" s="19" t="str">
        <f aca="false">IF(R413="","",IF(LOWER(R413)="brak","Brak",IF(OR(ISNUMBER(SEARCH("ric pl",LOWER(R413))),ISNUMBER(SEARCH("wojciechowski",LOWER(R413)))),"Własny","Zewnętrzny")))</f>
        <v>Zewnętrzny</v>
      </c>
      <c r="AH413" s="19" t="n">
        <f aca="false">Z413*Q413</f>
        <v>0</v>
      </c>
      <c r="AI413" s="19" t="str">
        <f aca="false">UPPER(TEXT(C413,"mmmm"))</f>
        <v>AUGUST</v>
      </c>
      <c r="AJ413" s="19" t="str">
        <f aca="false">IF(C413="","",TEXT(C413,"rrrr"))</f>
        <v>CE5786CE5786</v>
      </c>
      <c r="AK413" s="10"/>
      <c r="AL413" s="11" t="n">
        <v>1050</v>
      </c>
      <c r="AM413" s="10" t="s">
        <v>787</v>
      </c>
      <c r="AN413" s="10" t="s">
        <v>49</v>
      </c>
      <c r="AO413" s="10"/>
      <c r="AP413" s="10"/>
      <c r="AQ413" s="10"/>
      <c r="AR413" s="10" t="s">
        <v>66</v>
      </c>
      <c r="AS413" s="10"/>
      <c r="AT413" s="15" t="n">
        <v>1</v>
      </c>
    </row>
    <row r="414" customFormat="false" ht="42.75" hidden="false" customHeight="true" outlineLevel="0" collapsed="false">
      <c r="A414" s="12" t="n">
        <v>46252</v>
      </c>
      <c r="B414" s="12"/>
      <c r="C414" s="12" t="n">
        <v>46252</v>
      </c>
      <c r="D414" s="10" t="s">
        <v>376</v>
      </c>
      <c r="E414" s="10" t="s">
        <v>63</v>
      </c>
      <c r="F414" s="13" t="s">
        <v>788</v>
      </c>
      <c r="G414" s="14" t="s">
        <v>59</v>
      </c>
      <c r="H414" s="10" t="s">
        <v>76</v>
      </c>
      <c r="I414" s="15" t="n">
        <v>76</v>
      </c>
      <c r="J414" s="10" t="s">
        <v>51</v>
      </c>
      <c r="K414" s="15" t="n">
        <v>45</v>
      </c>
      <c r="L414" s="11" t="n">
        <v>3420</v>
      </c>
      <c r="M414" s="11" t="n">
        <v>0</v>
      </c>
      <c r="N414" s="10" t="s">
        <v>255</v>
      </c>
      <c r="O414" s="10"/>
      <c r="P414" s="10"/>
      <c r="Q414" s="16" t="n">
        <v>0</v>
      </c>
      <c r="R414" s="10"/>
      <c r="S414" s="10"/>
      <c r="T414" s="10" t="n">
        <v>0</v>
      </c>
      <c r="U414" s="11" t="n">
        <f aca="false">IF(E414="TRANSPORT",IF(T414="","",T414*5),IF(AL414="","",AL414))</f>
        <v>0</v>
      </c>
      <c r="V414" s="10" t="s">
        <v>54</v>
      </c>
      <c r="W414" s="15" t="s">
        <v>789</v>
      </c>
      <c r="X414" s="15"/>
      <c r="Y414" s="17" t="n">
        <v>46257.8352546296</v>
      </c>
      <c r="Z414" s="18" t="n">
        <f aca="false">IF(I414="",0,IF(ISNUMBER(SEARCH("mp",LOWER(J414))),I414,IF(ISNUMBER(SEARCH("ton",LOWER(J414))),I414/0.33,IF(ISNUMBER(SEARCH("m3",LOWER(J414))),I414*4,I414))))</f>
        <v>76</v>
      </c>
      <c r="AA414" s="18" t="n">
        <f aca="false">IF(I414="",0,IF(ISNUMBER(SEARCH("mp",LOWER(J414))),I414*0.33,IF(ISNUMBER(SEARCH("ton",LOWER(J414))),I414,I414*0.33)))</f>
        <v>25.08</v>
      </c>
      <c r="AB414" s="18" t="n">
        <f aca="false">Tabela_dane[[#This Row],[Wolumen_t]]*8.5</f>
        <v>213.18</v>
      </c>
      <c r="AC414" s="18" t="n">
        <f aca="false">IF(G414&lt;&gt;"TAK",0,IF(OR(E414="ZAKUP",E414="PRODUKCJA"),Z414,IF(OR(E414="SPRZEDAŻ",E414="ZUŻYCIE"),-Z414,0)))</f>
        <v>0</v>
      </c>
      <c r="AD414" s="18" t="n">
        <f aca="false">IF(G414&lt;&gt;"TAK",0,IF(OR(E414="ZAKUP",E414="PRODUKCJA"),AA414,IF(OR(E414="SPRZEDAŻ",E414="ZUŻYCIE"),-AA414,0)))</f>
        <v>0</v>
      </c>
      <c r="AE414" s="19" t="n">
        <f aca="false">IF(E414="ZAKUP",IF(L414&lt;&gt;"",L414,IF(K414&lt;&gt;"",Z414*K414,0)),0)</f>
        <v>3420</v>
      </c>
      <c r="AF414" s="19" t="n">
        <f aca="false">IF(E414="SPRZEDAŻ",IF(M414&lt;&gt;"",Z414*M414,0),0)</f>
        <v>0</v>
      </c>
      <c r="AG414" s="19" t="str">
        <f aca="false">IF(R414="","",IF(LOWER(R414)="brak","Brak",IF(OR(ISNUMBER(SEARCH("ric pl",LOWER(R414))),ISNUMBER(SEARCH("wojciechowski",LOWER(R414)))),"Własny","Zewnętrzny")))</f>
        <v/>
      </c>
      <c r="AH414" s="19" t="n">
        <f aca="false">Z414*Q414</f>
        <v>0</v>
      </c>
      <c r="AI414" s="19" t="str">
        <f aca="false">UPPER(TEXT(C414,"mmmm"))</f>
        <v>AUGUST</v>
      </c>
      <c r="AJ414" s="19" t="str">
        <f aca="false">IF(C414="","",TEXT(C414,"rrrr"))</f>
        <v>CE5786CE5786</v>
      </c>
      <c r="AK414" s="10"/>
      <c r="AL414" s="11" t="n">
        <v>0</v>
      </c>
      <c r="AM414" s="10" t="s">
        <v>790</v>
      </c>
      <c r="AN414" s="10" t="s">
        <v>59</v>
      </c>
      <c r="AO414" s="10"/>
      <c r="AP414" s="10"/>
      <c r="AQ414" s="10"/>
      <c r="AR414" s="10" t="s">
        <v>66</v>
      </c>
      <c r="AS414" s="10"/>
      <c r="AT414" s="15" t="n">
        <v>1</v>
      </c>
    </row>
    <row r="415" customFormat="false" ht="43.5" hidden="false" customHeight="true" outlineLevel="0" collapsed="false">
      <c r="A415" s="12" t="n">
        <v>46252</v>
      </c>
      <c r="B415" s="12"/>
      <c r="C415" s="12" t="n">
        <v>46252</v>
      </c>
      <c r="D415" s="10" t="s">
        <v>54</v>
      </c>
      <c r="E415" s="10" t="s">
        <v>47</v>
      </c>
      <c r="F415" s="13" t="s">
        <v>788</v>
      </c>
      <c r="G415" s="14" t="s">
        <v>49</v>
      </c>
      <c r="H415" s="10" t="s">
        <v>76</v>
      </c>
      <c r="I415" s="15" t="n">
        <v>76</v>
      </c>
      <c r="J415" s="10" t="s">
        <v>51</v>
      </c>
      <c r="K415" s="15" t="n">
        <v>0</v>
      </c>
      <c r="L415" s="11" t="n">
        <v>0</v>
      </c>
      <c r="M415" s="11" t="n">
        <v>0</v>
      </c>
      <c r="N415" s="10" t="s">
        <v>258</v>
      </c>
      <c r="O415" s="10" t="s">
        <v>67</v>
      </c>
      <c r="P415" s="10" t="s">
        <v>53</v>
      </c>
      <c r="Q415" s="16" t="n">
        <v>10</v>
      </c>
      <c r="R415" s="10"/>
      <c r="S415" s="10"/>
      <c r="T415" s="10" t="n">
        <v>0</v>
      </c>
      <c r="U415" s="11" t="n">
        <f aca="false">IF(E415="TRANSPORT",IF(T415="","",T415*5),IF(AL415="","",AL415))</f>
        <v>0</v>
      </c>
      <c r="V415" s="10" t="s">
        <v>54</v>
      </c>
      <c r="W415" s="15" t="s">
        <v>655</v>
      </c>
      <c r="X415" s="15" t="s">
        <v>54</v>
      </c>
      <c r="Y415" s="17" t="n">
        <v>46257.8362962963</v>
      </c>
      <c r="Z415" s="18" t="n">
        <f aca="false">IF(I415="",0,IF(ISNUMBER(SEARCH("mp",LOWER(J415))),I415,IF(ISNUMBER(SEARCH("ton",LOWER(J415))),I415/0.33,IF(ISNUMBER(SEARCH("m3",LOWER(J415))),I415*4,I415))))</f>
        <v>76</v>
      </c>
      <c r="AA415" s="18" t="n">
        <f aca="false">IF(I415="",0,IF(ISNUMBER(SEARCH("mp",LOWER(J415))),I415*0.33,IF(ISNUMBER(SEARCH("ton",LOWER(J415))),I415,I415*0.33)))</f>
        <v>25.08</v>
      </c>
      <c r="AB415" s="18" t="n">
        <f aca="false">Tabela_dane[[#This Row],[Wolumen_t]]*8.5</f>
        <v>213.18</v>
      </c>
      <c r="AC415" s="18" t="n">
        <f aca="false">IF(G415&lt;&gt;"TAK",0,IF(OR(E415="ZAKUP",E415="PRODUKCJA"),Z415,IF(OR(E415="SPRZEDAŻ",E415="ZUŻYCIE"),-Z415,0)))</f>
        <v>76</v>
      </c>
      <c r="AD415" s="18" t="n">
        <f aca="false">IF(G415&lt;&gt;"TAK",0,IF(OR(E415="ZAKUP",E415="PRODUKCJA"),AA415,IF(OR(E415="SPRZEDAŻ",E415="ZUŻYCIE"),-AA415,0)))</f>
        <v>25.08</v>
      </c>
      <c r="AE415" s="19" t="n">
        <f aca="false">IF(E415="ZAKUP",IF(L415&lt;&gt;"",L415,IF(K415&lt;&gt;"",Z415*K415,0)),0)</f>
        <v>0</v>
      </c>
      <c r="AF415" s="19" t="n">
        <f aca="false">IF(E415="SPRZEDAŻ",IF(M415&lt;&gt;"",Z415*M415,0),0)</f>
        <v>0</v>
      </c>
      <c r="AG415" s="19" t="str">
        <f aca="false">IF(R415="","",IF(LOWER(R415)="brak","Brak",IF(OR(ISNUMBER(SEARCH("ric pl",LOWER(R415))),ISNUMBER(SEARCH("wojciechowski",LOWER(R415)))),"Własny","Zewnętrzny")))</f>
        <v/>
      </c>
      <c r="AH415" s="19" t="n">
        <f aca="false">Z415*Q415</f>
        <v>760</v>
      </c>
      <c r="AI415" s="19" t="str">
        <f aca="false">UPPER(TEXT(C415,"mmmm"))</f>
        <v>AUGUST</v>
      </c>
      <c r="AJ415" s="19" t="str">
        <f aca="false">IF(C415="","",TEXT(C415,"rrrr"))</f>
        <v>CE5786CE5786</v>
      </c>
      <c r="AK415" s="10"/>
      <c r="AL415" s="11" t="n">
        <v>0</v>
      </c>
      <c r="AM415" s="10" t="s">
        <v>791</v>
      </c>
      <c r="AN415" s="10" t="s">
        <v>59</v>
      </c>
      <c r="AO415" s="10"/>
      <c r="AP415" s="10"/>
      <c r="AQ415" s="10"/>
      <c r="AR415" s="10" t="s">
        <v>66</v>
      </c>
      <c r="AS415" s="10"/>
      <c r="AT415" s="15" t="n">
        <v>1</v>
      </c>
    </row>
    <row r="416" customFormat="false" ht="28.5" hidden="false" customHeight="true" outlineLevel="0" collapsed="false">
      <c r="A416" s="12" t="n">
        <v>46252</v>
      </c>
      <c r="B416" s="12"/>
      <c r="C416" s="12" t="n">
        <v>46252</v>
      </c>
      <c r="D416" s="10" t="s">
        <v>54</v>
      </c>
      <c r="E416" s="10" t="s">
        <v>79</v>
      </c>
      <c r="F416" s="13" t="s">
        <v>788</v>
      </c>
      <c r="G416" s="14" t="s">
        <v>49</v>
      </c>
      <c r="H416" s="10" t="s">
        <v>76</v>
      </c>
      <c r="I416" s="15" t="n">
        <v>76</v>
      </c>
      <c r="J416" s="10" t="s">
        <v>51</v>
      </c>
      <c r="K416" s="15" t="n">
        <v>0</v>
      </c>
      <c r="L416" s="11" t="n">
        <v>0</v>
      </c>
      <c r="M416" s="11" t="n">
        <v>0</v>
      </c>
      <c r="N416" s="10" t="s">
        <v>258</v>
      </c>
      <c r="O416" s="10" t="s">
        <v>67</v>
      </c>
      <c r="P416" s="10" t="s">
        <v>53</v>
      </c>
      <c r="Q416" s="16" t="n">
        <v>10</v>
      </c>
      <c r="R416" s="10"/>
      <c r="S416" s="10"/>
      <c r="T416" s="10" t="n">
        <v>0</v>
      </c>
      <c r="U416" s="11" t="n">
        <f aca="false">IF(E416="TRANSPORT",IF(T416="","",T416*5),IF(AL416="","",AL416))</f>
        <v>0</v>
      </c>
      <c r="V416" s="10" t="s">
        <v>54</v>
      </c>
      <c r="W416" s="15" t="s">
        <v>260</v>
      </c>
      <c r="X416" s="15" t="s">
        <v>54</v>
      </c>
      <c r="Y416" s="17" t="n">
        <v>46257.8362962963</v>
      </c>
      <c r="Z416" s="18" t="n">
        <f aca="false">IF(I416="",0,IF(ISNUMBER(SEARCH("mp",LOWER(J416))),I416,IF(ISNUMBER(SEARCH("ton",LOWER(J416))),I416/0.33,IF(ISNUMBER(SEARCH("m3",LOWER(J416))),I416*4,I416))))</f>
        <v>76</v>
      </c>
      <c r="AA416" s="18" t="n">
        <f aca="false">IF(I416="",0,IF(ISNUMBER(SEARCH("mp",LOWER(J416))),I416*0.33,IF(ISNUMBER(SEARCH("ton",LOWER(J416))),I416,I416*0.33)))</f>
        <v>25.08</v>
      </c>
      <c r="AB416" s="18" t="n">
        <f aca="false">Tabela_dane[[#This Row],[Wolumen_t]]*8.5</f>
        <v>213.18</v>
      </c>
      <c r="AC416" s="18" t="n">
        <f aca="false">IF(G416&lt;&gt;"TAK",0,IF(OR(E416="ZAKUP",E416="PRODUKCJA"),Z416,IF(OR(E416="SPRZEDAŻ",E416="ZUŻYCIE"),-Z416,0)))</f>
        <v>-76</v>
      </c>
      <c r="AD416" s="18" t="n">
        <f aca="false">IF(G416&lt;&gt;"TAK",0,IF(OR(E416="ZAKUP",E416="PRODUKCJA"),AA416,IF(OR(E416="SPRZEDAŻ",E416="ZUŻYCIE"),-AA416,0)))</f>
        <v>-25.08</v>
      </c>
      <c r="AE416" s="19" t="n">
        <f aca="false">IF(E416="ZAKUP",IF(L416&lt;&gt;"",L416,IF(K416&lt;&gt;"",Z416*K416,0)),0)</f>
        <v>0</v>
      </c>
      <c r="AF416" s="19" t="n">
        <f aca="false">IF(E416="SPRZEDAŻ",IF(M416&lt;&gt;"",Z416*M416,0),0)</f>
        <v>0</v>
      </c>
      <c r="AG416" s="19" t="str">
        <f aca="false">IF(R416="","",IF(LOWER(R416)="brak","Brak",IF(OR(ISNUMBER(SEARCH("ric pl",LOWER(R416))),ISNUMBER(SEARCH("wojciechowski",LOWER(R416)))),"Własny","Zewnętrzny")))</f>
        <v/>
      </c>
      <c r="AH416" s="19" t="n">
        <f aca="false">Z416*Q416</f>
        <v>760</v>
      </c>
      <c r="AI416" s="19" t="str">
        <f aca="false">UPPER(TEXT(C416,"mmmm"))</f>
        <v>AUGUST</v>
      </c>
      <c r="AJ416" s="19" t="str">
        <f aca="false">IF(C416="","",TEXT(C416,"rrrr"))</f>
        <v>CE5786CE5786</v>
      </c>
      <c r="AK416" s="10"/>
      <c r="AL416" s="11" t="n">
        <v>0</v>
      </c>
      <c r="AM416" s="10" t="s">
        <v>791</v>
      </c>
      <c r="AN416" s="10" t="s">
        <v>59</v>
      </c>
      <c r="AO416" s="10"/>
      <c r="AP416" s="10"/>
      <c r="AQ416" s="10"/>
      <c r="AR416" s="10" t="s">
        <v>81</v>
      </c>
      <c r="AS416" s="10"/>
      <c r="AT416" s="15" t="n">
        <v>1</v>
      </c>
    </row>
    <row r="417" customFormat="false" ht="47.25" hidden="false" customHeight="true" outlineLevel="0" collapsed="false">
      <c r="A417" s="12" t="n">
        <v>46252</v>
      </c>
      <c r="B417" s="12" t="s">
        <v>380</v>
      </c>
      <c r="C417" s="12" t="n">
        <v>46252</v>
      </c>
      <c r="D417" s="10" t="s">
        <v>54</v>
      </c>
      <c r="E417" s="10" t="s">
        <v>63</v>
      </c>
      <c r="F417" s="13" t="s">
        <v>788</v>
      </c>
      <c r="G417" s="14" t="s">
        <v>49</v>
      </c>
      <c r="H417" s="10" t="s">
        <v>76</v>
      </c>
      <c r="I417" s="15" t="n">
        <v>76</v>
      </c>
      <c r="J417" s="10" t="s">
        <v>51</v>
      </c>
      <c r="K417" s="15" t="n">
        <v>0</v>
      </c>
      <c r="L417" s="11" t="n">
        <v>0</v>
      </c>
      <c r="M417" s="11" t="n">
        <v>0</v>
      </c>
      <c r="N417" s="10" t="s">
        <v>258</v>
      </c>
      <c r="O417" s="10" t="s">
        <v>67</v>
      </c>
      <c r="P417" s="10"/>
      <c r="Q417" s="16" t="n">
        <v>0</v>
      </c>
      <c r="R417" s="10" t="s">
        <v>68</v>
      </c>
      <c r="S417" s="10" t="s">
        <v>69</v>
      </c>
      <c r="T417" s="10" t="n">
        <v>210</v>
      </c>
      <c r="U417" s="11" t="n">
        <f aca="false">IF(E417="TRANSPORT",IF(T417="","",T417*5),IF(AL417="","",AL417))</f>
        <v>1050</v>
      </c>
      <c r="V417" s="10" t="s">
        <v>54</v>
      </c>
      <c r="W417" s="15" t="s">
        <v>629</v>
      </c>
      <c r="X417" s="15"/>
      <c r="Y417" s="17" t="n">
        <v>46257.8372800926</v>
      </c>
      <c r="Z417" s="18" t="n">
        <f aca="false">IF(I417="",0,IF(ISNUMBER(SEARCH("mp",LOWER(J417))),I417,IF(ISNUMBER(SEARCH("ton",LOWER(J417))),I417/0.33,IF(ISNUMBER(SEARCH("m3",LOWER(J417))),I417*4,I417))))</f>
        <v>76</v>
      </c>
      <c r="AA417" s="18" t="n">
        <f aca="false">IF(I417="",0,IF(ISNUMBER(SEARCH("mp",LOWER(J417))),I417*0.33,IF(ISNUMBER(SEARCH("ton",LOWER(J417))),I417,I417*0.33)))</f>
        <v>25.08</v>
      </c>
      <c r="AB417" s="18" t="n">
        <f aca="false">Tabela_dane[[#This Row],[Wolumen_t]]*8.5</f>
        <v>213.18</v>
      </c>
      <c r="AC417" s="18" t="n">
        <f aca="false">IF(G417&lt;&gt;"TAK",0,IF(OR(E417="ZAKUP",E417="PRODUKCJA"),Z417,IF(OR(E417="SPRZEDAŻ",E417="ZUŻYCIE"),-Z417,0)))</f>
        <v>76</v>
      </c>
      <c r="AD417" s="18" t="n">
        <f aca="false">IF(G417&lt;&gt;"TAK",0,IF(OR(E417="ZAKUP",E417="PRODUKCJA"),AA417,IF(OR(E417="SPRZEDAŻ",E417="ZUŻYCIE"),-AA417,0)))</f>
        <v>25.08</v>
      </c>
      <c r="AE417" s="19" t="n">
        <f aca="false">IF(E417="ZAKUP",IF(L417&lt;&gt;"",L417,IF(K417&lt;&gt;"",Z417*K417,0)),0)</f>
        <v>0</v>
      </c>
      <c r="AF417" s="19" t="n">
        <f aca="false">IF(E417="SPRZEDAŻ",IF(M417&lt;&gt;"",Z417*M417,0),0)</f>
        <v>0</v>
      </c>
      <c r="AG417" s="19" t="str">
        <f aca="false">IF(R417="","",IF(LOWER(R417)="brak","Brak",IF(OR(ISNUMBER(SEARCH("ric pl",LOWER(R417))),ISNUMBER(SEARCH("wojciechowski",LOWER(R417)))),"Własny","Zewnętrzny")))</f>
        <v>Zewnętrzny</v>
      </c>
      <c r="AH417" s="19" t="n">
        <f aca="false">Z417*Q417</f>
        <v>0</v>
      </c>
      <c r="AI417" s="19" t="str">
        <f aca="false">UPPER(TEXT(C417,"mmmm"))</f>
        <v>AUGUST</v>
      </c>
      <c r="AJ417" s="19" t="str">
        <f aca="false">IF(C417="","",TEXT(C417,"rrrr"))</f>
        <v>CE5786CE5786</v>
      </c>
      <c r="AK417" s="10"/>
      <c r="AL417" s="11" t="n">
        <v>1050</v>
      </c>
      <c r="AM417" s="10" t="s">
        <v>792</v>
      </c>
      <c r="AN417" s="10" t="s">
        <v>49</v>
      </c>
      <c r="AO417" s="10"/>
      <c r="AP417" s="10"/>
      <c r="AQ417" s="10"/>
      <c r="AR417" s="10" t="s">
        <v>66</v>
      </c>
      <c r="AS417" s="10"/>
      <c r="AT417" s="15" t="n">
        <v>1</v>
      </c>
    </row>
    <row r="418" customFormat="false" ht="28.5" hidden="false" customHeight="true" outlineLevel="0" collapsed="false">
      <c r="A418" s="12" t="n">
        <v>46252</v>
      </c>
      <c r="B418" s="12"/>
      <c r="C418" s="12" t="n">
        <v>46252</v>
      </c>
      <c r="D418" s="10" t="s">
        <v>376</v>
      </c>
      <c r="E418" s="10" t="s">
        <v>63</v>
      </c>
      <c r="F418" s="13" t="s">
        <v>793</v>
      </c>
      <c r="G418" s="14" t="s">
        <v>59</v>
      </c>
      <c r="H418" s="10" t="s">
        <v>76</v>
      </c>
      <c r="I418" s="15" t="n">
        <v>75</v>
      </c>
      <c r="J418" s="10" t="s">
        <v>51</v>
      </c>
      <c r="K418" s="15" t="n">
        <v>45</v>
      </c>
      <c r="L418" s="11" t="n">
        <v>3375</v>
      </c>
      <c r="M418" s="11" t="n">
        <v>0</v>
      </c>
      <c r="N418" s="10" t="s">
        <v>255</v>
      </c>
      <c r="O418" s="10"/>
      <c r="P418" s="10"/>
      <c r="Q418" s="16" t="n">
        <v>0</v>
      </c>
      <c r="R418" s="10"/>
      <c r="S418" s="10"/>
      <c r="T418" s="10" t="n">
        <v>0</v>
      </c>
      <c r="U418" s="11" t="n">
        <f aca="false">IF(E418="TRANSPORT",IF(T418="","",T418*5),IF(AL418="","",AL418))</f>
        <v>0</v>
      </c>
      <c r="V418" s="10" t="s">
        <v>54</v>
      </c>
      <c r="W418" s="15" t="s">
        <v>794</v>
      </c>
      <c r="X418" s="15"/>
      <c r="Y418" s="17" t="n">
        <v>46257.8406597222</v>
      </c>
      <c r="Z418" s="18" t="n">
        <f aca="false">IF(I418="",0,IF(ISNUMBER(SEARCH("mp",LOWER(J418))),I418,IF(ISNUMBER(SEARCH("ton",LOWER(J418))),I418/0.33,IF(ISNUMBER(SEARCH("m3",LOWER(J418))),I418*4,I418))))</f>
        <v>75</v>
      </c>
      <c r="AA418" s="18" t="n">
        <f aca="false">IF(I418="",0,IF(ISNUMBER(SEARCH("mp",LOWER(J418))),I418*0.33,IF(ISNUMBER(SEARCH("ton",LOWER(J418))),I418,I418*0.33)))</f>
        <v>24.75</v>
      </c>
      <c r="AB418" s="18" t="n">
        <f aca="false">Tabela_dane[[#This Row],[Wolumen_t]]*8.5</f>
        <v>210.375</v>
      </c>
      <c r="AC418" s="18" t="n">
        <f aca="false">IF(G418&lt;&gt;"TAK",0,IF(OR(E418="ZAKUP",E418="PRODUKCJA"),Z418,IF(OR(E418="SPRZEDAŻ",E418="ZUŻYCIE"),-Z418,0)))</f>
        <v>0</v>
      </c>
      <c r="AD418" s="18" t="n">
        <f aca="false">IF(G418&lt;&gt;"TAK",0,IF(OR(E418="ZAKUP",E418="PRODUKCJA"),AA418,IF(OR(E418="SPRZEDAŻ",E418="ZUŻYCIE"),-AA418,0)))</f>
        <v>0</v>
      </c>
      <c r="AE418" s="19" t="n">
        <f aca="false">IF(E418="ZAKUP",IF(L418&lt;&gt;"",L418,IF(K418&lt;&gt;"",Z418*K418,0)),0)</f>
        <v>3375</v>
      </c>
      <c r="AF418" s="19" t="n">
        <f aca="false">IF(E418="SPRZEDAŻ",IF(M418&lt;&gt;"",Z418*M418,0),0)</f>
        <v>0</v>
      </c>
      <c r="AG418" s="19" t="str">
        <f aca="false">IF(R418="","",IF(LOWER(R418)="brak","Brak",IF(OR(ISNUMBER(SEARCH("ric pl",LOWER(R418))),ISNUMBER(SEARCH("wojciechowski",LOWER(R418)))),"Własny","Zewnętrzny")))</f>
        <v/>
      </c>
      <c r="AH418" s="19" t="n">
        <f aca="false">Z418*Q418</f>
        <v>0</v>
      </c>
      <c r="AI418" s="19" t="str">
        <f aca="false">UPPER(TEXT(C418,"mmmm"))</f>
        <v>AUGUST</v>
      </c>
      <c r="AJ418" s="19" t="str">
        <f aca="false">IF(C418="","",TEXT(C418,"rrrr"))</f>
        <v>CE5786CE5786</v>
      </c>
      <c r="AK418" s="10"/>
      <c r="AL418" s="11" t="n">
        <v>0</v>
      </c>
      <c r="AM418" s="10" t="s">
        <v>795</v>
      </c>
      <c r="AN418" s="10" t="s">
        <v>59</v>
      </c>
      <c r="AO418" s="10"/>
      <c r="AP418" s="10"/>
      <c r="AQ418" s="10"/>
      <c r="AR418" s="10" t="s">
        <v>66</v>
      </c>
      <c r="AS418" s="10"/>
      <c r="AT418" s="15" t="n">
        <v>1</v>
      </c>
    </row>
    <row r="419" customFormat="false" ht="28.5" hidden="false" customHeight="true" outlineLevel="0" collapsed="false">
      <c r="A419" s="12" t="n">
        <v>46252</v>
      </c>
      <c r="B419" s="12"/>
      <c r="C419" s="12" t="n">
        <v>46252</v>
      </c>
      <c r="D419" s="10" t="s">
        <v>54</v>
      </c>
      <c r="E419" s="10" t="s">
        <v>47</v>
      </c>
      <c r="F419" s="13" t="s">
        <v>793</v>
      </c>
      <c r="G419" s="14" t="s">
        <v>49</v>
      </c>
      <c r="H419" s="10" t="s">
        <v>76</v>
      </c>
      <c r="I419" s="15" t="n">
        <v>75</v>
      </c>
      <c r="J419" s="10" t="s">
        <v>51</v>
      </c>
      <c r="K419" s="15" t="n">
        <v>0</v>
      </c>
      <c r="L419" s="11" t="n">
        <v>0</v>
      </c>
      <c r="M419" s="11" t="n">
        <v>0</v>
      </c>
      <c r="N419" s="10" t="s">
        <v>258</v>
      </c>
      <c r="O419" s="10" t="s">
        <v>67</v>
      </c>
      <c r="P419" s="10" t="s">
        <v>53</v>
      </c>
      <c r="Q419" s="16" t="n">
        <v>10</v>
      </c>
      <c r="R419" s="10"/>
      <c r="S419" s="10"/>
      <c r="T419" s="10" t="n">
        <v>0</v>
      </c>
      <c r="U419" s="11" t="n">
        <f aca="false">IF(E419="TRANSPORT",IF(T419="","",T419*5),IF(AL419="","",AL419))</f>
        <v>0</v>
      </c>
      <c r="V419" s="10" t="s">
        <v>54</v>
      </c>
      <c r="W419" s="15" t="s">
        <v>655</v>
      </c>
      <c r="X419" s="15" t="s">
        <v>54</v>
      </c>
      <c r="Y419" s="17" t="n">
        <v>46257.8416666667</v>
      </c>
      <c r="Z419" s="18" t="n">
        <f aca="false">IF(I419="",0,IF(ISNUMBER(SEARCH("mp",LOWER(J419))),I419,IF(ISNUMBER(SEARCH("ton",LOWER(J419))),I419/0.33,IF(ISNUMBER(SEARCH("m3",LOWER(J419))),I419*4,I419))))</f>
        <v>75</v>
      </c>
      <c r="AA419" s="18" t="n">
        <f aca="false">IF(I419="",0,IF(ISNUMBER(SEARCH("mp",LOWER(J419))),I419*0.33,IF(ISNUMBER(SEARCH("ton",LOWER(J419))),I419,I419*0.33)))</f>
        <v>24.75</v>
      </c>
      <c r="AB419" s="18" t="n">
        <f aca="false">Tabela_dane[[#This Row],[Wolumen_t]]*8.5</f>
        <v>210.375</v>
      </c>
      <c r="AC419" s="18" t="n">
        <f aca="false">IF(G419&lt;&gt;"TAK",0,IF(OR(E419="ZAKUP",E419="PRODUKCJA"),Z419,IF(OR(E419="SPRZEDAŻ",E419="ZUŻYCIE"),-Z419,0)))</f>
        <v>75</v>
      </c>
      <c r="AD419" s="18" t="n">
        <f aca="false">IF(G419&lt;&gt;"TAK",0,IF(OR(E419="ZAKUP",E419="PRODUKCJA"),AA419,IF(OR(E419="SPRZEDAŻ",E419="ZUŻYCIE"),-AA419,0)))</f>
        <v>24.75</v>
      </c>
      <c r="AE419" s="19" t="n">
        <f aca="false">IF(E419="ZAKUP",IF(L419&lt;&gt;"",L419,IF(K419&lt;&gt;"",Z419*K419,0)),0)</f>
        <v>0</v>
      </c>
      <c r="AF419" s="19" t="n">
        <f aca="false">IF(E419="SPRZEDAŻ",IF(M419&lt;&gt;"",Z419*M419,0),0)</f>
        <v>0</v>
      </c>
      <c r="AG419" s="19" t="str">
        <f aca="false">IF(R419="","",IF(LOWER(R419)="brak","Brak",IF(OR(ISNUMBER(SEARCH("ric pl",LOWER(R419))),ISNUMBER(SEARCH("wojciechowski",LOWER(R419)))),"Własny","Zewnętrzny")))</f>
        <v/>
      </c>
      <c r="AH419" s="19" t="n">
        <f aca="false">Z419*Q419</f>
        <v>750</v>
      </c>
      <c r="AI419" s="19" t="str">
        <f aca="false">UPPER(TEXT(C419,"mmmm"))</f>
        <v>AUGUST</v>
      </c>
      <c r="AJ419" s="19" t="str">
        <f aca="false">IF(C419="","",TEXT(C419,"rrrr"))</f>
        <v>CE5786CE5786</v>
      </c>
      <c r="AK419" s="10"/>
      <c r="AL419" s="11" t="n">
        <v>0</v>
      </c>
      <c r="AM419" s="10" t="s">
        <v>796</v>
      </c>
      <c r="AN419" s="10" t="s">
        <v>59</v>
      </c>
      <c r="AO419" s="10"/>
      <c r="AP419" s="10"/>
      <c r="AQ419" s="10"/>
      <c r="AR419" s="10" t="s">
        <v>66</v>
      </c>
      <c r="AS419" s="10"/>
      <c r="AT419" s="15" t="n">
        <v>1</v>
      </c>
    </row>
    <row r="420" customFormat="false" ht="28.5" hidden="false" customHeight="true" outlineLevel="0" collapsed="false">
      <c r="A420" s="12" t="n">
        <v>46252</v>
      </c>
      <c r="B420" s="12"/>
      <c r="C420" s="12" t="n">
        <v>46252</v>
      </c>
      <c r="D420" s="10" t="s">
        <v>54</v>
      </c>
      <c r="E420" s="10" t="s">
        <v>79</v>
      </c>
      <c r="F420" s="13" t="s">
        <v>793</v>
      </c>
      <c r="G420" s="14" t="s">
        <v>49</v>
      </c>
      <c r="H420" s="10" t="s">
        <v>76</v>
      </c>
      <c r="I420" s="15" t="n">
        <v>75</v>
      </c>
      <c r="J420" s="10" t="s">
        <v>51</v>
      </c>
      <c r="K420" s="15" t="n">
        <v>0</v>
      </c>
      <c r="L420" s="11" t="n">
        <v>0</v>
      </c>
      <c r="M420" s="11" t="n">
        <v>0</v>
      </c>
      <c r="N420" s="10" t="s">
        <v>258</v>
      </c>
      <c r="O420" s="10" t="s">
        <v>67</v>
      </c>
      <c r="P420" s="10" t="s">
        <v>53</v>
      </c>
      <c r="Q420" s="16" t="n">
        <v>10</v>
      </c>
      <c r="R420" s="10"/>
      <c r="S420" s="10"/>
      <c r="T420" s="10" t="n">
        <v>0</v>
      </c>
      <c r="U420" s="11" t="n">
        <f aca="false">IF(E420="TRANSPORT",IF(T420="","",T420*5),IF(AL420="","",AL420))</f>
        <v>0</v>
      </c>
      <c r="V420" s="10" t="s">
        <v>54</v>
      </c>
      <c r="W420" s="15" t="s">
        <v>260</v>
      </c>
      <c r="X420" s="15" t="s">
        <v>54</v>
      </c>
      <c r="Y420" s="17" t="n">
        <v>46257.8416782407</v>
      </c>
      <c r="Z420" s="18" t="n">
        <f aca="false">IF(I420="",0,IF(ISNUMBER(SEARCH("mp",LOWER(J420))),I420,IF(ISNUMBER(SEARCH("ton",LOWER(J420))),I420/0.33,IF(ISNUMBER(SEARCH("m3",LOWER(J420))),I420*4,I420))))</f>
        <v>75</v>
      </c>
      <c r="AA420" s="18" t="n">
        <f aca="false">IF(I420="",0,IF(ISNUMBER(SEARCH("mp",LOWER(J420))),I420*0.33,IF(ISNUMBER(SEARCH("ton",LOWER(J420))),I420,I420*0.33)))</f>
        <v>24.75</v>
      </c>
      <c r="AB420" s="18" t="n">
        <f aca="false">Tabela_dane[[#This Row],[Wolumen_t]]*8.5</f>
        <v>210.375</v>
      </c>
      <c r="AC420" s="18" t="n">
        <f aca="false">IF(G420&lt;&gt;"TAK",0,IF(OR(E420="ZAKUP",E420="PRODUKCJA"),Z420,IF(OR(E420="SPRZEDAŻ",E420="ZUŻYCIE"),-Z420,0)))</f>
        <v>-75</v>
      </c>
      <c r="AD420" s="18" t="n">
        <f aca="false">IF(G420&lt;&gt;"TAK",0,IF(OR(E420="ZAKUP",E420="PRODUKCJA"),AA420,IF(OR(E420="SPRZEDAŻ",E420="ZUŻYCIE"),-AA420,0)))</f>
        <v>-24.75</v>
      </c>
      <c r="AE420" s="19" t="n">
        <f aca="false">IF(E420="ZAKUP",IF(L420&lt;&gt;"",L420,IF(K420&lt;&gt;"",Z420*K420,0)),0)</f>
        <v>0</v>
      </c>
      <c r="AF420" s="19" t="n">
        <f aca="false">IF(E420="SPRZEDAŻ",IF(M420&lt;&gt;"",Z420*M420,0),0)</f>
        <v>0</v>
      </c>
      <c r="AG420" s="19" t="str">
        <f aca="false">IF(R420="","",IF(LOWER(R420)="brak","Brak",IF(OR(ISNUMBER(SEARCH("ric pl",LOWER(R420))),ISNUMBER(SEARCH("wojciechowski",LOWER(R420)))),"Własny","Zewnętrzny")))</f>
        <v/>
      </c>
      <c r="AH420" s="19" t="n">
        <f aca="false">Z420*Q420</f>
        <v>750</v>
      </c>
      <c r="AI420" s="19" t="str">
        <f aca="false">UPPER(TEXT(C420,"mmmm"))</f>
        <v>AUGUST</v>
      </c>
      <c r="AJ420" s="19" t="str">
        <f aca="false">IF(C420="","",TEXT(C420,"rrrr"))</f>
        <v>CE5786CE5786</v>
      </c>
      <c r="AK420" s="10"/>
      <c r="AL420" s="11" t="n">
        <v>0</v>
      </c>
      <c r="AM420" s="10" t="s">
        <v>796</v>
      </c>
      <c r="AN420" s="10" t="s">
        <v>59</v>
      </c>
      <c r="AO420" s="10"/>
      <c r="AP420" s="10"/>
      <c r="AQ420" s="10"/>
      <c r="AR420" s="10" t="s">
        <v>81</v>
      </c>
      <c r="AS420" s="10"/>
      <c r="AT420" s="15" t="n">
        <v>1</v>
      </c>
    </row>
    <row r="421" customFormat="false" ht="42" hidden="false" customHeight="true" outlineLevel="0" collapsed="false">
      <c r="A421" s="12" t="n">
        <v>46252</v>
      </c>
      <c r="B421" s="12" t="s">
        <v>380</v>
      </c>
      <c r="C421" s="12" t="n">
        <v>46252</v>
      </c>
      <c r="D421" s="10" t="s">
        <v>54</v>
      </c>
      <c r="E421" s="10" t="s">
        <v>63</v>
      </c>
      <c r="F421" s="13" t="s">
        <v>793</v>
      </c>
      <c r="G421" s="14" t="s">
        <v>49</v>
      </c>
      <c r="H421" s="10" t="s">
        <v>76</v>
      </c>
      <c r="I421" s="15" t="n">
        <v>75</v>
      </c>
      <c r="J421" s="10" t="s">
        <v>51</v>
      </c>
      <c r="K421" s="15" t="n">
        <v>0</v>
      </c>
      <c r="L421" s="11" t="n">
        <v>0</v>
      </c>
      <c r="M421" s="11" t="n">
        <v>0</v>
      </c>
      <c r="N421" s="10" t="s">
        <v>258</v>
      </c>
      <c r="O421" s="10" t="s">
        <v>67</v>
      </c>
      <c r="P421" s="10"/>
      <c r="Q421" s="16" t="n">
        <v>0</v>
      </c>
      <c r="R421" s="10" t="s">
        <v>742</v>
      </c>
      <c r="S421" s="10" t="s">
        <v>743</v>
      </c>
      <c r="T421" s="10" t="n">
        <v>210</v>
      </c>
      <c r="U421" s="11" t="n">
        <f aca="false">IF(E421="TRANSPORT",IF(T421="","",T421*5),IF(AL421="","",AL421))</f>
        <v>1050</v>
      </c>
      <c r="V421" s="10" t="s">
        <v>54</v>
      </c>
      <c r="W421" s="15" t="s">
        <v>769</v>
      </c>
      <c r="X421" s="15"/>
      <c r="Y421" s="17" t="n">
        <v>46257.8432175926</v>
      </c>
      <c r="Z421" s="18" t="n">
        <f aca="false">IF(I421="",0,IF(ISNUMBER(SEARCH("mp",LOWER(J421))),I421,IF(ISNUMBER(SEARCH("ton",LOWER(J421))),I421/0.33,IF(ISNUMBER(SEARCH("m3",LOWER(J421))),I421*4,I421))))</f>
        <v>75</v>
      </c>
      <c r="AA421" s="18" t="n">
        <f aca="false">IF(I421="",0,IF(ISNUMBER(SEARCH("mp",LOWER(J421))),I421*0.33,IF(ISNUMBER(SEARCH("ton",LOWER(J421))),I421,I421*0.33)))</f>
        <v>24.75</v>
      </c>
      <c r="AB421" s="18" t="n">
        <f aca="false">Tabela_dane[[#This Row],[Wolumen_t]]*8.5</f>
        <v>210.375</v>
      </c>
      <c r="AC421" s="18" t="n">
        <f aca="false">IF(G421&lt;&gt;"TAK",0,IF(OR(E421="ZAKUP",E421="PRODUKCJA"),Z421,IF(OR(E421="SPRZEDAŻ",E421="ZUŻYCIE"),-Z421,0)))</f>
        <v>75</v>
      </c>
      <c r="AD421" s="18" t="n">
        <f aca="false">IF(G421&lt;&gt;"TAK",0,IF(OR(E421="ZAKUP",E421="PRODUKCJA"),AA421,IF(OR(E421="SPRZEDAŻ",E421="ZUŻYCIE"),-AA421,0)))</f>
        <v>24.75</v>
      </c>
      <c r="AE421" s="19" t="n">
        <f aca="false">IF(E421="ZAKUP",IF(L421&lt;&gt;"",L421,IF(K421&lt;&gt;"",Z421*K421,0)),0)</f>
        <v>0</v>
      </c>
      <c r="AF421" s="19" t="n">
        <f aca="false">IF(E421="SPRZEDAŻ",IF(M421&lt;&gt;"",Z421*M421,0),0)</f>
        <v>0</v>
      </c>
      <c r="AG421" s="19" t="str">
        <f aca="false">IF(R421="","",IF(LOWER(R421)="brak","Brak",IF(OR(ISNUMBER(SEARCH("ric pl",LOWER(R421))),ISNUMBER(SEARCH("wojciechowski",LOWER(R421)))),"Własny","Zewnętrzny")))</f>
        <v>Własny</v>
      </c>
      <c r="AH421" s="19" t="n">
        <f aca="false">Z421*Q421</f>
        <v>0</v>
      </c>
      <c r="AI421" s="19" t="str">
        <f aca="false">UPPER(TEXT(C421,"mmmm"))</f>
        <v>AUGUST</v>
      </c>
      <c r="AJ421" s="19" t="str">
        <f aca="false">IF(C421="","",TEXT(C421,"rrrr"))</f>
        <v>CE5786CE5786</v>
      </c>
      <c r="AK421" s="10"/>
      <c r="AL421" s="11" t="n">
        <v>1050</v>
      </c>
      <c r="AM421" s="10" t="s">
        <v>797</v>
      </c>
      <c r="AN421" s="10" t="s">
        <v>49</v>
      </c>
      <c r="AO421" s="10"/>
      <c r="AP421" s="10"/>
      <c r="AQ421" s="10"/>
      <c r="AR421" s="10" t="s">
        <v>66</v>
      </c>
      <c r="AS421" s="10"/>
      <c r="AT421" s="15" t="n">
        <v>1</v>
      </c>
    </row>
    <row r="422" customFormat="false" ht="28.5" hidden="false" customHeight="true" outlineLevel="0" collapsed="false">
      <c r="A422" s="12" t="n">
        <v>46252</v>
      </c>
      <c r="B422" s="12"/>
      <c r="C422" s="12" t="n">
        <v>46252</v>
      </c>
      <c r="D422" s="10" t="s">
        <v>376</v>
      </c>
      <c r="E422" s="10" t="s">
        <v>63</v>
      </c>
      <c r="F422" s="13" t="s">
        <v>798</v>
      </c>
      <c r="G422" s="14" t="s">
        <v>59</v>
      </c>
      <c r="H422" s="10" t="s">
        <v>76</v>
      </c>
      <c r="I422" s="15" t="n">
        <v>75</v>
      </c>
      <c r="J422" s="10" t="s">
        <v>51</v>
      </c>
      <c r="K422" s="15" t="n">
        <v>45</v>
      </c>
      <c r="L422" s="11" t="n">
        <v>3375</v>
      </c>
      <c r="M422" s="11" t="n">
        <v>0</v>
      </c>
      <c r="N422" s="10" t="s">
        <v>255</v>
      </c>
      <c r="O422" s="10"/>
      <c r="P422" s="10"/>
      <c r="Q422" s="16" t="n">
        <v>0</v>
      </c>
      <c r="R422" s="10"/>
      <c r="S422" s="10"/>
      <c r="T422" s="10" t="n">
        <v>0</v>
      </c>
      <c r="U422" s="11" t="n">
        <f aca="false">IF(E422="TRANSPORT",IF(T422="","",T422*5),IF(AL422="","",AL422))</f>
        <v>0</v>
      </c>
      <c r="V422" s="10" t="s">
        <v>54</v>
      </c>
      <c r="W422" s="15" t="s">
        <v>799</v>
      </c>
      <c r="X422" s="15"/>
      <c r="Y422" s="17" t="n">
        <v>46257.8484722222</v>
      </c>
      <c r="Z422" s="18" t="n">
        <f aca="false">IF(I422="",0,IF(ISNUMBER(SEARCH("mp",LOWER(J422))),I422,IF(ISNUMBER(SEARCH("ton",LOWER(J422))),I422/0.33,IF(ISNUMBER(SEARCH("m3",LOWER(J422))),I422*4,I422))))</f>
        <v>75</v>
      </c>
      <c r="AA422" s="18" t="n">
        <f aca="false">IF(I422="",0,IF(ISNUMBER(SEARCH("mp",LOWER(J422))),I422*0.33,IF(ISNUMBER(SEARCH("ton",LOWER(J422))),I422,I422*0.33)))</f>
        <v>24.75</v>
      </c>
      <c r="AB422" s="18" t="n">
        <f aca="false">Tabela_dane[[#This Row],[Wolumen_t]]*8.5</f>
        <v>210.375</v>
      </c>
      <c r="AC422" s="18" t="n">
        <f aca="false">IF(G422&lt;&gt;"TAK",0,IF(OR(E422="ZAKUP",E422="PRODUKCJA"),Z422,IF(OR(E422="SPRZEDAŻ",E422="ZUŻYCIE"),-Z422,0)))</f>
        <v>0</v>
      </c>
      <c r="AD422" s="18" t="n">
        <f aca="false">IF(G422&lt;&gt;"TAK",0,IF(OR(E422="ZAKUP",E422="PRODUKCJA"),AA422,IF(OR(E422="SPRZEDAŻ",E422="ZUŻYCIE"),-AA422,0)))</f>
        <v>0</v>
      </c>
      <c r="AE422" s="19" t="n">
        <f aca="false">IF(E422="ZAKUP",IF(L422&lt;&gt;"",L422,IF(K422&lt;&gt;"",Z422*K422,0)),0)</f>
        <v>3375</v>
      </c>
      <c r="AF422" s="19" t="n">
        <f aca="false">IF(E422="SPRZEDAŻ",IF(M422&lt;&gt;"",Z422*M422,0),0)</f>
        <v>0</v>
      </c>
      <c r="AG422" s="19" t="str">
        <f aca="false">IF(R422="","",IF(LOWER(R422)="brak","Brak",IF(OR(ISNUMBER(SEARCH("ric pl",LOWER(R422))),ISNUMBER(SEARCH("wojciechowski",LOWER(R422)))),"Własny","Zewnętrzny")))</f>
        <v/>
      </c>
      <c r="AH422" s="19" t="n">
        <f aca="false">Z422*Q422</f>
        <v>0</v>
      </c>
      <c r="AI422" s="19" t="str">
        <f aca="false">UPPER(TEXT(C422,"mmmm"))</f>
        <v>AUGUST</v>
      </c>
      <c r="AJ422" s="19" t="str">
        <f aca="false">IF(C422="","",TEXT(C422,"rrrr"))</f>
        <v>CE5786CE5786</v>
      </c>
      <c r="AK422" s="10"/>
      <c r="AL422" s="11" t="n">
        <v>0</v>
      </c>
      <c r="AM422" s="10" t="s">
        <v>800</v>
      </c>
      <c r="AN422" s="10" t="s">
        <v>59</v>
      </c>
      <c r="AO422" s="10"/>
      <c r="AP422" s="10"/>
      <c r="AQ422" s="10"/>
      <c r="AR422" s="10" t="s">
        <v>66</v>
      </c>
      <c r="AS422" s="10"/>
      <c r="AT422" s="15" t="n">
        <v>1</v>
      </c>
    </row>
    <row r="423" customFormat="false" ht="28.5" hidden="false" customHeight="true" outlineLevel="0" collapsed="false">
      <c r="A423" s="12" t="n">
        <v>46252</v>
      </c>
      <c r="B423" s="12"/>
      <c r="C423" s="12" t="n">
        <v>46252</v>
      </c>
      <c r="D423" s="10" t="s">
        <v>54</v>
      </c>
      <c r="E423" s="10" t="s">
        <v>47</v>
      </c>
      <c r="F423" s="13" t="s">
        <v>798</v>
      </c>
      <c r="G423" s="14" t="s">
        <v>49</v>
      </c>
      <c r="H423" s="10" t="s">
        <v>76</v>
      </c>
      <c r="I423" s="15" t="n">
        <v>75</v>
      </c>
      <c r="J423" s="10" t="s">
        <v>51</v>
      </c>
      <c r="K423" s="15" t="n">
        <v>0</v>
      </c>
      <c r="L423" s="11" t="n">
        <v>0</v>
      </c>
      <c r="M423" s="11" t="n">
        <v>0</v>
      </c>
      <c r="N423" s="10" t="s">
        <v>258</v>
      </c>
      <c r="O423" s="10" t="s">
        <v>67</v>
      </c>
      <c r="P423" s="10" t="s">
        <v>53</v>
      </c>
      <c r="Q423" s="16" t="n">
        <v>10</v>
      </c>
      <c r="R423" s="10"/>
      <c r="S423" s="10"/>
      <c r="T423" s="10" t="n">
        <v>0</v>
      </c>
      <c r="U423" s="11" t="n">
        <f aca="false">IF(E423="TRANSPORT",IF(T423="","",T423*5),IF(AL423="","",AL423))</f>
        <v>0</v>
      </c>
      <c r="V423" s="10" t="s">
        <v>54</v>
      </c>
      <c r="W423" s="15" t="s">
        <v>655</v>
      </c>
      <c r="X423" s="15" t="s">
        <v>54</v>
      </c>
      <c r="Y423" s="17" t="n">
        <v>46257.8492708333</v>
      </c>
      <c r="Z423" s="18" t="n">
        <f aca="false">IF(I423="",0,IF(ISNUMBER(SEARCH("mp",LOWER(J423))),I423,IF(ISNUMBER(SEARCH("ton",LOWER(J423))),I423/0.33,IF(ISNUMBER(SEARCH("m3",LOWER(J423))),I423*4,I423))))</f>
        <v>75</v>
      </c>
      <c r="AA423" s="18" t="n">
        <f aca="false">IF(I423="",0,IF(ISNUMBER(SEARCH("mp",LOWER(J423))),I423*0.33,IF(ISNUMBER(SEARCH("ton",LOWER(J423))),I423,I423*0.33)))</f>
        <v>24.75</v>
      </c>
      <c r="AB423" s="18" t="n">
        <f aca="false">Tabela_dane[[#This Row],[Wolumen_t]]*8.5</f>
        <v>210.375</v>
      </c>
      <c r="AC423" s="18" t="n">
        <f aca="false">IF(G423&lt;&gt;"TAK",0,IF(OR(E423="ZAKUP",E423="PRODUKCJA"),Z423,IF(OR(E423="SPRZEDAŻ",E423="ZUŻYCIE"),-Z423,0)))</f>
        <v>75</v>
      </c>
      <c r="AD423" s="18" t="n">
        <f aca="false">IF(G423&lt;&gt;"TAK",0,IF(OR(E423="ZAKUP",E423="PRODUKCJA"),AA423,IF(OR(E423="SPRZEDAŻ",E423="ZUŻYCIE"),-AA423,0)))</f>
        <v>24.75</v>
      </c>
      <c r="AE423" s="19" t="n">
        <f aca="false">IF(E423="ZAKUP",IF(L423&lt;&gt;"",L423,IF(K423&lt;&gt;"",Z423*K423,0)),0)</f>
        <v>0</v>
      </c>
      <c r="AF423" s="19" t="n">
        <f aca="false">IF(E423="SPRZEDAŻ",IF(M423&lt;&gt;"",Z423*M423,0),0)</f>
        <v>0</v>
      </c>
      <c r="AG423" s="19" t="str">
        <f aca="false">IF(R423="","",IF(LOWER(R423)="brak","Brak",IF(OR(ISNUMBER(SEARCH("ric pl",LOWER(R423))),ISNUMBER(SEARCH("wojciechowski",LOWER(R423)))),"Własny","Zewnętrzny")))</f>
        <v/>
      </c>
      <c r="AH423" s="19" t="n">
        <f aca="false">Z423*Q423</f>
        <v>750</v>
      </c>
      <c r="AI423" s="19" t="str">
        <f aca="false">UPPER(TEXT(C423,"mmmm"))</f>
        <v>AUGUST</v>
      </c>
      <c r="AJ423" s="19" t="str">
        <f aca="false">IF(C423="","",TEXT(C423,"rrrr"))</f>
        <v>CE5786CE5786</v>
      </c>
      <c r="AK423" s="10"/>
      <c r="AL423" s="11" t="n">
        <v>0</v>
      </c>
      <c r="AM423" s="10" t="s">
        <v>801</v>
      </c>
      <c r="AN423" s="10" t="s">
        <v>59</v>
      </c>
      <c r="AO423" s="10"/>
      <c r="AP423" s="10"/>
      <c r="AQ423" s="10"/>
      <c r="AR423" s="10" t="s">
        <v>66</v>
      </c>
      <c r="AS423" s="10"/>
      <c r="AT423" s="15" t="n">
        <v>1</v>
      </c>
    </row>
    <row r="424" customFormat="false" ht="28.5" hidden="false" customHeight="true" outlineLevel="0" collapsed="false">
      <c r="A424" s="12" t="n">
        <v>46252</v>
      </c>
      <c r="B424" s="12"/>
      <c r="C424" s="12" t="n">
        <v>46252</v>
      </c>
      <c r="D424" s="10" t="s">
        <v>54</v>
      </c>
      <c r="E424" s="10" t="s">
        <v>79</v>
      </c>
      <c r="F424" s="13" t="s">
        <v>798</v>
      </c>
      <c r="G424" s="14" t="s">
        <v>49</v>
      </c>
      <c r="H424" s="10" t="s">
        <v>76</v>
      </c>
      <c r="I424" s="15" t="n">
        <v>75</v>
      </c>
      <c r="J424" s="10" t="s">
        <v>51</v>
      </c>
      <c r="K424" s="15" t="n">
        <v>0</v>
      </c>
      <c r="L424" s="11" t="n">
        <v>0</v>
      </c>
      <c r="M424" s="11" t="n">
        <v>0</v>
      </c>
      <c r="N424" s="10" t="s">
        <v>258</v>
      </c>
      <c r="O424" s="10" t="s">
        <v>67</v>
      </c>
      <c r="P424" s="10" t="s">
        <v>53</v>
      </c>
      <c r="Q424" s="16" t="n">
        <v>10</v>
      </c>
      <c r="R424" s="10"/>
      <c r="S424" s="10"/>
      <c r="T424" s="10" t="n">
        <v>0</v>
      </c>
      <c r="U424" s="11" t="n">
        <f aca="false">IF(E424="TRANSPORT",IF(T424="","",T424*5),IF(AL424="","",AL424))</f>
        <v>0</v>
      </c>
      <c r="V424" s="10" t="s">
        <v>54</v>
      </c>
      <c r="W424" s="15" t="s">
        <v>260</v>
      </c>
      <c r="X424" s="15" t="s">
        <v>54</v>
      </c>
      <c r="Y424" s="17" t="n">
        <v>46257.8492708333</v>
      </c>
      <c r="Z424" s="18" t="n">
        <f aca="false">IF(I424="",0,IF(ISNUMBER(SEARCH("mp",LOWER(J424))),I424,IF(ISNUMBER(SEARCH("ton",LOWER(J424))),I424/0.33,IF(ISNUMBER(SEARCH("m3",LOWER(J424))),I424*4,I424))))</f>
        <v>75</v>
      </c>
      <c r="AA424" s="18" t="n">
        <f aca="false">IF(I424="",0,IF(ISNUMBER(SEARCH("mp",LOWER(J424))),I424*0.33,IF(ISNUMBER(SEARCH("ton",LOWER(J424))),I424,I424*0.33)))</f>
        <v>24.75</v>
      </c>
      <c r="AB424" s="18" t="n">
        <f aca="false">Tabela_dane[[#This Row],[Wolumen_t]]*8.5</f>
        <v>210.375</v>
      </c>
      <c r="AC424" s="18" t="n">
        <f aca="false">IF(G424&lt;&gt;"TAK",0,IF(OR(E424="ZAKUP",E424="PRODUKCJA"),Z424,IF(OR(E424="SPRZEDAŻ",E424="ZUŻYCIE"),-Z424,0)))</f>
        <v>-75</v>
      </c>
      <c r="AD424" s="18" t="n">
        <f aca="false">IF(G424&lt;&gt;"TAK",0,IF(OR(E424="ZAKUP",E424="PRODUKCJA"),AA424,IF(OR(E424="SPRZEDAŻ",E424="ZUŻYCIE"),-AA424,0)))</f>
        <v>-24.75</v>
      </c>
      <c r="AE424" s="19" t="n">
        <f aca="false">IF(E424="ZAKUP",IF(L424&lt;&gt;"",L424,IF(K424&lt;&gt;"",Z424*K424,0)),0)</f>
        <v>0</v>
      </c>
      <c r="AF424" s="19" t="n">
        <f aca="false">IF(E424="SPRZEDAŻ",IF(M424&lt;&gt;"",Z424*M424,0),0)</f>
        <v>0</v>
      </c>
      <c r="AG424" s="19" t="str">
        <f aca="false">IF(R424="","",IF(LOWER(R424)="brak","Brak",IF(OR(ISNUMBER(SEARCH("ric pl",LOWER(R424))),ISNUMBER(SEARCH("wojciechowski",LOWER(R424)))),"Własny","Zewnętrzny")))</f>
        <v/>
      </c>
      <c r="AH424" s="19" t="n">
        <f aca="false">Z424*Q424</f>
        <v>750</v>
      </c>
      <c r="AI424" s="19" t="str">
        <f aca="false">UPPER(TEXT(C424,"mmmm"))</f>
        <v>AUGUST</v>
      </c>
      <c r="AJ424" s="19" t="str">
        <f aca="false">IF(C424="","",TEXT(C424,"rrrr"))</f>
        <v>CE5786CE5786</v>
      </c>
      <c r="AK424" s="10"/>
      <c r="AL424" s="11" t="n">
        <v>0</v>
      </c>
      <c r="AM424" s="10" t="s">
        <v>801</v>
      </c>
      <c r="AN424" s="10" t="s">
        <v>59</v>
      </c>
      <c r="AO424" s="10"/>
      <c r="AP424" s="10"/>
      <c r="AQ424" s="10"/>
      <c r="AR424" s="10" t="s">
        <v>81</v>
      </c>
      <c r="AS424" s="10"/>
      <c r="AT424" s="15" t="n">
        <v>1</v>
      </c>
    </row>
    <row r="425" customFormat="false" ht="28.5" hidden="false" customHeight="true" outlineLevel="0" collapsed="false">
      <c r="A425" s="12" t="n">
        <v>46252</v>
      </c>
      <c r="B425" s="12" t="s">
        <v>380</v>
      </c>
      <c r="C425" s="12" t="n">
        <v>46252</v>
      </c>
      <c r="D425" s="10" t="s">
        <v>54</v>
      </c>
      <c r="E425" s="10" t="s">
        <v>63</v>
      </c>
      <c r="F425" s="13" t="s">
        <v>798</v>
      </c>
      <c r="G425" s="14" t="s">
        <v>49</v>
      </c>
      <c r="H425" s="10" t="s">
        <v>76</v>
      </c>
      <c r="I425" s="15" t="n">
        <v>75</v>
      </c>
      <c r="J425" s="10" t="s">
        <v>51</v>
      </c>
      <c r="K425" s="15" t="n">
        <v>0</v>
      </c>
      <c r="L425" s="11" t="n">
        <v>0</v>
      </c>
      <c r="M425" s="11" t="n">
        <v>0</v>
      </c>
      <c r="N425" s="10" t="s">
        <v>258</v>
      </c>
      <c r="O425" s="10" t="s">
        <v>67</v>
      </c>
      <c r="P425" s="10"/>
      <c r="Q425" s="16" t="n">
        <v>0</v>
      </c>
      <c r="R425" s="10" t="s">
        <v>550</v>
      </c>
      <c r="S425" s="10" t="s">
        <v>95</v>
      </c>
      <c r="T425" s="10" t="n">
        <v>210</v>
      </c>
      <c r="U425" s="11" t="n">
        <f aca="false">IF(E425="TRANSPORT",IF(T425="","",T425*5),IF(AL425="","",AL425))</f>
        <v>1050</v>
      </c>
      <c r="V425" s="10" t="s">
        <v>54</v>
      </c>
      <c r="W425" s="15" t="s">
        <v>802</v>
      </c>
      <c r="X425" s="15"/>
      <c r="Y425" s="17" t="n">
        <v>46257.8507291667</v>
      </c>
      <c r="Z425" s="18" t="n">
        <f aca="false">IF(I425="",0,IF(ISNUMBER(SEARCH("mp",LOWER(J425))),I425,IF(ISNUMBER(SEARCH("ton",LOWER(J425))),I425/0.33,IF(ISNUMBER(SEARCH("m3",LOWER(J425))),I425*4,I425))))</f>
        <v>75</v>
      </c>
      <c r="AA425" s="18" t="n">
        <f aca="false">IF(I425="",0,IF(ISNUMBER(SEARCH("mp",LOWER(J425))),I425*0.33,IF(ISNUMBER(SEARCH("ton",LOWER(J425))),I425,I425*0.33)))</f>
        <v>24.75</v>
      </c>
      <c r="AB425" s="18" t="n">
        <f aca="false">Tabela_dane[[#This Row],[Wolumen_t]]*8.5</f>
        <v>210.375</v>
      </c>
      <c r="AC425" s="18" t="n">
        <f aca="false">IF(G425&lt;&gt;"TAK",0,IF(OR(E425="ZAKUP",E425="PRODUKCJA"),Z425,IF(OR(E425="SPRZEDAŻ",E425="ZUŻYCIE"),-Z425,0)))</f>
        <v>75</v>
      </c>
      <c r="AD425" s="18" t="n">
        <f aca="false">IF(G425&lt;&gt;"TAK",0,IF(OR(E425="ZAKUP",E425="PRODUKCJA"),AA425,IF(OR(E425="SPRZEDAŻ",E425="ZUŻYCIE"),-AA425,0)))</f>
        <v>24.75</v>
      </c>
      <c r="AE425" s="19" t="n">
        <f aca="false">IF(E425="ZAKUP",IF(L425&lt;&gt;"",L425,IF(K425&lt;&gt;"",Z425*K425,0)),0)</f>
        <v>0</v>
      </c>
      <c r="AF425" s="19" t="n">
        <f aca="false">IF(E425="SPRZEDAŻ",IF(M425&lt;&gt;"",Z425*M425,0),0)</f>
        <v>0</v>
      </c>
      <c r="AG425" s="19" t="str">
        <f aca="false">IF(R425="","",IF(LOWER(R425)="brak","Brak",IF(OR(ISNUMBER(SEARCH("ric pl",LOWER(R425))),ISNUMBER(SEARCH("wojciechowski",LOWER(R425)))),"Własny","Zewnętrzny")))</f>
        <v>Własny</v>
      </c>
      <c r="AH425" s="19" t="n">
        <f aca="false">Z425*Q425</f>
        <v>0</v>
      </c>
      <c r="AI425" s="19" t="str">
        <f aca="false">UPPER(TEXT(C425,"mmmm"))</f>
        <v>AUGUST</v>
      </c>
      <c r="AJ425" s="19" t="str">
        <f aca="false">IF(C425="","",TEXT(C425,"rrrr"))</f>
        <v>CE5786CE5786</v>
      </c>
      <c r="AK425" s="10"/>
      <c r="AL425" s="11" t="n">
        <v>1050</v>
      </c>
      <c r="AM425" s="10" t="s">
        <v>803</v>
      </c>
      <c r="AN425" s="10" t="s">
        <v>49</v>
      </c>
      <c r="AO425" s="10"/>
      <c r="AP425" s="10"/>
      <c r="AQ425" s="10"/>
      <c r="AR425" s="10" t="s">
        <v>66</v>
      </c>
      <c r="AS425" s="10"/>
      <c r="AT425" s="15" t="n">
        <v>1</v>
      </c>
    </row>
    <row r="426" customFormat="false" ht="28.5" hidden="false" customHeight="true" outlineLevel="0" collapsed="false">
      <c r="A426" s="12" t="n">
        <v>46252</v>
      </c>
      <c r="B426" s="12"/>
      <c r="C426" s="12" t="n">
        <v>46252</v>
      </c>
      <c r="D426" s="10" t="s">
        <v>376</v>
      </c>
      <c r="E426" s="10" t="s">
        <v>63</v>
      </c>
      <c r="F426" s="13" t="s">
        <v>804</v>
      </c>
      <c r="G426" s="14" t="s">
        <v>59</v>
      </c>
      <c r="H426" s="10" t="s">
        <v>76</v>
      </c>
      <c r="I426" s="15" t="n">
        <v>82</v>
      </c>
      <c r="J426" s="10" t="s">
        <v>51</v>
      </c>
      <c r="K426" s="15" t="n">
        <v>45</v>
      </c>
      <c r="L426" s="11" t="n">
        <v>3690</v>
      </c>
      <c r="M426" s="11" t="n">
        <v>0</v>
      </c>
      <c r="N426" s="10" t="s">
        <v>255</v>
      </c>
      <c r="O426" s="10"/>
      <c r="P426" s="10"/>
      <c r="Q426" s="16" t="n">
        <v>0</v>
      </c>
      <c r="R426" s="10"/>
      <c r="S426" s="10"/>
      <c r="T426" s="10" t="n">
        <v>0</v>
      </c>
      <c r="U426" s="11" t="n">
        <f aca="false">IF(E426="TRANSPORT",IF(T426="","",T426*5),IF(AL426="","",AL426))</f>
        <v>0</v>
      </c>
      <c r="V426" s="10" t="s">
        <v>54</v>
      </c>
      <c r="W426" s="15" t="s">
        <v>805</v>
      </c>
      <c r="X426" s="15"/>
      <c r="Y426" s="17" t="n">
        <v>46257.8534375</v>
      </c>
      <c r="Z426" s="18" t="n">
        <f aca="false">IF(I426="",0,IF(ISNUMBER(SEARCH("mp",LOWER(J426))),I426,IF(ISNUMBER(SEARCH("ton",LOWER(J426))),I426/0.33,IF(ISNUMBER(SEARCH("m3",LOWER(J426))),I426*4,I426))))</f>
        <v>82</v>
      </c>
      <c r="AA426" s="18" t="n">
        <f aca="false">IF(I426="",0,IF(ISNUMBER(SEARCH("mp",LOWER(J426))),I426*0.33,IF(ISNUMBER(SEARCH("ton",LOWER(J426))),I426,I426*0.33)))</f>
        <v>27.06</v>
      </c>
      <c r="AB426" s="18" t="n">
        <f aca="false">Tabela_dane[[#This Row],[Wolumen_t]]*8.5</f>
        <v>230.01</v>
      </c>
      <c r="AC426" s="18" t="n">
        <f aca="false">IF(G426&lt;&gt;"TAK",0,IF(OR(E426="ZAKUP",E426="PRODUKCJA"),Z426,IF(OR(E426="SPRZEDAŻ",E426="ZUŻYCIE"),-Z426,0)))</f>
        <v>0</v>
      </c>
      <c r="AD426" s="18" t="n">
        <f aca="false">IF(G426&lt;&gt;"TAK",0,IF(OR(E426="ZAKUP",E426="PRODUKCJA"),AA426,IF(OR(E426="SPRZEDAŻ",E426="ZUŻYCIE"),-AA426,0)))</f>
        <v>0</v>
      </c>
      <c r="AE426" s="19" t="n">
        <f aca="false">IF(E426="ZAKUP",IF(L426&lt;&gt;"",L426,IF(K426&lt;&gt;"",Z426*K426,0)),0)</f>
        <v>3690</v>
      </c>
      <c r="AF426" s="19" t="n">
        <f aca="false">IF(E426="SPRZEDAŻ",IF(M426&lt;&gt;"",Z426*M426,0),0)</f>
        <v>0</v>
      </c>
      <c r="AG426" s="19" t="str">
        <f aca="false">IF(R426="","",IF(LOWER(R426)="brak","Brak",IF(OR(ISNUMBER(SEARCH("ric pl",LOWER(R426))),ISNUMBER(SEARCH("wojciechowski",LOWER(R426)))),"Własny","Zewnętrzny")))</f>
        <v/>
      </c>
      <c r="AH426" s="19" t="n">
        <f aca="false">Z426*Q426</f>
        <v>0</v>
      </c>
      <c r="AI426" s="19" t="str">
        <f aca="false">UPPER(TEXT(C426,"mmmm"))</f>
        <v>AUGUST</v>
      </c>
      <c r="AJ426" s="19" t="str">
        <f aca="false">IF(C426="","",TEXT(C426,"rrrr"))</f>
        <v>CE5786CE5786</v>
      </c>
      <c r="AK426" s="10"/>
      <c r="AL426" s="11" t="n">
        <v>0</v>
      </c>
      <c r="AM426" s="10" t="s">
        <v>806</v>
      </c>
      <c r="AN426" s="10" t="s">
        <v>59</v>
      </c>
      <c r="AO426" s="10"/>
      <c r="AP426" s="10"/>
      <c r="AQ426" s="10"/>
      <c r="AR426" s="10" t="s">
        <v>66</v>
      </c>
      <c r="AS426" s="10"/>
      <c r="AT426" s="15" t="n">
        <v>1</v>
      </c>
    </row>
    <row r="427" customFormat="false" ht="28.5" hidden="false" customHeight="true" outlineLevel="0" collapsed="false">
      <c r="A427" s="12" t="n">
        <v>46252</v>
      </c>
      <c r="B427" s="12"/>
      <c r="C427" s="12" t="n">
        <v>46252</v>
      </c>
      <c r="D427" s="10" t="s">
        <v>54</v>
      </c>
      <c r="E427" s="10" t="s">
        <v>47</v>
      </c>
      <c r="F427" s="13" t="s">
        <v>804</v>
      </c>
      <c r="G427" s="14" t="s">
        <v>49</v>
      </c>
      <c r="H427" s="10" t="s">
        <v>76</v>
      </c>
      <c r="I427" s="15" t="n">
        <v>82</v>
      </c>
      <c r="J427" s="10" t="s">
        <v>51</v>
      </c>
      <c r="K427" s="15" t="n">
        <v>0</v>
      </c>
      <c r="L427" s="11" t="n">
        <v>0</v>
      </c>
      <c r="M427" s="11" t="n">
        <v>0</v>
      </c>
      <c r="N427" s="10" t="s">
        <v>258</v>
      </c>
      <c r="O427" s="10" t="s">
        <v>67</v>
      </c>
      <c r="P427" s="10" t="s">
        <v>53</v>
      </c>
      <c r="Q427" s="16" t="n">
        <v>10</v>
      </c>
      <c r="R427" s="10"/>
      <c r="S427" s="10"/>
      <c r="T427" s="10" t="n">
        <v>0</v>
      </c>
      <c r="U427" s="11" t="n">
        <f aca="false">IF(E427="TRANSPORT",IF(T427="","",T427*5),IF(AL427="","",AL427))</f>
        <v>0</v>
      </c>
      <c r="V427" s="10" t="s">
        <v>54</v>
      </c>
      <c r="W427" s="15" t="s">
        <v>655</v>
      </c>
      <c r="X427" s="15" t="s">
        <v>54</v>
      </c>
      <c r="Y427" s="17" t="n">
        <v>46257.8548263889</v>
      </c>
      <c r="Z427" s="18" t="n">
        <f aca="false">IF(I427="",0,IF(ISNUMBER(SEARCH("mp",LOWER(J427))),I427,IF(ISNUMBER(SEARCH("ton",LOWER(J427))),I427/0.33,IF(ISNUMBER(SEARCH("m3",LOWER(J427))),I427*4,I427))))</f>
        <v>82</v>
      </c>
      <c r="AA427" s="18" t="n">
        <f aca="false">IF(I427="",0,IF(ISNUMBER(SEARCH("mp",LOWER(J427))),I427*0.33,IF(ISNUMBER(SEARCH("ton",LOWER(J427))),I427,I427*0.33)))</f>
        <v>27.06</v>
      </c>
      <c r="AB427" s="18" t="n">
        <f aca="false">Tabela_dane[[#This Row],[Wolumen_t]]*8.5</f>
        <v>230.01</v>
      </c>
      <c r="AC427" s="18" t="n">
        <f aca="false">IF(G427&lt;&gt;"TAK",0,IF(OR(E427="ZAKUP",E427="PRODUKCJA"),Z427,IF(OR(E427="SPRZEDAŻ",E427="ZUŻYCIE"),-Z427,0)))</f>
        <v>82</v>
      </c>
      <c r="AD427" s="18" t="n">
        <f aca="false">IF(G427&lt;&gt;"TAK",0,IF(OR(E427="ZAKUP",E427="PRODUKCJA"),AA427,IF(OR(E427="SPRZEDAŻ",E427="ZUŻYCIE"),-AA427,0)))</f>
        <v>27.06</v>
      </c>
      <c r="AE427" s="19" t="n">
        <f aca="false">IF(E427="ZAKUP",IF(L427&lt;&gt;"",L427,IF(K427&lt;&gt;"",Z427*K427,0)),0)</f>
        <v>0</v>
      </c>
      <c r="AF427" s="19" t="n">
        <f aca="false">IF(E427="SPRZEDAŻ",IF(M427&lt;&gt;"",Z427*M427,0),0)</f>
        <v>0</v>
      </c>
      <c r="AG427" s="19" t="str">
        <f aca="false">IF(R427="","",IF(LOWER(R427)="brak","Brak",IF(OR(ISNUMBER(SEARCH("ric pl",LOWER(R427))),ISNUMBER(SEARCH("wojciechowski",LOWER(R427)))),"Własny","Zewnętrzny")))</f>
        <v/>
      </c>
      <c r="AH427" s="19" t="n">
        <f aca="false">Z427*Q427</f>
        <v>820</v>
      </c>
      <c r="AI427" s="19" t="str">
        <f aca="false">UPPER(TEXT(C427,"mmmm"))</f>
        <v>AUGUST</v>
      </c>
      <c r="AJ427" s="19" t="str">
        <f aca="false">IF(C427="","",TEXT(C427,"rrrr"))</f>
        <v>CE5786CE5786</v>
      </c>
      <c r="AK427" s="10"/>
      <c r="AL427" s="11" t="n">
        <v>0</v>
      </c>
      <c r="AM427" s="10" t="s">
        <v>807</v>
      </c>
      <c r="AN427" s="10" t="s">
        <v>59</v>
      </c>
      <c r="AO427" s="10"/>
      <c r="AP427" s="10"/>
      <c r="AQ427" s="10"/>
      <c r="AR427" s="10" t="s">
        <v>66</v>
      </c>
      <c r="AS427" s="10"/>
      <c r="AT427" s="15" t="n">
        <v>1</v>
      </c>
    </row>
    <row r="428" customFormat="false" ht="28.5" hidden="false" customHeight="true" outlineLevel="0" collapsed="false">
      <c r="A428" s="12" t="n">
        <v>46252</v>
      </c>
      <c r="B428" s="12"/>
      <c r="C428" s="12" t="n">
        <v>46252</v>
      </c>
      <c r="D428" s="10" t="s">
        <v>54</v>
      </c>
      <c r="E428" s="10" t="s">
        <v>79</v>
      </c>
      <c r="F428" s="13" t="s">
        <v>804</v>
      </c>
      <c r="G428" s="14" t="s">
        <v>49</v>
      </c>
      <c r="H428" s="10" t="s">
        <v>76</v>
      </c>
      <c r="I428" s="15" t="n">
        <v>82</v>
      </c>
      <c r="J428" s="10" t="s">
        <v>51</v>
      </c>
      <c r="K428" s="15" t="n">
        <v>0</v>
      </c>
      <c r="L428" s="11" t="n">
        <v>0</v>
      </c>
      <c r="M428" s="11" t="n">
        <v>0</v>
      </c>
      <c r="N428" s="10" t="s">
        <v>258</v>
      </c>
      <c r="O428" s="10" t="s">
        <v>67</v>
      </c>
      <c r="P428" s="10" t="s">
        <v>53</v>
      </c>
      <c r="Q428" s="16" t="n">
        <v>10</v>
      </c>
      <c r="R428" s="10"/>
      <c r="S428" s="10"/>
      <c r="T428" s="10" t="n">
        <v>0</v>
      </c>
      <c r="U428" s="11" t="n">
        <f aca="false">IF(E428="TRANSPORT",IF(T428="","",T428*5),IF(AL428="","",AL428))</f>
        <v>0</v>
      </c>
      <c r="V428" s="10" t="s">
        <v>54</v>
      </c>
      <c r="W428" s="15" t="s">
        <v>260</v>
      </c>
      <c r="X428" s="15" t="s">
        <v>54</v>
      </c>
      <c r="Y428" s="17" t="n">
        <v>46257.8548263889</v>
      </c>
      <c r="Z428" s="18" t="n">
        <f aca="false">IF(I428="",0,IF(ISNUMBER(SEARCH("mp",LOWER(J428))),I428,IF(ISNUMBER(SEARCH("ton",LOWER(J428))),I428/0.33,IF(ISNUMBER(SEARCH("m3",LOWER(J428))),I428*4,I428))))</f>
        <v>82</v>
      </c>
      <c r="AA428" s="18" t="n">
        <f aca="false">IF(I428="",0,IF(ISNUMBER(SEARCH("mp",LOWER(J428))),I428*0.33,IF(ISNUMBER(SEARCH("ton",LOWER(J428))),I428,I428*0.33)))</f>
        <v>27.06</v>
      </c>
      <c r="AB428" s="18" t="n">
        <f aca="false">Tabela_dane[[#This Row],[Wolumen_t]]*8.5</f>
        <v>230.01</v>
      </c>
      <c r="AC428" s="18" t="n">
        <f aca="false">IF(G428&lt;&gt;"TAK",0,IF(OR(E428="ZAKUP",E428="PRODUKCJA"),Z428,IF(OR(E428="SPRZEDAŻ",E428="ZUŻYCIE"),-Z428,0)))</f>
        <v>-82</v>
      </c>
      <c r="AD428" s="18" t="n">
        <f aca="false">IF(G428&lt;&gt;"TAK",0,IF(OR(E428="ZAKUP",E428="PRODUKCJA"),AA428,IF(OR(E428="SPRZEDAŻ",E428="ZUŻYCIE"),-AA428,0)))</f>
        <v>-27.06</v>
      </c>
      <c r="AE428" s="19" t="n">
        <f aca="false">IF(E428="ZAKUP",IF(L428&lt;&gt;"",L428,IF(K428&lt;&gt;"",Z428*K428,0)),0)</f>
        <v>0</v>
      </c>
      <c r="AF428" s="19" t="n">
        <f aca="false">IF(E428="SPRZEDAŻ",IF(M428&lt;&gt;"",Z428*M428,0),0)</f>
        <v>0</v>
      </c>
      <c r="AG428" s="19" t="str">
        <f aca="false">IF(R428="","",IF(LOWER(R428)="brak","Brak",IF(OR(ISNUMBER(SEARCH("ric pl",LOWER(R428))),ISNUMBER(SEARCH("wojciechowski",LOWER(R428)))),"Własny","Zewnętrzny")))</f>
        <v/>
      </c>
      <c r="AH428" s="19" t="n">
        <f aca="false">Z428*Q428</f>
        <v>820</v>
      </c>
      <c r="AI428" s="19" t="str">
        <f aca="false">UPPER(TEXT(C428,"mmmm"))</f>
        <v>AUGUST</v>
      </c>
      <c r="AJ428" s="19" t="str">
        <f aca="false">IF(C428="","",TEXT(C428,"rrrr"))</f>
        <v>CE5786CE5786</v>
      </c>
      <c r="AK428" s="10"/>
      <c r="AL428" s="11" t="n">
        <v>0</v>
      </c>
      <c r="AM428" s="10" t="s">
        <v>807</v>
      </c>
      <c r="AN428" s="10" t="s">
        <v>59</v>
      </c>
      <c r="AO428" s="10"/>
      <c r="AP428" s="10"/>
      <c r="AQ428" s="10"/>
      <c r="AR428" s="10" t="s">
        <v>81</v>
      </c>
      <c r="AS428" s="10"/>
      <c r="AT428" s="15" t="n">
        <v>1</v>
      </c>
    </row>
    <row r="429" customFormat="false" ht="28.5" hidden="false" customHeight="true" outlineLevel="0" collapsed="false">
      <c r="A429" s="12" t="n">
        <v>46252</v>
      </c>
      <c r="B429" s="12" t="s">
        <v>380</v>
      </c>
      <c r="C429" s="12" t="n">
        <v>46252</v>
      </c>
      <c r="D429" s="10" t="s">
        <v>54</v>
      </c>
      <c r="E429" s="10" t="s">
        <v>63</v>
      </c>
      <c r="F429" s="13" t="s">
        <v>804</v>
      </c>
      <c r="G429" s="14" t="s">
        <v>49</v>
      </c>
      <c r="H429" s="10" t="s">
        <v>76</v>
      </c>
      <c r="I429" s="15" t="n">
        <v>82</v>
      </c>
      <c r="J429" s="10" t="s">
        <v>51</v>
      </c>
      <c r="K429" s="15" t="n">
        <v>0</v>
      </c>
      <c r="L429" s="11" t="n">
        <v>0</v>
      </c>
      <c r="M429" s="11" t="n">
        <v>0</v>
      </c>
      <c r="N429" s="10" t="s">
        <v>258</v>
      </c>
      <c r="O429" s="10" t="s">
        <v>67</v>
      </c>
      <c r="P429" s="10"/>
      <c r="Q429" s="16" t="n">
        <v>0</v>
      </c>
      <c r="R429" s="10" t="s">
        <v>182</v>
      </c>
      <c r="S429" s="10" t="s">
        <v>509</v>
      </c>
      <c r="T429" s="10" t="n">
        <v>210</v>
      </c>
      <c r="U429" s="11" t="n">
        <f aca="false">IF(E429="TRANSPORT",IF(T429="","",T429*5),IF(AL429="","",AL429))</f>
        <v>1050</v>
      </c>
      <c r="V429" s="10" t="s">
        <v>54</v>
      </c>
      <c r="W429" s="15" t="s">
        <v>629</v>
      </c>
      <c r="X429" s="15"/>
      <c r="Y429" s="17" t="n">
        <v>46257.8557638889</v>
      </c>
      <c r="Z429" s="18" t="n">
        <f aca="false">IF(I429="",0,IF(ISNUMBER(SEARCH("mp",LOWER(J429))),I429,IF(ISNUMBER(SEARCH("ton",LOWER(J429))),I429/0.33,IF(ISNUMBER(SEARCH("m3",LOWER(J429))),I429*4,I429))))</f>
        <v>82</v>
      </c>
      <c r="AA429" s="18" t="n">
        <f aca="false">IF(I429="",0,IF(ISNUMBER(SEARCH("mp",LOWER(J429))),I429*0.33,IF(ISNUMBER(SEARCH("ton",LOWER(J429))),I429,I429*0.33)))</f>
        <v>27.06</v>
      </c>
      <c r="AB429" s="18" t="n">
        <f aca="false">Tabela_dane[[#This Row],[Wolumen_t]]*8.5</f>
        <v>230.01</v>
      </c>
      <c r="AC429" s="18" t="n">
        <f aca="false">IF(G429&lt;&gt;"TAK",0,IF(OR(E429="ZAKUP",E429="PRODUKCJA"),Z429,IF(OR(E429="SPRZEDAŻ",E429="ZUŻYCIE"),-Z429,0)))</f>
        <v>82</v>
      </c>
      <c r="AD429" s="18" t="n">
        <f aca="false">IF(G429&lt;&gt;"TAK",0,IF(OR(E429="ZAKUP",E429="PRODUKCJA"),AA429,IF(OR(E429="SPRZEDAŻ",E429="ZUŻYCIE"),-AA429,0)))</f>
        <v>27.06</v>
      </c>
      <c r="AE429" s="19" t="n">
        <f aca="false">IF(E429="ZAKUP",IF(L429&lt;&gt;"",L429,IF(K429&lt;&gt;"",Z429*K429,0)),0)</f>
        <v>0</v>
      </c>
      <c r="AF429" s="19" t="n">
        <f aca="false">IF(E429="SPRZEDAŻ",IF(M429&lt;&gt;"",Z429*M429,0),0)</f>
        <v>0</v>
      </c>
      <c r="AG429" s="19" t="str">
        <f aca="false">IF(R429="","",IF(LOWER(R429)="brak","Brak",IF(OR(ISNUMBER(SEARCH("ric pl",LOWER(R429))),ISNUMBER(SEARCH("wojciechowski",LOWER(R429)))),"Własny","Zewnętrzny")))</f>
        <v>Zewnętrzny</v>
      </c>
      <c r="AH429" s="19" t="n">
        <f aca="false">Z429*Q429</f>
        <v>0</v>
      </c>
      <c r="AI429" s="19" t="str">
        <f aca="false">UPPER(TEXT(C429,"mmmm"))</f>
        <v>AUGUST</v>
      </c>
      <c r="AJ429" s="19" t="str">
        <f aca="false">IF(C429="","",TEXT(C429,"rrrr"))</f>
        <v>CE5786CE5786</v>
      </c>
      <c r="AK429" s="10"/>
      <c r="AL429" s="11" t="n">
        <v>1050</v>
      </c>
      <c r="AM429" s="10" t="s">
        <v>808</v>
      </c>
      <c r="AN429" s="10" t="s">
        <v>49</v>
      </c>
      <c r="AO429" s="10"/>
      <c r="AP429" s="10"/>
      <c r="AQ429" s="10"/>
      <c r="AR429" s="10" t="s">
        <v>66</v>
      </c>
      <c r="AS429" s="10"/>
      <c r="AT429" s="15" t="n">
        <v>1</v>
      </c>
    </row>
    <row r="430" customFormat="false" ht="28.5" hidden="false" customHeight="true" outlineLevel="0" collapsed="false">
      <c r="A430" s="12" t="n">
        <v>46252</v>
      </c>
      <c r="B430" s="12"/>
      <c r="C430" s="12" t="n">
        <v>46252</v>
      </c>
      <c r="D430" s="10" t="s">
        <v>376</v>
      </c>
      <c r="E430" s="10" t="s">
        <v>63</v>
      </c>
      <c r="F430" s="13" t="s">
        <v>809</v>
      </c>
      <c r="G430" s="14" t="s">
        <v>59</v>
      </c>
      <c r="H430" s="10" t="s">
        <v>76</v>
      </c>
      <c r="I430" s="15" t="n">
        <v>80</v>
      </c>
      <c r="J430" s="10" t="s">
        <v>51</v>
      </c>
      <c r="K430" s="15" t="n">
        <v>45</v>
      </c>
      <c r="L430" s="11" t="n">
        <v>3600</v>
      </c>
      <c r="M430" s="11" t="n">
        <v>0</v>
      </c>
      <c r="N430" s="10" t="s">
        <v>255</v>
      </c>
      <c r="O430" s="10"/>
      <c r="P430" s="10"/>
      <c r="Q430" s="16" t="n">
        <v>0</v>
      </c>
      <c r="R430" s="10"/>
      <c r="S430" s="10"/>
      <c r="T430" s="10" t="n">
        <v>0</v>
      </c>
      <c r="U430" s="11" t="n">
        <f aca="false">IF(E430="TRANSPORT",IF(T430="","",T430*5),IF(AL430="","",AL430))</f>
        <v>0</v>
      </c>
      <c r="V430" s="10" t="s">
        <v>54</v>
      </c>
      <c r="W430" s="15" t="s">
        <v>810</v>
      </c>
      <c r="X430" s="15"/>
      <c r="Y430" s="17" t="n">
        <v>46257.8574768519</v>
      </c>
      <c r="Z430" s="18" t="n">
        <f aca="false">IF(I430="",0,IF(ISNUMBER(SEARCH("mp",LOWER(J430))),I430,IF(ISNUMBER(SEARCH("ton",LOWER(J430))),I430/0.33,IF(ISNUMBER(SEARCH("m3",LOWER(J430))),I430*4,I430))))</f>
        <v>80</v>
      </c>
      <c r="AA430" s="18" t="n">
        <f aca="false">IF(I430="",0,IF(ISNUMBER(SEARCH("mp",LOWER(J430))),I430*0.33,IF(ISNUMBER(SEARCH("ton",LOWER(J430))),I430,I430*0.33)))</f>
        <v>26.4</v>
      </c>
      <c r="AB430" s="18" t="n">
        <f aca="false">Tabela_dane[[#This Row],[Wolumen_t]]*8.5</f>
        <v>224.4</v>
      </c>
      <c r="AC430" s="18" t="n">
        <f aca="false">IF(G430&lt;&gt;"TAK",0,IF(OR(E430="ZAKUP",E430="PRODUKCJA"),Z430,IF(OR(E430="SPRZEDAŻ",E430="ZUŻYCIE"),-Z430,0)))</f>
        <v>0</v>
      </c>
      <c r="AD430" s="18" t="n">
        <f aca="false">IF(G430&lt;&gt;"TAK",0,IF(OR(E430="ZAKUP",E430="PRODUKCJA"),AA430,IF(OR(E430="SPRZEDAŻ",E430="ZUŻYCIE"),-AA430,0)))</f>
        <v>0</v>
      </c>
      <c r="AE430" s="19" t="n">
        <f aca="false">IF(E430="ZAKUP",IF(L430&lt;&gt;"",L430,IF(K430&lt;&gt;"",Z430*K430,0)),0)</f>
        <v>3600</v>
      </c>
      <c r="AF430" s="19" t="n">
        <f aca="false">IF(E430="SPRZEDAŻ",IF(M430&lt;&gt;"",Z430*M430,0),0)</f>
        <v>0</v>
      </c>
      <c r="AG430" s="19" t="str">
        <f aca="false">IF(R430="","",IF(LOWER(R430)="brak","Brak",IF(OR(ISNUMBER(SEARCH("ric pl",LOWER(R430))),ISNUMBER(SEARCH("wojciechowski",LOWER(R430)))),"Własny","Zewnętrzny")))</f>
        <v/>
      </c>
      <c r="AH430" s="19" t="n">
        <f aca="false">Z430*Q430</f>
        <v>0</v>
      </c>
      <c r="AI430" s="19" t="str">
        <f aca="false">UPPER(TEXT(C430,"mmmm"))</f>
        <v>AUGUST</v>
      </c>
      <c r="AJ430" s="19" t="str">
        <f aca="false">IF(C430="","",TEXT(C430,"rrrr"))</f>
        <v>CE5786CE5786</v>
      </c>
      <c r="AK430" s="10"/>
      <c r="AL430" s="11" t="n">
        <v>0</v>
      </c>
      <c r="AM430" s="10" t="s">
        <v>811</v>
      </c>
      <c r="AN430" s="10" t="s">
        <v>59</v>
      </c>
      <c r="AO430" s="10"/>
      <c r="AP430" s="10"/>
      <c r="AQ430" s="10"/>
      <c r="AR430" s="10" t="s">
        <v>66</v>
      </c>
      <c r="AS430" s="10"/>
      <c r="AT430" s="15" t="n">
        <v>1</v>
      </c>
    </row>
    <row r="431" customFormat="false" ht="28.5" hidden="false" customHeight="true" outlineLevel="0" collapsed="false">
      <c r="A431" s="12" t="n">
        <v>46252</v>
      </c>
      <c r="B431" s="12"/>
      <c r="C431" s="12" t="n">
        <v>46252</v>
      </c>
      <c r="D431" s="10" t="s">
        <v>54</v>
      </c>
      <c r="E431" s="10" t="s">
        <v>47</v>
      </c>
      <c r="F431" s="13" t="s">
        <v>809</v>
      </c>
      <c r="G431" s="14" t="s">
        <v>49</v>
      </c>
      <c r="H431" s="10" t="s">
        <v>76</v>
      </c>
      <c r="I431" s="15" t="n">
        <v>80</v>
      </c>
      <c r="J431" s="10" t="s">
        <v>51</v>
      </c>
      <c r="K431" s="15" t="n">
        <v>0</v>
      </c>
      <c r="L431" s="11" t="n">
        <v>0</v>
      </c>
      <c r="M431" s="11" t="n">
        <v>0</v>
      </c>
      <c r="N431" s="10" t="s">
        <v>258</v>
      </c>
      <c r="O431" s="10" t="s">
        <v>67</v>
      </c>
      <c r="P431" s="10" t="s">
        <v>53</v>
      </c>
      <c r="Q431" s="16" t="n">
        <v>10</v>
      </c>
      <c r="R431" s="10"/>
      <c r="S431" s="10"/>
      <c r="T431" s="10" t="n">
        <v>0</v>
      </c>
      <c r="U431" s="11" t="n">
        <f aca="false">IF(E431="TRANSPORT",IF(T431="","",T431*5),IF(AL431="","",AL431))</f>
        <v>0</v>
      </c>
      <c r="V431" s="10" t="s">
        <v>54</v>
      </c>
      <c r="W431" s="15" t="s">
        <v>655</v>
      </c>
      <c r="X431" s="15" t="s">
        <v>54</v>
      </c>
      <c r="Y431" s="17" t="n">
        <v>46257.8583912037</v>
      </c>
      <c r="Z431" s="18" t="n">
        <f aca="false">IF(I431="",0,IF(ISNUMBER(SEARCH("mp",LOWER(J431))),I431,IF(ISNUMBER(SEARCH("ton",LOWER(J431))),I431/0.33,IF(ISNUMBER(SEARCH("m3",LOWER(J431))),I431*4,I431))))</f>
        <v>80</v>
      </c>
      <c r="AA431" s="18" t="n">
        <f aca="false">IF(I431="",0,IF(ISNUMBER(SEARCH("mp",LOWER(J431))),I431*0.33,IF(ISNUMBER(SEARCH("ton",LOWER(J431))),I431,I431*0.33)))</f>
        <v>26.4</v>
      </c>
      <c r="AB431" s="18" t="n">
        <f aca="false">Tabela_dane[[#This Row],[Wolumen_t]]*8.5</f>
        <v>224.4</v>
      </c>
      <c r="AC431" s="18" t="n">
        <f aca="false">IF(G431&lt;&gt;"TAK",0,IF(OR(E431="ZAKUP",E431="PRODUKCJA"),Z431,IF(OR(E431="SPRZEDAŻ",E431="ZUŻYCIE"),-Z431,0)))</f>
        <v>80</v>
      </c>
      <c r="AD431" s="18" t="n">
        <f aca="false">IF(G431&lt;&gt;"TAK",0,IF(OR(E431="ZAKUP",E431="PRODUKCJA"),AA431,IF(OR(E431="SPRZEDAŻ",E431="ZUŻYCIE"),-AA431,0)))</f>
        <v>26.4</v>
      </c>
      <c r="AE431" s="19" t="n">
        <f aca="false">IF(E431="ZAKUP",IF(L431&lt;&gt;"",L431,IF(K431&lt;&gt;"",Z431*K431,0)),0)</f>
        <v>0</v>
      </c>
      <c r="AF431" s="19" t="n">
        <f aca="false">IF(E431="SPRZEDAŻ",IF(M431&lt;&gt;"",Z431*M431,0),0)</f>
        <v>0</v>
      </c>
      <c r="AG431" s="19" t="str">
        <f aca="false">IF(R431="","",IF(LOWER(R431)="brak","Brak",IF(OR(ISNUMBER(SEARCH("ric pl",LOWER(R431))),ISNUMBER(SEARCH("wojciechowski",LOWER(R431)))),"Własny","Zewnętrzny")))</f>
        <v/>
      </c>
      <c r="AH431" s="19" t="n">
        <f aca="false">Z431*Q431</f>
        <v>800</v>
      </c>
      <c r="AI431" s="19" t="str">
        <f aca="false">UPPER(TEXT(C431,"mmmm"))</f>
        <v>AUGUST</v>
      </c>
      <c r="AJ431" s="19" t="str">
        <f aca="false">IF(C431="","",TEXT(C431,"rrrr"))</f>
        <v>CE5786CE5786</v>
      </c>
      <c r="AK431" s="10"/>
      <c r="AL431" s="11" t="n">
        <v>0</v>
      </c>
      <c r="AM431" s="10" t="s">
        <v>812</v>
      </c>
      <c r="AN431" s="10" t="s">
        <v>59</v>
      </c>
      <c r="AO431" s="10"/>
      <c r="AP431" s="10"/>
      <c r="AQ431" s="10"/>
      <c r="AR431" s="10" t="s">
        <v>66</v>
      </c>
      <c r="AS431" s="10"/>
      <c r="AT431" s="15" t="n">
        <v>1</v>
      </c>
    </row>
    <row r="432" customFormat="false" ht="28.5" hidden="false" customHeight="true" outlineLevel="0" collapsed="false">
      <c r="A432" s="12" t="n">
        <v>46252</v>
      </c>
      <c r="B432" s="12"/>
      <c r="C432" s="12" t="n">
        <v>46252</v>
      </c>
      <c r="D432" s="10" t="s">
        <v>54</v>
      </c>
      <c r="E432" s="10" t="s">
        <v>79</v>
      </c>
      <c r="F432" s="13" t="s">
        <v>809</v>
      </c>
      <c r="G432" s="14" t="s">
        <v>49</v>
      </c>
      <c r="H432" s="10" t="s">
        <v>76</v>
      </c>
      <c r="I432" s="15" t="n">
        <v>80</v>
      </c>
      <c r="J432" s="10" t="s">
        <v>51</v>
      </c>
      <c r="K432" s="15" t="n">
        <v>0</v>
      </c>
      <c r="L432" s="11" t="n">
        <v>0</v>
      </c>
      <c r="M432" s="11" t="n">
        <v>0</v>
      </c>
      <c r="N432" s="10" t="s">
        <v>258</v>
      </c>
      <c r="O432" s="10" t="s">
        <v>67</v>
      </c>
      <c r="P432" s="10" t="s">
        <v>53</v>
      </c>
      <c r="Q432" s="16" t="n">
        <v>10</v>
      </c>
      <c r="R432" s="10"/>
      <c r="S432" s="10"/>
      <c r="T432" s="10" t="n">
        <v>0</v>
      </c>
      <c r="U432" s="11" t="n">
        <f aca="false">IF(E432="TRANSPORT",IF(T432="","",T432*5),IF(AL432="","",AL432))</f>
        <v>0</v>
      </c>
      <c r="V432" s="10" t="s">
        <v>54</v>
      </c>
      <c r="W432" s="15" t="s">
        <v>260</v>
      </c>
      <c r="X432" s="15" t="s">
        <v>54</v>
      </c>
      <c r="Y432" s="17" t="n">
        <v>46257.8584027778</v>
      </c>
      <c r="Z432" s="18" t="n">
        <f aca="false">IF(I432="",0,IF(ISNUMBER(SEARCH("mp",LOWER(J432))),I432,IF(ISNUMBER(SEARCH("ton",LOWER(J432))),I432/0.33,IF(ISNUMBER(SEARCH("m3",LOWER(J432))),I432*4,I432))))</f>
        <v>80</v>
      </c>
      <c r="AA432" s="18" t="n">
        <f aca="false">IF(I432="",0,IF(ISNUMBER(SEARCH("mp",LOWER(J432))),I432*0.33,IF(ISNUMBER(SEARCH("ton",LOWER(J432))),I432,I432*0.33)))</f>
        <v>26.4</v>
      </c>
      <c r="AB432" s="18" t="n">
        <f aca="false">Tabela_dane[[#This Row],[Wolumen_t]]*8.5</f>
        <v>224.4</v>
      </c>
      <c r="AC432" s="18" t="n">
        <f aca="false">IF(G432&lt;&gt;"TAK",0,IF(OR(E432="ZAKUP",E432="PRODUKCJA"),Z432,IF(OR(E432="SPRZEDAŻ",E432="ZUŻYCIE"),-Z432,0)))</f>
        <v>-80</v>
      </c>
      <c r="AD432" s="18" t="n">
        <f aca="false">IF(G432&lt;&gt;"TAK",0,IF(OR(E432="ZAKUP",E432="PRODUKCJA"),AA432,IF(OR(E432="SPRZEDAŻ",E432="ZUŻYCIE"),-AA432,0)))</f>
        <v>-26.4</v>
      </c>
      <c r="AE432" s="19" t="n">
        <f aca="false">IF(E432="ZAKUP",IF(L432&lt;&gt;"",L432,IF(K432&lt;&gt;"",Z432*K432,0)),0)</f>
        <v>0</v>
      </c>
      <c r="AF432" s="19" t="n">
        <f aca="false">IF(E432="SPRZEDAŻ",IF(M432&lt;&gt;"",Z432*M432,0),0)</f>
        <v>0</v>
      </c>
      <c r="AG432" s="19" t="str">
        <f aca="false">IF(R432="","",IF(LOWER(R432)="brak","Brak",IF(OR(ISNUMBER(SEARCH("ric pl",LOWER(R432))),ISNUMBER(SEARCH("wojciechowski",LOWER(R432)))),"Własny","Zewnętrzny")))</f>
        <v/>
      </c>
      <c r="AH432" s="19" t="n">
        <f aca="false">Z432*Q432</f>
        <v>800</v>
      </c>
      <c r="AI432" s="19" t="str">
        <f aca="false">UPPER(TEXT(C432,"mmmm"))</f>
        <v>AUGUST</v>
      </c>
      <c r="AJ432" s="19" t="str">
        <f aca="false">IF(C432="","",TEXT(C432,"rrrr"))</f>
        <v>CE5786CE5786</v>
      </c>
      <c r="AK432" s="10"/>
      <c r="AL432" s="11" t="n">
        <v>0</v>
      </c>
      <c r="AM432" s="10" t="s">
        <v>812</v>
      </c>
      <c r="AN432" s="10" t="s">
        <v>59</v>
      </c>
      <c r="AO432" s="10"/>
      <c r="AP432" s="10"/>
      <c r="AQ432" s="10"/>
      <c r="AR432" s="10" t="s">
        <v>81</v>
      </c>
      <c r="AS432" s="10"/>
      <c r="AT432" s="15" t="n">
        <v>1</v>
      </c>
    </row>
    <row r="433" customFormat="false" ht="28.5" hidden="false" customHeight="true" outlineLevel="0" collapsed="false">
      <c r="A433" s="12" t="n">
        <v>46252</v>
      </c>
      <c r="B433" s="12" t="s">
        <v>380</v>
      </c>
      <c r="C433" s="12" t="n">
        <v>46252</v>
      </c>
      <c r="D433" s="10" t="s">
        <v>54</v>
      </c>
      <c r="E433" s="10" t="s">
        <v>63</v>
      </c>
      <c r="F433" s="13" t="s">
        <v>809</v>
      </c>
      <c r="G433" s="14" t="s">
        <v>49</v>
      </c>
      <c r="H433" s="10" t="s">
        <v>76</v>
      </c>
      <c r="I433" s="15" t="n">
        <v>80</v>
      </c>
      <c r="J433" s="10" t="s">
        <v>51</v>
      </c>
      <c r="K433" s="15" t="n">
        <v>0</v>
      </c>
      <c r="L433" s="11" t="n">
        <v>0</v>
      </c>
      <c r="M433" s="11" t="n">
        <v>0</v>
      </c>
      <c r="N433" s="10" t="s">
        <v>258</v>
      </c>
      <c r="O433" s="10" t="s">
        <v>67</v>
      </c>
      <c r="P433" s="10"/>
      <c r="Q433" s="16" t="n">
        <v>0</v>
      </c>
      <c r="R433" s="10" t="s">
        <v>68</v>
      </c>
      <c r="S433" s="10" t="s">
        <v>69</v>
      </c>
      <c r="T433" s="10" t="n">
        <v>210</v>
      </c>
      <c r="U433" s="11" t="n">
        <f aca="false">IF(E433="TRANSPORT",IF(T433="","",T433*5),IF(AL433="","",AL433))</f>
        <v>1050</v>
      </c>
      <c r="V433" s="10" t="s">
        <v>54</v>
      </c>
      <c r="W433" s="15" t="s">
        <v>629</v>
      </c>
      <c r="X433" s="15"/>
      <c r="Y433" s="17" t="n">
        <v>46257.8593287037</v>
      </c>
      <c r="Z433" s="18" t="n">
        <f aca="false">IF(I433="",0,IF(ISNUMBER(SEARCH("mp",LOWER(J433))),I433,IF(ISNUMBER(SEARCH("ton",LOWER(J433))),I433/0.33,IF(ISNUMBER(SEARCH("m3",LOWER(J433))),I433*4,I433))))</f>
        <v>80</v>
      </c>
      <c r="AA433" s="18" t="n">
        <f aca="false">IF(I433="",0,IF(ISNUMBER(SEARCH("mp",LOWER(J433))),I433*0.33,IF(ISNUMBER(SEARCH("ton",LOWER(J433))),I433,I433*0.33)))</f>
        <v>26.4</v>
      </c>
      <c r="AB433" s="18" t="n">
        <f aca="false">Tabela_dane[[#This Row],[Wolumen_t]]*8.5</f>
        <v>224.4</v>
      </c>
      <c r="AC433" s="18" t="n">
        <f aca="false">IF(G433&lt;&gt;"TAK",0,IF(OR(E433="ZAKUP",E433="PRODUKCJA"),Z433,IF(OR(E433="SPRZEDAŻ",E433="ZUŻYCIE"),-Z433,0)))</f>
        <v>80</v>
      </c>
      <c r="AD433" s="18" t="n">
        <f aca="false">IF(G433&lt;&gt;"TAK",0,IF(OR(E433="ZAKUP",E433="PRODUKCJA"),AA433,IF(OR(E433="SPRZEDAŻ",E433="ZUŻYCIE"),-AA433,0)))</f>
        <v>26.4</v>
      </c>
      <c r="AE433" s="19" t="n">
        <f aca="false">IF(E433="ZAKUP",IF(L433&lt;&gt;"",L433,IF(K433&lt;&gt;"",Z433*K433,0)),0)</f>
        <v>0</v>
      </c>
      <c r="AF433" s="19" t="n">
        <f aca="false">IF(E433="SPRZEDAŻ",IF(M433&lt;&gt;"",Z433*M433,0),0)</f>
        <v>0</v>
      </c>
      <c r="AG433" s="19" t="str">
        <f aca="false">IF(R433="","",IF(LOWER(R433)="brak","Brak",IF(OR(ISNUMBER(SEARCH("ric pl",LOWER(R433))),ISNUMBER(SEARCH("wojciechowski",LOWER(R433)))),"Własny","Zewnętrzny")))</f>
        <v>Zewnętrzny</v>
      </c>
      <c r="AH433" s="19" t="n">
        <f aca="false">Z433*Q433</f>
        <v>0</v>
      </c>
      <c r="AI433" s="19" t="str">
        <f aca="false">UPPER(TEXT(C433,"mmmm"))</f>
        <v>AUGUST</v>
      </c>
      <c r="AJ433" s="19" t="str">
        <f aca="false">IF(C433="","",TEXT(C433,"rrrr"))</f>
        <v>CE5786CE5786</v>
      </c>
      <c r="AK433" s="10"/>
      <c r="AL433" s="11" t="n">
        <v>1050</v>
      </c>
      <c r="AM433" s="10" t="s">
        <v>813</v>
      </c>
      <c r="AN433" s="10" t="s">
        <v>49</v>
      </c>
      <c r="AO433" s="10"/>
      <c r="AP433" s="10"/>
      <c r="AQ433" s="10"/>
      <c r="AR433" s="10" t="s">
        <v>66</v>
      </c>
      <c r="AS433" s="10"/>
      <c r="AT433" s="15" t="n">
        <v>1</v>
      </c>
    </row>
    <row r="434" customFormat="false" ht="28.5" hidden="false" customHeight="true" outlineLevel="0" collapsed="false">
      <c r="A434" s="12" t="n">
        <v>46253</v>
      </c>
      <c r="B434" s="12"/>
      <c r="C434" s="12" t="n">
        <v>46253</v>
      </c>
      <c r="D434" s="10" t="s">
        <v>46</v>
      </c>
      <c r="E434" s="10" t="s">
        <v>63</v>
      </c>
      <c r="F434" s="20" t="s">
        <v>814</v>
      </c>
      <c r="G434" s="14" t="s">
        <v>49</v>
      </c>
      <c r="H434" s="10" t="s">
        <v>76</v>
      </c>
      <c r="I434" s="15" t="n">
        <v>26.95</v>
      </c>
      <c r="J434" s="10" t="s">
        <v>77</v>
      </c>
      <c r="K434" s="15" t="n">
        <v>230</v>
      </c>
      <c r="L434" s="11" t="n">
        <v>6198.5</v>
      </c>
      <c r="M434" s="11" t="n">
        <v>0</v>
      </c>
      <c r="N434" s="10" t="s">
        <v>64</v>
      </c>
      <c r="O434" s="10"/>
      <c r="P434" s="10"/>
      <c r="Q434" s="16" t="n">
        <v>0</v>
      </c>
      <c r="R434" s="10"/>
      <c r="S434" s="10"/>
      <c r="T434" s="10" t="n">
        <v>0</v>
      </c>
      <c r="U434" s="11" t="n">
        <f aca="false">IF(E434="TRANSPORT",IF(T434="","",T434*5),IF(AL434="","",AL434))</f>
        <v>0</v>
      </c>
      <c r="V434" s="10" t="s">
        <v>54</v>
      </c>
      <c r="W434" s="15" t="s">
        <v>815</v>
      </c>
      <c r="X434" s="15"/>
      <c r="Y434" s="17" t="n">
        <v>46257.8611574074</v>
      </c>
      <c r="Z434" s="18" t="n">
        <f aca="false">IF(I434="",0,IF(ISNUMBER(SEARCH("mp",LOWER(J434))),I434,IF(ISNUMBER(SEARCH("ton",LOWER(J434))),I434/0.33,IF(ISNUMBER(SEARCH("m3",LOWER(J434))),I434*4,I434))))</f>
        <v>107.8</v>
      </c>
      <c r="AA434" s="18" t="n">
        <f aca="false">IF(I434="",0,IF(ISNUMBER(SEARCH("mp",LOWER(J434))),I434*0.33,IF(ISNUMBER(SEARCH("ton",LOWER(J434))),I434,I434*0.33)))</f>
        <v>8.8935</v>
      </c>
      <c r="AB434" s="18" t="n">
        <f aca="false">Tabela_dane[[#This Row],[Wolumen_t]]*8.5</f>
        <v>75.59475</v>
      </c>
      <c r="AC434" s="18" t="n">
        <f aca="false">IF(G434&lt;&gt;"TAK",0,IF(OR(E434="ZAKUP",E434="PRODUKCJA"),Z434,IF(OR(E434="SPRZEDAŻ",E434="ZUŻYCIE"),-Z434,0)))</f>
        <v>107.8</v>
      </c>
      <c r="AD434" s="18" t="n">
        <f aca="false">IF(G434&lt;&gt;"TAK",0,IF(OR(E434="ZAKUP",E434="PRODUKCJA"),AA434,IF(OR(E434="SPRZEDAŻ",E434="ZUŻYCIE"),-AA434,0)))</f>
        <v>8.8935</v>
      </c>
      <c r="AE434" s="19" t="n">
        <f aca="false">IF(E434="ZAKUP",IF(L434&lt;&gt;"",L434,IF(K434&lt;&gt;"",Z434*K434,0)),0)</f>
        <v>6198.5</v>
      </c>
      <c r="AF434" s="19" t="n">
        <f aca="false">IF(E434="SPRZEDAŻ",IF(M434&lt;&gt;"",Z434*M434,0),0)</f>
        <v>0</v>
      </c>
      <c r="AG434" s="19" t="str">
        <f aca="false">IF(R434="","",IF(LOWER(R434)="brak","Brak",IF(OR(ISNUMBER(SEARCH("ric pl",LOWER(R434))),ISNUMBER(SEARCH("wojciechowski",LOWER(R434)))),"Własny","Zewnętrzny")))</f>
        <v/>
      </c>
      <c r="AH434" s="19" t="n">
        <f aca="false">Z434*Q434</f>
        <v>0</v>
      </c>
      <c r="AI434" s="19" t="str">
        <f aca="false">UPPER(TEXT(C434,"mmmm"))</f>
        <v>AUGUST</v>
      </c>
      <c r="AJ434" s="19" t="str">
        <f aca="false">IF(C434="","",TEXT(C434,"rrrr"))</f>
        <v>CE5786CE5786</v>
      </c>
      <c r="AK434" s="10"/>
      <c r="AL434" s="11" t="n">
        <v>0</v>
      </c>
      <c r="AM434" s="10" t="s">
        <v>816</v>
      </c>
      <c r="AN434" s="10" t="s">
        <v>59</v>
      </c>
      <c r="AO434" s="10"/>
      <c r="AP434" s="10"/>
      <c r="AQ434" s="10"/>
      <c r="AR434" s="10" t="s">
        <v>66</v>
      </c>
      <c r="AS434" s="10"/>
      <c r="AT434" s="15" t="n">
        <v>1</v>
      </c>
    </row>
    <row r="435" customFormat="false" ht="28.5" hidden="false" customHeight="true" outlineLevel="0" collapsed="false">
      <c r="A435" s="12" t="n">
        <v>46253</v>
      </c>
      <c r="B435" s="12"/>
      <c r="C435" s="12" t="n">
        <v>46253</v>
      </c>
      <c r="D435" s="10" t="s">
        <v>46</v>
      </c>
      <c r="E435" s="10" t="s">
        <v>63</v>
      </c>
      <c r="F435" s="20" t="s">
        <v>817</v>
      </c>
      <c r="G435" s="14" t="s">
        <v>49</v>
      </c>
      <c r="H435" s="10" t="s">
        <v>76</v>
      </c>
      <c r="I435" s="15" t="n">
        <v>25</v>
      </c>
      <c r="J435" s="10" t="s">
        <v>77</v>
      </c>
      <c r="K435" s="15" t="n">
        <v>230</v>
      </c>
      <c r="L435" s="11" t="n">
        <v>5750</v>
      </c>
      <c r="M435" s="11" t="n">
        <v>0</v>
      </c>
      <c r="N435" s="10" t="s">
        <v>64</v>
      </c>
      <c r="O435" s="10"/>
      <c r="P435" s="10"/>
      <c r="Q435" s="16" t="n">
        <v>0</v>
      </c>
      <c r="R435" s="10"/>
      <c r="S435" s="10"/>
      <c r="T435" s="10" t="n">
        <v>0</v>
      </c>
      <c r="U435" s="11" t="n">
        <f aca="false">IF(E435="TRANSPORT",IF(T435="","",T435*5),IF(AL435="","",AL435))</f>
        <v>0</v>
      </c>
      <c r="V435" s="10" t="s">
        <v>54</v>
      </c>
      <c r="W435" s="15" t="s">
        <v>818</v>
      </c>
      <c r="X435" s="15"/>
      <c r="Y435" s="17" t="n">
        <v>46257.8639814815</v>
      </c>
      <c r="Z435" s="18" t="n">
        <f aca="false">IF(I435="",0,IF(ISNUMBER(SEARCH("mp",LOWER(J435))),I435,IF(ISNUMBER(SEARCH("ton",LOWER(J435))),I435/0.33,IF(ISNUMBER(SEARCH("m3",LOWER(J435))),I435*4,I435))))</f>
        <v>100</v>
      </c>
      <c r="AA435" s="18" t="n">
        <f aca="false">IF(I435="",0,IF(ISNUMBER(SEARCH("mp",LOWER(J435))),I435*0.33,IF(ISNUMBER(SEARCH("ton",LOWER(J435))),I435,I435*0.33)))</f>
        <v>8.25</v>
      </c>
      <c r="AB435" s="18" t="n">
        <f aca="false">Tabela_dane[[#This Row],[Wolumen_t]]*8.5</f>
        <v>70.125</v>
      </c>
      <c r="AC435" s="18" t="n">
        <f aca="false">IF(G435&lt;&gt;"TAK",0,IF(OR(E435="ZAKUP",E435="PRODUKCJA"),Z435,IF(OR(E435="SPRZEDAŻ",E435="ZUŻYCIE"),-Z435,0)))</f>
        <v>100</v>
      </c>
      <c r="AD435" s="18" t="n">
        <f aca="false">IF(G435&lt;&gt;"TAK",0,IF(OR(E435="ZAKUP",E435="PRODUKCJA"),AA435,IF(OR(E435="SPRZEDAŻ",E435="ZUŻYCIE"),-AA435,0)))</f>
        <v>8.25</v>
      </c>
      <c r="AE435" s="19" t="n">
        <f aca="false">IF(E435="ZAKUP",IF(L435&lt;&gt;"",L435,IF(K435&lt;&gt;"",Z435*K435,0)),0)</f>
        <v>5750</v>
      </c>
      <c r="AF435" s="19" t="n">
        <f aca="false">IF(E435="SPRZEDAŻ",IF(M435&lt;&gt;"",Z435*M435,0),0)</f>
        <v>0</v>
      </c>
      <c r="AG435" s="19" t="str">
        <f aca="false">IF(R435="","",IF(LOWER(R435)="brak","Brak",IF(OR(ISNUMBER(SEARCH("ric pl",LOWER(R435))),ISNUMBER(SEARCH("wojciechowski",LOWER(R435)))),"Własny","Zewnętrzny")))</f>
        <v/>
      </c>
      <c r="AH435" s="19" t="n">
        <f aca="false">Z435*Q435</f>
        <v>0</v>
      </c>
      <c r="AI435" s="19" t="str">
        <f aca="false">UPPER(TEXT(C435,"mmmm"))</f>
        <v>AUGUST</v>
      </c>
      <c r="AJ435" s="19" t="str">
        <f aca="false">IF(C435="","",TEXT(C435,"rrrr"))</f>
        <v>CE5786CE5786</v>
      </c>
      <c r="AK435" s="10"/>
      <c r="AL435" s="11" t="n">
        <v>0</v>
      </c>
      <c r="AM435" s="10" t="s">
        <v>819</v>
      </c>
      <c r="AN435" s="10" t="s">
        <v>59</v>
      </c>
      <c r="AO435" s="10"/>
      <c r="AP435" s="10"/>
      <c r="AQ435" s="10"/>
      <c r="AR435" s="10" t="s">
        <v>66</v>
      </c>
      <c r="AS435" s="10"/>
      <c r="AT435" s="15" t="n">
        <v>1</v>
      </c>
    </row>
    <row r="436" customFormat="false" ht="28.5" hidden="false" customHeight="true" outlineLevel="0" collapsed="false">
      <c r="A436" s="12" t="n">
        <v>46253</v>
      </c>
      <c r="B436" s="12"/>
      <c r="C436" s="12" t="n">
        <v>46253</v>
      </c>
      <c r="D436" s="10" t="s">
        <v>376</v>
      </c>
      <c r="E436" s="10" t="s">
        <v>63</v>
      </c>
      <c r="F436" s="13" t="s">
        <v>820</v>
      </c>
      <c r="G436" s="14" t="s">
        <v>59</v>
      </c>
      <c r="H436" s="10" t="s">
        <v>76</v>
      </c>
      <c r="I436" s="15" t="n">
        <v>80</v>
      </c>
      <c r="J436" s="10" t="s">
        <v>51</v>
      </c>
      <c r="K436" s="15" t="n">
        <v>45</v>
      </c>
      <c r="L436" s="11" t="n">
        <v>3600</v>
      </c>
      <c r="M436" s="11" t="n">
        <v>0</v>
      </c>
      <c r="N436" s="10" t="s">
        <v>255</v>
      </c>
      <c r="O436" s="10"/>
      <c r="P436" s="10"/>
      <c r="Q436" s="16" t="n">
        <v>0</v>
      </c>
      <c r="R436" s="10"/>
      <c r="S436" s="10"/>
      <c r="T436" s="10" t="n">
        <v>0</v>
      </c>
      <c r="U436" s="11" t="n">
        <f aca="false">IF(E436="TRANSPORT",IF(T436="","",T436*5),IF(AL436="","",AL436))</f>
        <v>0</v>
      </c>
      <c r="V436" s="10" t="s">
        <v>54</v>
      </c>
      <c r="W436" s="15" t="s">
        <v>821</v>
      </c>
      <c r="X436" s="15"/>
      <c r="Y436" s="17" t="n">
        <v>46257.8668981481</v>
      </c>
      <c r="Z436" s="18" t="n">
        <f aca="false">IF(I436="",0,IF(ISNUMBER(SEARCH("mp",LOWER(J436))),I436,IF(ISNUMBER(SEARCH("ton",LOWER(J436))),I436/0.33,IF(ISNUMBER(SEARCH("m3",LOWER(J436))),I436*4,I436))))</f>
        <v>80</v>
      </c>
      <c r="AA436" s="18" t="n">
        <f aca="false">IF(I436="",0,IF(ISNUMBER(SEARCH("mp",LOWER(J436))),I436*0.33,IF(ISNUMBER(SEARCH("ton",LOWER(J436))),I436,I436*0.33)))</f>
        <v>26.4</v>
      </c>
      <c r="AB436" s="18" t="n">
        <f aca="false">Tabela_dane[[#This Row],[Wolumen_t]]*8.5</f>
        <v>224.4</v>
      </c>
      <c r="AC436" s="18" t="n">
        <f aca="false">IF(G436&lt;&gt;"TAK",0,IF(OR(E436="ZAKUP",E436="PRODUKCJA"),Z436,IF(OR(E436="SPRZEDAŻ",E436="ZUŻYCIE"),-Z436,0)))</f>
        <v>0</v>
      </c>
      <c r="AD436" s="18" t="n">
        <f aca="false">IF(G436&lt;&gt;"TAK",0,IF(OR(E436="ZAKUP",E436="PRODUKCJA"),AA436,IF(OR(E436="SPRZEDAŻ",E436="ZUŻYCIE"),-AA436,0)))</f>
        <v>0</v>
      </c>
      <c r="AE436" s="19" t="n">
        <f aca="false">IF(E436="ZAKUP",IF(L436&lt;&gt;"",L436,IF(K436&lt;&gt;"",Z436*K436,0)),0)</f>
        <v>3600</v>
      </c>
      <c r="AF436" s="19" t="n">
        <f aca="false">IF(E436="SPRZEDAŻ",IF(M436&lt;&gt;"",Z436*M436,0),0)</f>
        <v>0</v>
      </c>
      <c r="AG436" s="19" t="str">
        <f aca="false">IF(R436="","",IF(LOWER(R436)="brak","Brak",IF(OR(ISNUMBER(SEARCH("ric pl",LOWER(R436))),ISNUMBER(SEARCH("wojciechowski",LOWER(R436)))),"Własny","Zewnętrzny")))</f>
        <v/>
      </c>
      <c r="AH436" s="19" t="n">
        <f aca="false">Z436*Q436</f>
        <v>0</v>
      </c>
      <c r="AI436" s="19" t="str">
        <f aca="false">UPPER(TEXT(C436,"mmmm"))</f>
        <v>AUGUST</v>
      </c>
      <c r="AJ436" s="19" t="str">
        <f aca="false">IF(C436="","",TEXT(C436,"rrrr"))</f>
        <v>CE5786CE5786</v>
      </c>
      <c r="AK436" s="10"/>
      <c r="AL436" s="11" t="n">
        <v>0</v>
      </c>
      <c r="AM436" s="10" t="s">
        <v>822</v>
      </c>
      <c r="AN436" s="10" t="s">
        <v>59</v>
      </c>
      <c r="AO436" s="10"/>
      <c r="AP436" s="10"/>
      <c r="AQ436" s="10"/>
      <c r="AR436" s="10" t="s">
        <v>66</v>
      </c>
      <c r="AS436" s="10"/>
      <c r="AT436" s="15" t="n">
        <v>1</v>
      </c>
    </row>
    <row r="437" customFormat="false" ht="28.5" hidden="false" customHeight="true" outlineLevel="0" collapsed="false">
      <c r="A437" s="12" t="n">
        <v>46253</v>
      </c>
      <c r="B437" s="12"/>
      <c r="C437" s="12" t="n">
        <v>46253</v>
      </c>
      <c r="D437" s="10" t="s">
        <v>54</v>
      </c>
      <c r="E437" s="10" t="s">
        <v>47</v>
      </c>
      <c r="F437" s="13" t="s">
        <v>820</v>
      </c>
      <c r="G437" s="14" t="s">
        <v>49</v>
      </c>
      <c r="H437" s="10" t="s">
        <v>76</v>
      </c>
      <c r="I437" s="15" t="n">
        <v>80</v>
      </c>
      <c r="J437" s="10" t="s">
        <v>51</v>
      </c>
      <c r="K437" s="15" t="n">
        <v>0</v>
      </c>
      <c r="L437" s="11" t="n">
        <v>0</v>
      </c>
      <c r="M437" s="11" t="n">
        <v>0</v>
      </c>
      <c r="N437" s="10" t="s">
        <v>258</v>
      </c>
      <c r="O437" s="10" t="s">
        <v>67</v>
      </c>
      <c r="P437" s="10" t="s">
        <v>53</v>
      </c>
      <c r="Q437" s="16" t="n">
        <v>10</v>
      </c>
      <c r="R437" s="10"/>
      <c r="S437" s="10"/>
      <c r="T437" s="10" t="n">
        <v>0</v>
      </c>
      <c r="U437" s="11" t="n">
        <f aca="false">IF(E437="TRANSPORT",IF(T437="","",T437*5),IF(AL437="","",AL437))</f>
        <v>0</v>
      </c>
      <c r="V437" s="10" t="s">
        <v>54</v>
      </c>
      <c r="W437" s="15" t="s">
        <v>655</v>
      </c>
      <c r="X437" s="15" t="s">
        <v>54</v>
      </c>
      <c r="Y437" s="17" t="n">
        <v>46257.8679976852</v>
      </c>
      <c r="Z437" s="18" t="n">
        <f aca="false">IF(I437="",0,IF(ISNUMBER(SEARCH("mp",LOWER(J437))),I437,IF(ISNUMBER(SEARCH("ton",LOWER(J437))),I437/0.33,IF(ISNUMBER(SEARCH("m3",LOWER(J437))),I437*4,I437))))</f>
        <v>80</v>
      </c>
      <c r="AA437" s="18" t="n">
        <f aca="false">IF(I437="",0,IF(ISNUMBER(SEARCH("mp",LOWER(J437))),I437*0.33,IF(ISNUMBER(SEARCH("ton",LOWER(J437))),I437,I437*0.33)))</f>
        <v>26.4</v>
      </c>
      <c r="AB437" s="18" t="n">
        <f aca="false">Tabela_dane[[#This Row],[Wolumen_t]]*8.5</f>
        <v>224.4</v>
      </c>
      <c r="AC437" s="18" t="n">
        <f aca="false">IF(G437&lt;&gt;"TAK",0,IF(OR(E437="ZAKUP",E437="PRODUKCJA"),Z437,IF(OR(E437="SPRZEDAŻ",E437="ZUŻYCIE"),-Z437,0)))</f>
        <v>80</v>
      </c>
      <c r="AD437" s="18" t="n">
        <f aca="false">IF(G437&lt;&gt;"TAK",0,IF(OR(E437="ZAKUP",E437="PRODUKCJA"),AA437,IF(OR(E437="SPRZEDAŻ",E437="ZUŻYCIE"),-AA437,0)))</f>
        <v>26.4</v>
      </c>
      <c r="AE437" s="19" t="n">
        <f aca="false">IF(E437="ZAKUP",IF(L437&lt;&gt;"",L437,IF(K437&lt;&gt;"",Z437*K437,0)),0)</f>
        <v>0</v>
      </c>
      <c r="AF437" s="19" t="n">
        <f aca="false">IF(E437="SPRZEDAŻ",IF(M437&lt;&gt;"",Z437*M437,0),0)</f>
        <v>0</v>
      </c>
      <c r="AG437" s="19" t="str">
        <f aca="false">IF(R437="","",IF(LOWER(R437)="brak","Brak",IF(OR(ISNUMBER(SEARCH("ric pl",LOWER(R437))),ISNUMBER(SEARCH("wojciechowski",LOWER(R437)))),"Własny","Zewnętrzny")))</f>
        <v/>
      </c>
      <c r="AH437" s="19" t="n">
        <f aca="false">Z437*Q437</f>
        <v>800</v>
      </c>
      <c r="AI437" s="19" t="str">
        <f aca="false">UPPER(TEXT(C437,"mmmm"))</f>
        <v>AUGUST</v>
      </c>
      <c r="AJ437" s="19" t="str">
        <f aca="false">IF(C437="","",TEXT(C437,"rrrr"))</f>
        <v>CE5786CE5786</v>
      </c>
      <c r="AK437" s="10"/>
      <c r="AL437" s="11" t="n">
        <v>0</v>
      </c>
      <c r="AM437" s="10" t="s">
        <v>823</v>
      </c>
      <c r="AN437" s="10" t="s">
        <v>59</v>
      </c>
      <c r="AO437" s="10"/>
      <c r="AP437" s="10"/>
      <c r="AQ437" s="10"/>
      <c r="AR437" s="10" t="s">
        <v>66</v>
      </c>
      <c r="AS437" s="10"/>
      <c r="AT437" s="15" t="n">
        <v>1</v>
      </c>
    </row>
    <row r="438" customFormat="false" ht="28.5" hidden="false" customHeight="true" outlineLevel="0" collapsed="false">
      <c r="A438" s="12" t="n">
        <v>46253</v>
      </c>
      <c r="B438" s="12"/>
      <c r="C438" s="12" t="n">
        <v>46253</v>
      </c>
      <c r="D438" s="10" t="s">
        <v>54</v>
      </c>
      <c r="E438" s="10" t="s">
        <v>79</v>
      </c>
      <c r="F438" s="13" t="s">
        <v>820</v>
      </c>
      <c r="G438" s="14" t="s">
        <v>49</v>
      </c>
      <c r="H438" s="10" t="s">
        <v>76</v>
      </c>
      <c r="I438" s="15" t="n">
        <v>80</v>
      </c>
      <c r="J438" s="10" t="s">
        <v>51</v>
      </c>
      <c r="K438" s="15" t="n">
        <v>0</v>
      </c>
      <c r="L438" s="11" t="n">
        <v>0</v>
      </c>
      <c r="M438" s="11" t="n">
        <v>0</v>
      </c>
      <c r="N438" s="10" t="s">
        <v>258</v>
      </c>
      <c r="O438" s="10" t="s">
        <v>67</v>
      </c>
      <c r="P438" s="10" t="s">
        <v>53</v>
      </c>
      <c r="Q438" s="16" t="n">
        <v>10</v>
      </c>
      <c r="R438" s="10"/>
      <c r="S438" s="10"/>
      <c r="T438" s="10" t="n">
        <v>0</v>
      </c>
      <c r="U438" s="11" t="n">
        <f aca="false">IF(E438="TRANSPORT",IF(T438="","",T438*5),IF(AL438="","",AL438))</f>
        <v>0</v>
      </c>
      <c r="V438" s="10" t="s">
        <v>54</v>
      </c>
      <c r="W438" s="15" t="s">
        <v>260</v>
      </c>
      <c r="X438" s="15" t="s">
        <v>54</v>
      </c>
      <c r="Y438" s="17" t="n">
        <v>46257.8679976852</v>
      </c>
      <c r="Z438" s="18" t="n">
        <f aca="false">IF(I438="",0,IF(ISNUMBER(SEARCH("mp",LOWER(J438))),I438,IF(ISNUMBER(SEARCH("ton",LOWER(J438))),I438/0.33,IF(ISNUMBER(SEARCH("m3",LOWER(J438))),I438*4,I438))))</f>
        <v>80</v>
      </c>
      <c r="AA438" s="18" t="n">
        <f aca="false">IF(I438="",0,IF(ISNUMBER(SEARCH("mp",LOWER(J438))),I438*0.33,IF(ISNUMBER(SEARCH("ton",LOWER(J438))),I438,I438*0.33)))</f>
        <v>26.4</v>
      </c>
      <c r="AB438" s="18" t="n">
        <f aca="false">Tabela_dane[[#This Row],[Wolumen_t]]*8.5</f>
        <v>224.4</v>
      </c>
      <c r="AC438" s="18" t="n">
        <f aca="false">IF(G438&lt;&gt;"TAK",0,IF(OR(E438="ZAKUP",E438="PRODUKCJA"),Z438,IF(OR(E438="SPRZEDAŻ",E438="ZUŻYCIE"),-Z438,0)))</f>
        <v>-80</v>
      </c>
      <c r="AD438" s="18" t="n">
        <f aca="false">IF(G438&lt;&gt;"TAK",0,IF(OR(E438="ZAKUP",E438="PRODUKCJA"),AA438,IF(OR(E438="SPRZEDAŻ",E438="ZUŻYCIE"),-AA438,0)))</f>
        <v>-26.4</v>
      </c>
      <c r="AE438" s="19" t="n">
        <f aca="false">IF(E438="ZAKUP",IF(L438&lt;&gt;"",L438,IF(K438&lt;&gt;"",Z438*K438,0)),0)</f>
        <v>0</v>
      </c>
      <c r="AF438" s="19" t="n">
        <f aca="false">IF(E438="SPRZEDAŻ",IF(M438&lt;&gt;"",Z438*M438,0),0)</f>
        <v>0</v>
      </c>
      <c r="AG438" s="19" t="str">
        <f aca="false">IF(R438="","",IF(LOWER(R438)="brak","Brak",IF(OR(ISNUMBER(SEARCH("ric pl",LOWER(R438))),ISNUMBER(SEARCH("wojciechowski",LOWER(R438)))),"Własny","Zewnętrzny")))</f>
        <v/>
      </c>
      <c r="AH438" s="19" t="n">
        <f aca="false">Z438*Q438</f>
        <v>800</v>
      </c>
      <c r="AI438" s="19" t="str">
        <f aca="false">UPPER(TEXT(C438,"mmmm"))</f>
        <v>AUGUST</v>
      </c>
      <c r="AJ438" s="19" t="str">
        <f aca="false">IF(C438="","",TEXT(C438,"rrrr"))</f>
        <v>CE5786CE5786</v>
      </c>
      <c r="AK438" s="10"/>
      <c r="AL438" s="11" t="n">
        <v>0</v>
      </c>
      <c r="AM438" s="10" t="s">
        <v>823</v>
      </c>
      <c r="AN438" s="10" t="s">
        <v>59</v>
      </c>
      <c r="AO438" s="10"/>
      <c r="AP438" s="10"/>
      <c r="AQ438" s="10"/>
      <c r="AR438" s="10" t="s">
        <v>81</v>
      </c>
      <c r="AS438" s="10"/>
      <c r="AT438" s="15" t="n">
        <v>1</v>
      </c>
    </row>
    <row r="439" customFormat="false" ht="28.5" hidden="false" customHeight="true" outlineLevel="0" collapsed="false">
      <c r="A439" s="12" t="n">
        <v>46253</v>
      </c>
      <c r="B439" s="12" t="s">
        <v>380</v>
      </c>
      <c r="C439" s="12" t="n">
        <v>46253</v>
      </c>
      <c r="D439" s="10" t="s">
        <v>54</v>
      </c>
      <c r="E439" s="10" t="s">
        <v>63</v>
      </c>
      <c r="F439" s="13" t="s">
        <v>820</v>
      </c>
      <c r="G439" s="14" t="s">
        <v>49</v>
      </c>
      <c r="H439" s="10" t="s">
        <v>76</v>
      </c>
      <c r="I439" s="15" t="n">
        <v>80</v>
      </c>
      <c r="J439" s="10" t="s">
        <v>51</v>
      </c>
      <c r="K439" s="15" t="n">
        <v>0</v>
      </c>
      <c r="L439" s="11" t="n">
        <v>0</v>
      </c>
      <c r="M439" s="11" t="n">
        <v>0</v>
      </c>
      <c r="N439" s="10" t="s">
        <v>258</v>
      </c>
      <c r="O439" s="10" t="s">
        <v>67</v>
      </c>
      <c r="P439" s="10"/>
      <c r="Q439" s="16" t="n">
        <v>0</v>
      </c>
      <c r="R439" s="10" t="s">
        <v>742</v>
      </c>
      <c r="S439" s="10" t="s">
        <v>743</v>
      </c>
      <c r="T439" s="10" t="n">
        <v>210</v>
      </c>
      <c r="U439" s="11" t="n">
        <f aca="false">IF(E439="TRANSPORT",IF(T439="","",T439*5),IF(AL439="","",AL439))</f>
        <v>1050</v>
      </c>
      <c r="V439" s="10" t="s">
        <v>54</v>
      </c>
      <c r="W439" s="15" t="s">
        <v>769</v>
      </c>
      <c r="X439" s="15"/>
      <c r="Y439" s="17" t="n">
        <v>46257.8691435185</v>
      </c>
      <c r="Z439" s="18" t="n">
        <f aca="false">IF(I439="",0,IF(ISNUMBER(SEARCH("mp",LOWER(J439))),I439,IF(ISNUMBER(SEARCH("ton",LOWER(J439))),I439/0.33,IF(ISNUMBER(SEARCH("m3",LOWER(J439))),I439*4,I439))))</f>
        <v>80</v>
      </c>
      <c r="AA439" s="18" t="n">
        <f aca="false">IF(I439="",0,IF(ISNUMBER(SEARCH("mp",LOWER(J439))),I439*0.33,IF(ISNUMBER(SEARCH("ton",LOWER(J439))),I439,I439*0.33)))</f>
        <v>26.4</v>
      </c>
      <c r="AB439" s="18" t="n">
        <f aca="false">Tabela_dane[[#This Row],[Wolumen_t]]*8.5</f>
        <v>224.4</v>
      </c>
      <c r="AC439" s="18" t="n">
        <f aca="false">IF(G439&lt;&gt;"TAK",0,IF(OR(E439="ZAKUP",E439="PRODUKCJA"),Z439,IF(OR(E439="SPRZEDAŻ",E439="ZUŻYCIE"),-Z439,0)))</f>
        <v>80</v>
      </c>
      <c r="AD439" s="18" t="n">
        <f aca="false">IF(G439&lt;&gt;"TAK",0,IF(OR(E439="ZAKUP",E439="PRODUKCJA"),AA439,IF(OR(E439="SPRZEDAŻ",E439="ZUŻYCIE"),-AA439,0)))</f>
        <v>26.4</v>
      </c>
      <c r="AE439" s="19" t="n">
        <f aca="false">IF(E439="ZAKUP",IF(L439&lt;&gt;"",L439,IF(K439&lt;&gt;"",Z439*K439,0)),0)</f>
        <v>0</v>
      </c>
      <c r="AF439" s="19" t="n">
        <f aca="false">IF(E439="SPRZEDAŻ",IF(M439&lt;&gt;"",Z439*M439,0),0)</f>
        <v>0</v>
      </c>
      <c r="AG439" s="19" t="str">
        <f aca="false">IF(R439="","",IF(LOWER(R439)="brak","Brak",IF(OR(ISNUMBER(SEARCH("ric pl",LOWER(R439))),ISNUMBER(SEARCH("wojciechowski",LOWER(R439)))),"Własny","Zewnętrzny")))</f>
        <v>Własny</v>
      </c>
      <c r="AH439" s="19" t="n">
        <f aca="false">Z439*Q439</f>
        <v>0</v>
      </c>
      <c r="AI439" s="19" t="str">
        <f aca="false">UPPER(TEXT(C439,"mmmm"))</f>
        <v>AUGUST</v>
      </c>
      <c r="AJ439" s="19" t="str">
        <f aca="false">IF(C439="","",TEXT(C439,"rrrr"))</f>
        <v>CE5786CE5786</v>
      </c>
      <c r="AK439" s="10"/>
      <c r="AL439" s="11" t="n">
        <v>1050</v>
      </c>
      <c r="AM439" s="10" t="s">
        <v>824</v>
      </c>
      <c r="AN439" s="10" t="s">
        <v>49</v>
      </c>
      <c r="AO439" s="10"/>
      <c r="AP439" s="10"/>
      <c r="AQ439" s="10"/>
      <c r="AR439" s="10" t="s">
        <v>66</v>
      </c>
      <c r="AS439" s="10"/>
      <c r="AT439" s="15" t="n">
        <v>1</v>
      </c>
    </row>
    <row r="440" customFormat="false" ht="28.5" hidden="false" customHeight="true" outlineLevel="0" collapsed="false">
      <c r="A440" s="12" t="n">
        <v>46253</v>
      </c>
      <c r="B440" s="12"/>
      <c r="C440" s="12" t="n">
        <v>46253</v>
      </c>
      <c r="D440" s="10" t="s">
        <v>376</v>
      </c>
      <c r="E440" s="10" t="s">
        <v>63</v>
      </c>
      <c r="F440" s="13" t="s">
        <v>825</v>
      </c>
      <c r="G440" s="14" t="s">
        <v>59</v>
      </c>
      <c r="H440" s="10" t="s">
        <v>76</v>
      </c>
      <c r="I440" s="15" t="n">
        <v>65</v>
      </c>
      <c r="J440" s="10" t="s">
        <v>51</v>
      </c>
      <c r="K440" s="15" t="n">
        <v>45</v>
      </c>
      <c r="L440" s="11" t="n">
        <v>2925</v>
      </c>
      <c r="M440" s="11" t="n">
        <v>0</v>
      </c>
      <c r="N440" s="10" t="s">
        <v>255</v>
      </c>
      <c r="O440" s="10"/>
      <c r="P440" s="10"/>
      <c r="Q440" s="16" t="n">
        <v>0</v>
      </c>
      <c r="R440" s="10"/>
      <c r="S440" s="10"/>
      <c r="T440" s="10" t="n">
        <v>0</v>
      </c>
      <c r="U440" s="11" t="n">
        <f aca="false">IF(E440="TRANSPORT",IF(T440="","",T440*5),IF(AL440="","",AL440))</f>
        <v>0</v>
      </c>
      <c r="V440" s="10" t="s">
        <v>54</v>
      </c>
      <c r="W440" s="15" t="s">
        <v>826</v>
      </c>
      <c r="X440" s="15"/>
      <c r="Y440" s="17" t="n">
        <v>46257.8708912037</v>
      </c>
      <c r="Z440" s="18" t="n">
        <f aca="false">IF(I440="",0,IF(ISNUMBER(SEARCH("mp",LOWER(J440))),I440,IF(ISNUMBER(SEARCH("ton",LOWER(J440))),I440/0.33,IF(ISNUMBER(SEARCH("m3",LOWER(J440))),I440*4,I440))))</f>
        <v>65</v>
      </c>
      <c r="AA440" s="18" t="n">
        <f aca="false">IF(I440="",0,IF(ISNUMBER(SEARCH("mp",LOWER(J440))),I440*0.33,IF(ISNUMBER(SEARCH("ton",LOWER(J440))),I440,I440*0.33)))</f>
        <v>21.45</v>
      </c>
      <c r="AB440" s="18" t="n">
        <f aca="false">Tabela_dane[[#This Row],[Wolumen_t]]*8.5</f>
        <v>182.325</v>
      </c>
      <c r="AC440" s="18" t="n">
        <f aca="false">IF(G440&lt;&gt;"TAK",0,IF(OR(E440="ZAKUP",E440="PRODUKCJA"),Z440,IF(OR(E440="SPRZEDAŻ",E440="ZUŻYCIE"),-Z440,0)))</f>
        <v>0</v>
      </c>
      <c r="AD440" s="18" t="n">
        <f aca="false">IF(G440&lt;&gt;"TAK",0,IF(OR(E440="ZAKUP",E440="PRODUKCJA"),AA440,IF(OR(E440="SPRZEDAŻ",E440="ZUŻYCIE"),-AA440,0)))</f>
        <v>0</v>
      </c>
      <c r="AE440" s="19" t="n">
        <f aca="false">IF(E440="ZAKUP",IF(L440&lt;&gt;"",L440,IF(K440&lt;&gt;"",Z440*K440,0)),0)</f>
        <v>2925</v>
      </c>
      <c r="AF440" s="19" t="n">
        <f aca="false">IF(E440="SPRZEDAŻ",IF(M440&lt;&gt;"",Z440*M440,0),0)</f>
        <v>0</v>
      </c>
      <c r="AG440" s="19" t="str">
        <f aca="false">IF(R440="","",IF(LOWER(R440)="brak","Brak",IF(OR(ISNUMBER(SEARCH("ric pl",LOWER(R440))),ISNUMBER(SEARCH("wojciechowski",LOWER(R440)))),"Własny","Zewnętrzny")))</f>
        <v/>
      </c>
      <c r="AH440" s="19" t="n">
        <f aca="false">Z440*Q440</f>
        <v>0</v>
      </c>
      <c r="AI440" s="19" t="str">
        <f aca="false">UPPER(TEXT(C440,"mmmm"))</f>
        <v>AUGUST</v>
      </c>
      <c r="AJ440" s="19" t="str">
        <f aca="false">IF(C440="","",TEXT(C440,"rrrr"))</f>
        <v>CE5786CE5786</v>
      </c>
      <c r="AK440" s="10"/>
      <c r="AL440" s="11" t="n">
        <v>0</v>
      </c>
      <c r="AM440" s="10" t="s">
        <v>827</v>
      </c>
      <c r="AN440" s="10" t="s">
        <v>59</v>
      </c>
      <c r="AO440" s="10"/>
      <c r="AP440" s="10"/>
      <c r="AQ440" s="10"/>
      <c r="AR440" s="10" t="s">
        <v>66</v>
      </c>
      <c r="AS440" s="10"/>
      <c r="AT440" s="15" t="n">
        <v>1</v>
      </c>
    </row>
    <row r="441" customFormat="false" ht="28.5" hidden="false" customHeight="true" outlineLevel="0" collapsed="false">
      <c r="A441" s="12" t="n">
        <v>46253</v>
      </c>
      <c r="B441" s="12"/>
      <c r="C441" s="12" t="n">
        <v>46253</v>
      </c>
      <c r="D441" s="10" t="s">
        <v>54</v>
      </c>
      <c r="E441" s="10" t="s">
        <v>47</v>
      </c>
      <c r="F441" s="13" t="s">
        <v>825</v>
      </c>
      <c r="G441" s="14" t="s">
        <v>49</v>
      </c>
      <c r="H441" s="10" t="s">
        <v>76</v>
      </c>
      <c r="I441" s="15" t="n">
        <v>65</v>
      </c>
      <c r="J441" s="10" t="s">
        <v>51</v>
      </c>
      <c r="K441" s="15" t="n">
        <v>0</v>
      </c>
      <c r="L441" s="11" t="n">
        <v>0</v>
      </c>
      <c r="M441" s="11" t="n">
        <v>0</v>
      </c>
      <c r="N441" s="10" t="s">
        <v>258</v>
      </c>
      <c r="O441" s="10" t="s">
        <v>67</v>
      </c>
      <c r="P441" s="10" t="s">
        <v>53</v>
      </c>
      <c r="Q441" s="16" t="n">
        <v>10</v>
      </c>
      <c r="R441" s="10"/>
      <c r="S441" s="10"/>
      <c r="T441" s="10" t="n">
        <v>0</v>
      </c>
      <c r="U441" s="11" t="n">
        <f aca="false">IF(E441="TRANSPORT",IF(T441="","",T441*5),IF(AL441="","",AL441))</f>
        <v>0</v>
      </c>
      <c r="V441" s="10" t="s">
        <v>54</v>
      </c>
      <c r="W441" s="15" t="s">
        <v>655</v>
      </c>
      <c r="X441" s="15" t="s">
        <v>54</v>
      </c>
      <c r="Y441" s="17" t="n">
        <v>46257.8721412037</v>
      </c>
      <c r="Z441" s="18" t="n">
        <f aca="false">IF(I441="",0,IF(ISNUMBER(SEARCH("mp",LOWER(J441))),I441,IF(ISNUMBER(SEARCH("ton",LOWER(J441))),I441/0.33,IF(ISNUMBER(SEARCH("m3",LOWER(J441))),I441*4,I441))))</f>
        <v>65</v>
      </c>
      <c r="AA441" s="18" t="n">
        <f aca="false">IF(I441="",0,IF(ISNUMBER(SEARCH("mp",LOWER(J441))),I441*0.33,IF(ISNUMBER(SEARCH("ton",LOWER(J441))),I441,I441*0.33)))</f>
        <v>21.45</v>
      </c>
      <c r="AB441" s="18" t="n">
        <f aca="false">Tabela_dane[[#This Row],[Wolumen_t]]*8.5</f>
        <v>182.325</v>
      </c>
      <c r="AC441" s="18" t="n">
        <f aca="false">IF(G441&lt;&gt;"TAK",0,IF(OR(E441="ZAKUP",E441="PRODUKCJA"),Z441,IF(OR(E441="SPRZEDAŻ",E441="ZUŻYCIE"),-Z441,0)))</f>
        <v>65</v>
      </c>
      <c r="AD441" s="18" t="n">
        <f aca="false">IF(G441&lt;&gt;"TAK",0,IF(OR(E441="ZAKUP",E441="PRODUKCJA"),AA441,IF(OR(E441="SPRZEDAŻ",E441="ZUŻYCIE"),-AA441,0)))</f>
        <v>21.45</v>
      </c>
      <c r="AE441" s="19" t="n">
        <f aca="false">IF(E441="ZAKUP",IF(L441&lt;&gt;"",L441,IF(K441&lt;&gt;"",Z441*K441,0)),0)</f>
        <v>0</v>
      </c>
      <c r="AF441" s="19" t="n">
        <f aca="false">IF(E441="SPRZEDAŻ",IF(M441&lt;&gt;"",Z441*M441,0),0)</f>
        <v>0</v>
      </c>
      <c r="AG441" s="19" t="str">
        <f aca="false">IF(R441="","",IF(LOWER(R441)="brak","Brak",IF(OR(ISNUMBER(SEARCH("ric pl",LOWER(R441))),ISNUMBER(SEARCH("wojciechowski",LOWER(R441)))),"Własny","Zewnętrzny")))</f>
        <v/>
      </c>
      <c r="AH441" s="19" t="n">
        <f aca="false">Z441*Q441</f>
        <v>650</v>
      </c>
      <c r="AI441" s="19" t="str">
        <f aca="false">UPPER(TEXT(C441,"mmmm"))</f>
        <v>AUGUST</v>
      </c>
      <c r="AJ441" s="19" t="str">
        <f aca="false">IF(C441="","",TEXT(C441,"rrrr"))</f>
        <v>CE5786CE5786</v>
      </c>
      <c r="AK441" s="10"/>
      <c r="AL441" s="11" t="n">
        <v>0</v>
      </c>
      <c r="AM441" s="10" t="s">
        <v>828</v>
      </c>
      <c r="AN441" s="10" t="s">
        <v>59</v>
      </c>
      <c r="AO441" s="10"/>
      <c r="AP441" s="10"/>
      <c r="AQ441" s="10"/>
      <c r="AR441" s="10" t="s">
        <v>66</v>
      </c>
      <c r="AS441" s="10"/>
      <c r="AT441" s="15" t="n">
        <v>1</v>
      </c>
    </row>
    <row r="442" customFormat="false" ht="28.5" hidden="false" customHeight="true" outlineLevel="0" collapsed="false">
      <c r="A442" s="12" t="n">
        <v>46253</v>
      </c>
      <c r="B442" s="12"/>
      <c r="C442" s="12" t="n">
        <v>46253</v>
      </c>
      <c r="D442" s="10" t="s">
        <v>54</v>
      </c>
      <c r="E442" s="10" t="s">
        <v>79</v>
      </c>
      <c r="F442" s="13" t="s">
        <v>825</v>
      </c>
      <c r="G442" s="14" t="s">
        <v>49</v>
      </c>
      <c r="H442" s="10" t="s">
        <v>76</v>
      </c>
      <c r="I442" s="15" t="n">
        <v>65</v>
      </c>
      <c r="J442" s="10" t="s">
        <v>51</v>
      </c>
      <c r="K442" s="15" t="n">
        <v>0</v>
      </c>
      <c r="L442" s="11" t="n">
        <v>0</v>
      </c>
      <c r="M442" s="11" t="n">
        <v>0</v>
      </c>
      <c r="N442" s="10" t="s">
        <v>258</v>
      </c>
      <c r="O442" s="10" t="s">
        <v>67</v>
      </c>
      <c r="P442" s="10" t="s">
        <v>53</v>
      </c>
      <c r="Q442" s="16" t="n">
        <v>10</v>
      </c>
      <c r="R442" s="10"/>
      <c r="S442" s="10"/>
      <c r="T442" s="10" t="n">
        <v>0</v>
      </c>
      <c r="U442" s="11" t="n">
        <f aca="false">IF(E442="TRANSPORT",IF(T442="","",T442*5),IF(AL442="","",AL442))</f>
        <v>0</v>
      </c>
      <c r="V442" s="10" t="s">
        <v>54</v>
      </c>
      <c r="W442" s="15" t="s">
        <v>260</v>
      </c>
      <c r="X442" s="15" t="s">
        <v>54</v>
      </c>
      <c r="Y442" s="17" t="n">
        <v>46257.8721412037</v>
      </c>
      <c r="Z442" s="18" t="n">
        <f aca="false">IF(I442="",0,IF(ISNUMBER(SEARCH("mp",LOWER(J442))),I442,IF(ISNUMBER(SEARCH("ton",LOWER(J442))),I442/0.33,IF(ISNUMBER(SEARCH("m3",LOWER(J442))),I442*4,I442))))</f>
        <v>65</v>
      </c>
      <c r="AA442" s="18" t="n">
        <f aca="false">IF(I442="",0,IF(ISNUMBER(SEARCH("mp",LOWER(J442))),I442*0.33,IF(ISNUMBER(SEARCH("ton",LOWER(J442))),I442,I442*0.33)))</f>
        <v>21.45</v>
      </c>
      <c r="AB442" s="18" t="n">
        <f aca="false">Tabela_dane[[#This Row],[Wolumen_t]]*8.5</f>
        <v>182.325</v>
      </c>
      <c r="AC442" s="18" t="n">
        <f aca="false">IF(G442&lt;&gt;"TAK",0,IF(OR(E442="ZAKUP",E442="PRODUKCJA"),Z442,IF(OR(E442="SPRZEDAŻ",E442="ZUŻYCIE"),-Z442,0)))</f>
        <v>-65</v>
      </c>
      <c r="AD442" s="18" t="n">
        <f aca="false">IF(G442&lt;&gt;"TAK",0,IF(OR(E442="ZAKUP",E442="PRODUKCJA"),AA442,IF(OR(E442="SPRZEDAŻ",E442="ZUŻYCIE"),-AA442,0)))</f>
        <v>-21.45</v>
      </c>
      <c r="AE442" s="19" t="n">
        <f aca="false">IF(E442="ZAKUP",IF(L442&lt;&gt;"",L442,IF(K442&lt;&gt;"",Z442*K442,0)),0)</f>
        <v>0</v>
      </c>
      <c r="AF442" s="19" t="n">
        <f aca="false">IF(E442="SPRZEDAŻ",IF(M442&lt;&gt;"",Z442*M442,0),0)</f>
        <v>0</v>
      </c>
      <c r="AG442" s="19" t="str">
        <f aca="false">IF(R442="","",IF(LOWER(R442)="brak","Brak",IF(OR(ISNUMBER(SEARCH("ric pl",LOWER(R442))),ISNUMBER(SEARCH("wojciechowski",LOWER(R442)))),"Własny","Zewnętrzny")))</f>
        <v/>
      </c>
      <c r="AH442" s="19" t="n">
        <f aca="false">Z442*Q442</f>
        <v>650</v>
      </c>
      <c r="AI442" s="19" t="str">
        <f aca="false">UPPER(TEXT(C442,"mmmm"))</f>
        <v>AUGUST</v>
      </c>
      <c r="AJ442" s="19" t="str">
        <f aca="false">IF(C442="","",TEXT(C442,"rrrr"))</f>
        <v>CE5786CE5786</v>
      </c>
      <c r="AK442" s="10"/>
      <c r="AL442" s="11" t="n">
        <v>0</v>
      </c>
      <c r="AM442" s="10" t="s">
        <v>828</v>
      </c>
      <c r="AN442" s="10" t="s">
        <v>59</v>
      </c>
      <c r="AO442" s="10"/>
      <c r="AP442" s="10"/>
      <c r="AQ442" s="10"/>
      <c r="AR442" s="10" t="s">
        <v>81</v>
      </c>
      <c r="AS442" s="10"/>
      <c r="AT442" s="15" t="n">
        <v>1</v>
      </c>
    </row>
    <row r="443" customFormat="false" ht="28.5" hidden="false" customHeight="true" outlineLevel="0" collapsed="false">
      <c r="A443" s="12" t="n">
        <v>46253</v>
      </c>
      <c r="B443" s="12" t="s">
        <v>380</v>
      </c>
      <c r="C443" s="12" t="n">
        <v>46253</v>
      </c>
      <c r="D443" s="10" t="s">
        <v>54</v>
      </c>
      <c r="E443" s="10" t="s">
        <v>63</v>
      </c>
      <c r="F443" s="13" t="s">
        <v>825</v>
      </c>
      <c r="G443" s="14" t="s">
        <v>49</v>
      </c>
      <c r="H443" s="10" t="s">
        <v>76</v>
      </c>
      <c r="I443" s="15" t="n">
        <v>65</v>
      </c>
      <c r="J443" s="10" t="s">
        <v>51</v>
      </c>
      <c r="K443" s="15" t="n">
        <v>0</v>
      </c>
      <c r="L443" s="11" t="n">
        <v>0</v>
      </c>
      <c r="M443" s="11" t="n">
        <v>0</v>
      </c>
      <c r="N443" s="10" t="s">
        <v>258</v>
      </c>
      <c r="O443" s="10" t="s">
        <v>67</v>
      </c>
      <c r="P443" s="10"/>
      <c r="Q443" s="16" t="n">
        <v>0</v>
      </c>
      <c r="R443" s="10" t="s">
        <v>550</v>
      </c>
      <c r="S443" s="10" t="s">
        <v>95</v>
      </c>
      <c r="T443" s="10" t="n">
        <v>210</v>
      </c>
      <c r="U443" s="11" t="n">
        <f aca="false">IF(E443="TRANSPORT",IF(T443="","",T443*5),IF(AL443="","",AL443))</f>
        <v>1050</v>
      </c>
      <c r="V443" s="10" t="s">
        <v>54</v>
      </c>
      <c r="W443" s="15" t="s">
        <v>829</v>
      </c>
      <c r="X443" s="15"/>
      <c r="Y443" s="17" t="n">
        <v>46257.8737384259</v>
      </c>
      <c r="Z443" s="18" t="n">
        <f aca="false">IF(I443="",0,IF(ISNUMBER(SEARCH("mp",LOWER(J443))),I443,IF(ISNUMBER(SEARCH("ton",LOWER(J443))),I443/0.33,IF(ISNUMBER(SEARCH("m3",LOWER(J443))),I443*4,I443))))</f>
        <v>65</v>
      </c>
      <c r="AA443" s="18" t="n">
        <f aca="false">IF(I443="",0,IF(ISNUMBER(SEARCH("mp",LOWER(J443))),I443*0.33,IF(ISNUMBER(SEARCH("ton",LOWER(J443))),I443,I443*0.33)))</f>
        <v>21.45</v>
      </c>
      <c r="AB443" s="18" t="n">
        <f aca="false">Tabela_dane[[#This Row],[Wolumen_t]]*8.5</f>
        <v>182.325</v>
      </c>
      <c r="AC443" s="18" t="n">
        <f aca="false">IF(G443&lt;&gt;"TAK",0,IF(OR(E443="ZAKUP",E443="PRODUKCJA"),Z443,IF(OR(E443="SPRZEDAŻ",E443="ZUŻYCIE"),-Z443,0)))</f>
        <v>65</v>
      </c>
      <c r="AD443" s="18" t="n">
        <f aca="false">IF(G443&lt;&gt;"TAK",0,IF(OR(E443="ZAKUP",E443="PRODUKCJA"),AA443,IF(OR(E443="SPRZEDAŻ",E443="ZUŻYCIE"),-AA443,0)))</f>
        <v>21.45</v>
      </c>
      <c r="AE443" s="19" t="n">
        <f aca="false">IF(E443="ZAKUP",IF(L443&lt;&gt;"",L443,IF(K443&lt;&gt;"",Z443*K443,0)),0)</f>
        <v>0</v>
      </c>
      <c r="AF443" s="19" t="n">
        <f aca="false">IF(E443="SPRZEDAŻ",IF(M443&lt;&gt;"",Z443*M443,0),0)</f>
        <v>0</v>
      </c>
      <c r="AG443" s="19" t="str">
        <f aca="false">IF(R443="","",IF(LOWER(R443)="brak","Brak",IF(OR(ISNUMBER(SEARCH("ric pl",LOWER(R443))),ISNUMBER(SEARCH("wojciechowski",LOWER(R443)))),"Własny","Zewnętrzny")))</f>
        <v>Własny</v>
      </c>
      <c r="AH443" s="19" t="n">
        <f aca="false">Z443*Q443</f>
        <v>0</v>
      </c>
      <c r="AI443" s="19" t="str">
        <f aca="false">UPPER(TEXT(C443,"mmmm"))</f>
        <v>AUGUST</v>
      </c>
      <c r="AJ443" s="19" t="str">
        <f aca="false">IF(C443="","",TEXT(C443,"rrrr"))</f>
        <v>CE5786CE5786</v>
      </c>
      <c r="AK443" s="10"/>
      <c r="AL443" s="11" t="n">
        <v>1050</v>
      </c>
      <c r="AM443" s="10" t="s">
        <v>830</v>
      </c>
      <c r="AN443" s="10" t="s">
        <v>49</v>
      </c>
      <c r="AO443" s="10"/>
      <c r="AP443" s="10"/>
      <c r="AQ443" s="10"/>
      <c r="AR443" s="10" t="s">
        <v>66</v>
      </c>
      <c r="AS443" s="10"/>
      <c r="AT443" s="15" t="n">
        <v>1</v>
      </c>
    </row>
    <row r="444" customFormat="false" ht="28.5" hidden="false" customHeight="true" outlineLevel="0" collapsed="false">
      <c r="A444" s="12" t="n">
        <v>46253</v>
      </c>
      <c r="B444" s="12"/>
      <c r="C444" s="12" t="n">
        <v>46253</v>
      </c>
      <c r="D444" s="10" t="s">
        <v>376</v>
      </c>
      <c r="E444" s="10" t="s">
        <v>63</v>
      </c>
      <c r="F444" s="13" t="s">
        <v>831</v>
      </c>
      <c r="G444" s="14" t="s">
        <v>59</v>
      </c>
      <c r="H444" s="10" t="s">
        <v>76</v>
      </c>
      <c r="I444" s="15" t="n">
        <v>85</v>
      </c>
      <c r="J444" s="10" t="s">
        <v>51</v>
      </c>
      <c r="K444" s="15" t="n">
        <v>45</v>
      </c>
      <c r="L444" s="11" t="n">
        <v>3825</v>
      </c>
      <c r="M444" s="11" t="n">
        <v>0</v>
      </c>
      <c r="N444" s="10" t="s">
        <v>255</v>
      </c>
      <c r="O444" s="10"/>
      <c r="P444" s="10"/>
      <c r="Q444" s="16" t="n">
        <v>0</v>
      </c>
      <c r="R444" s="10"/>
      <c r="S444" s="10"/>
      <c r="T444" s="10" t="n">
        <v>0</v>
      </c>
      <c r="U444" s="11" t="n">
        <f aca="false">IF(E444="TRANSPORT",IF(T444="","",T444*5),IF(AL444="","",AL444))</f>
        <v>0</v>
      </c>
      <c r="V444" s="10" t="s">
        <v>54</v>
      </c>
      <c r="W444" s="15" t="s">
        <v>832</v>
      </c>
      <c r="X444" s="15"/>
      <c r="Y444" s="17" t="n">
        <v>46257.8768287037</v>
      </c>
      <c r="Z444" s="18" t="n">
        <f aca="false">IF(I444="",0,IF(ISNUMBER(SEARCH("mp",LOWER(J444))),I444,IF(ISNUMBER(SEARCH("ton",LOWER(J444))),I444/0.33,IF(ISNUMBER(SEARCH("m3",LOWER(J444))),I444*4,I444))))</f>
        <v>85</v>
      </c>
      <c r="AA444" s="18" t="n">
        <f aca="false">IF(I444="",0,IF(ISNUMBER(SEARCH("mp",LOWER(J444))),I444*0.33,IF(ISNUMBER(SEARCH("ton",LOWER(J444))),I444,I444*0.33)))</f>
        <v>28.05</v>
      </c>
      <c r="AB444" s="18" t="n">
        <f aca="false">Tabela_dane[[#This Row],[Wolumen_t]]*8.5</f>
        <v>238.425</v>
      </c>
      <c r="AC444" s="18" t="n">
        <f aca="false">IF(G444&lt;&gt;"TAK",0,IF(OR(E444="ZAKUP",E444="PRODUKCJA"),Z444,IF(OR(E444="SPRZEDAŻ",E444="ZUŻYCIE"),-Z444,0)))</f>
        <v>0</v>
      </c>
      <c r="AD444" s="18" t="n">
        <f aca="false">IF(G444&lt;&gt;"TAK",0,IF(OR(E444="ZAKUP",E444="PRODUKCJA"),AA444,IF(OR(E444="SPRZEDAŻ",E444="ZUŻYCIE"),-AA444,0)))</f>
        <v>0</v>
      </c>
      <c r="AE444" s="19" t="n">
        <f aca="false">IF(E444="ZAKUP",IF(L444&lt;&gt;"",L444,IF(K444&lt;&gt;"",Z444*K444,0)),0)</f>
        <v>3825</v>
      </c>
      <c r="AF444" s="19" t="n">
        <f aca="false">IF(E444="SPRZEDAŻ",IF(M444&lt;&gt;"",Z444*M444,0),0)</f>
        <v>0</v>
      </c>
      <c r="AG444" s="19" t="str">
        <f aca="false">IF(R444="","",IF(LOWER(R444)="brak","Brak",IF(OR(ISNUMBER(SEARCH("ric pl",LOWER(R444))),ISNUMBER(SEARCH("wojciechowski",LOWER(R444)))),"Własny","Zewnętrzny")))</f>
        <v/>
      </c>
      <c r="AH444" s="19" t="n">
        <f aca="false">Z444*Q444</f>
        <v>0</v>
      </c>
      <c r="AI444" s="19" t="str">
        <f aca="false">UPPER(TEXT(C444,"mmmm"))</f>
        <v>AUGUST</v>
      </c>
      <c r="AJ444" s="19" t="str">
        <f aca="false">IF(C444="","",TEXT(C444,"rrrr"))</f>
        <v>CE5786CE5786</v>
      </c>
      <c r="AK444" s="10"/>
      <c r="AL444" s="11" t="n">
        <v>0</v>
      </c>
      <c r="AM444" s="10" t="s">
        <v>833</v>
      </c>
      <c r="AN444" s="10" t="s">
        <v>59</v>
      </c>
      <c r="AO444" s="10"/>
      <c r="AP444" s="10"/>
      <c r="AQ444" s="10"/>
      <c r="AR444" s="10" t="s">
        <v>66</v>
      </c>
      <c r="AS444" s="10"/>
      <c r="AT444" s="15" t="n">
        <v>1</v>
      </c>
    </row>
    <row r="445" customFormat="false" ht="28.5" hidden="false" customHeight="true" outlineLevel="0" collapsed="false">
      <c r="A445" s="12" t="n">
        <v>46253</v>
      </c>
      <c r="B445" s="12"/>
      <c r="C445" s="12" t="n">
        <v>46253</v>
      </c>
      <c r="D445" s="10" t="s">
        <v>54</v>
      </c>
      <c r="E445" s="10" t="s">
        <v>47</v>
      </c>
      <c r="F445" s="13" t="s">
        <v>831</v>
      </c>
      <c r="G445" s="14" t="s">
        <v>49</v>
      </c>
      <c r="H445" s="10" t="s">
        <v>76</v>
      </c>
      <c r="I445" s="15" t="n">
        <v>85</v>
      </c>
      <c r="J445" s="10" t="s">
        <v>51</v>
      </c>
      <c r="K445" s="15" t="n">
        <v>0</v>
      </c>
      <c r="L445" s="11" t="n">
        <v>0</v>
      </c>
      <c r="M445" s="11" t="n">
        <v>0</v>
      </c>
      <c r="N445" s="10" t="s">
        <v>258</v>
      </c>
      <c r="O445" s="10" t="s">
        <v>67</v>
      </c>
      <c r="P445" s="10" t="s">
        <v>53</v>
      </c>
      <c r="Q445" s="16" t="n">
        <v>10</v>
      </c>
      <c r="R445" s="10"/>
      <c r="S445" s="10"/>
      <c r="T445" s="10" t="n">
        <v>0</v>
      </c>
      <c r="U445" s="11" t="n">
        <f aca="false">IF(E445="TRANSPORT",IF(T445="","",T445*5),IF(AL445="","",AL445))</f>
        <v>0</v>
      </c>
      <c r="V445" s="10" t="s">
        <v>54</v>
      </c>
      <c r="W445" s="15" t="s">
        <v>655</v>
      </c>
      <c r="X445" s="15" t="s">
        <v>54</v>
      </c>
      <c r="Y445" s="17" t="n">
        <v>46257.8790625</v>
      </c>
      <c r="Z445" s="18" t="n">
        <f aca="false">IF(I445="",0,IF(ISNUMBER(SEARCH("mp",LOWER(J445))),I445,IF(ISNUMBER(SEARCH("ton",LOWER(J445))),I445/0.33,IF(ISNUMBER(SEARCH("m3",LOWER(J445))),I445*4,I445))))</f>
        <v>85</v>
      </c>
      <c r="AA445" s="18" t="n">
        <f aca="false">IF(I445="",0,IF(ISNUMBER(SEARCH("mp",LOWER(J445))),I445*0.33,IF(ISNUMBER(SEARCH("ton",LOWER(J445))),I445,I445*0.33)))</f>
        <v>28.05</v>
      </c>
      <c r="AB445" s="18" t="n">
        <f aca="false">Tabela_dane[[#This Row],[Wolumen_t]]*8.5</f>
        <v>238.425</v>
      </c>
      <c r="AC445" s="18" t="n">
        <f aca="false">IF(G445&lt;&gt;"TAK",0,IF(OR(E445="ZAKUP",E445="PRODUKCJA"),Z445,IF(OR(E445="SPRZEDAŻ",E445="ZUŻYCIE"),-Z445,0)))</f>
        <v>85</v>
      </c>
      <c r="AD445" s="18" t="n">
        <f aca="false">IF(G445&lt;&gt;"TAK",0,IF(OR(E445="ZAKUP",E445="PRODUKCJA"),AA445,IF(OR(E445="SPRZEDAŻ",E445="ZUŻYCIE"),-AA445,0)))</f>
        <v>28.05</v>
      </c>
      <c r="AE445" s="19" t="n">
        <f aca="false">IF(E445="ZAKUP",IF(L445&lt;&gt;"",L445,IF(K445&lt;&gt;"",Z445*K445,0)),0)</f>
        <v>0</v>
      </c>
      <c r="AF445" s="19" t="n">
        <f aca="false">IF(E445="SPRZEDAŻ",IF(M445&lt;&gt;"",Z445*M445,0),0)</f>
        <v>0</v>
      </c>
      <c r="AG445" s="19" t="str">
        <f aca="false">IF(R445="","",IF(LOWER(R445)="brak","Brak",IF(OR(ISNUMBER(SEARCH("ric pl",LOWER(R445))),ISNUMBER(SEARCH("wojciechowski",LOWER(R445)))),"Własny","Zewnętrzny")))</f>
        <v/>
      </c>
      <c r="AH445" s="19" t="n">
        <f aca="false">Z445*Q445</f>
        <v>850</v>
      </c>
      <c r="AI445" s="19" t="str">
        <f aca="false">UPPER(TEXT(C445,"mmmm"))</f>
        <v>AUGUST</v>
      </c>
      <c r="AJ445" s="19" t="str">
        <f aca="false">IF(C445="","",TEXT(C445,"rrrr"))</f>
        <v>CE5786CE5786</v>
      </c>
      <c r="AK445" s="10"/>
      <c r="AL445" s="11" t="n">
        <v>0</v>
      </c>
      <c r="AM445" s="10" t="s">
        <v>834</v>
      </c>
      <c r="AN445" s="10" t="s">
        <v>59</v>
      </c>
      <c r="AO445" s="10"/>
      <c r="AP445" s="10"/>
      <c r="AQ445" s="10"/>
      <c r="AR445" s="10" t="s">
        <v>66</v>
      </c>
      <c r="AS445" s="10"/>
      <c r="AT445" s="15" t="n">
        <v>1</v>
      </c>
    </row>
    <row r="446" customFormat="false" ht="28.5" hidden="false" customHeight="true" outlineLevel="0" collapsed="false">
      <c r="A446" s="12" t="n">
        <v>46253</v>
      </c>
      <c r="B446" s="12"/>
      <c r="C446" s="12" t="n">
        <v>46253</v>
      </c>
      <c r="D446" s="10" t="s">
        <v>54</v>
      </c>
      <c r="E446" s="10" t="s">
        <v>79</v>
      </c>
      <c r="F446" s="13" t="s">
        <v>831</v>
      </c>
      <c r="G446" s="14" t="s">
        <v>49</v>
      </c>
      <c r="H446" s="10" t="s">
        <v>76</v>
      </c>
      <c r="I446" s="15" t="n">
        <v>85</v>
      </c>
      <c r="J446" s="10" t="s">
        <v>51</v>
      </c>
      <c r="K446" s="15" t="n">
        <v>0</v>
      </c>
      <c r="L446" s="11" t="n">
        <v>0</v>
      </c>
      <c r="M446" s="11" t="n">
        <v>0</v>
      </c>
      <c r="N446" s="10" t="s">
        <v>258</v>
      </c>
      <c r="O446" s="10" t="s">
        <v>67</v>
      </c>
      <c r="P446" s="10" t="s">
        <v>53</v>
      </c>
      <c r="Q446" s="16" t="n">
        <v>10</v>
      </c>
      <c r="R446" s="10"/>
      <c r="S446" s="10"/>
      <c r="T446" s="10" t="n">
        <v>0</v>
      </c>
      <c r="U446" s="11" t="n">
        <f aca="false">IF(E446="TRANSPORT",IF(T446="","",T446*5),IF(AL446="","",AL446))</f>
        <v>0</v>
      </c>
      <c r="V446" s="10" t="s">
        <v>54</v>
      </c>
      <c r="W446" s="15" t="s">
        <v>260</v>
      </c>
      <c r="X446" s="15" t="s">
        <v>54</v>
      </c>
      <c r="Y446" s="17" t="n">
        <v>46257.8790625</v>
      </c>
      <c r="Z446" s="18" t="n">
        <f aca="false">IF(I446="",0,IF(ISNUMBER(SEARCH("mp",LOWER(J446))),I446,IF(ISNUMBER(SEARCH("ton",LOWER(J446))),I446/0.33,IF(ISNUMBER(SEARCH("m3",LOWER(J446))),I446*4,I446))))</f>
        <v>85</v>
      </c>
      <c r="AA446" s="18" t="n">
        <f aca="false">IF(I446="",0,IF(ISNUMBER(SEARCH("mp",LOWER(J446))),I446*0.33,IF(ISNUMBER(SEARCH("ton",LOWER(J446))),I446,I446*0.33)))</f>
        <v>28.05</v>
      </c>
      <c r="AB446" s="18" t="n">
        <f aca="false">Tabela_dane[[#This Row],[Wolumen_t]]*8.5</f>
        <v>238.425</v>
      </c>
      <c r="AC446" s="18" t="n">
        <f aca="false">IF(G446&lt;&gt;"TAK",0,IF(OR(E446="ZAKUP",E446="PRODUKCJA"),Z446,IF(OR(E446="SPRZEDAŻ",E446="ZUŻYCIE"),-Z446,0)))</f>
        <v>-85</v>
      </c>
      <c r="AD446" s="18" t="n">
        <f aca="false">IF(G446&lt;&gt;"TAK",0,IF(OR(E446="ZAKUP",E446="PRODUKCJA"),AA446,IF(OR(E446="SPRZEDAŻ",E446="ZUŻYCIE"),-AA446,0)))</f>
        <v>-28.05</v>
      </c>
      <c r="AE446" s="19" t="n">
        <f aca="false">IF(E446="ZAKUP",IF(L446&lt;&gt;"",L446,IF(K446&lt;&gt;"",Z446*K446,0)),0)</f>
        <v>0</v>
      </c>
      <c r="AF446" s="19" t="n">
        <f aca="false">IF(E446="SPRZEDAŻ",IF(M446&lt;&gt;"",Z446*M446,0),0)</f>
        <v>0</v>
      </c>
      <c r="AG446" s="19" t="str">
        <f aca="false">IF(R446="","",IF(LOWER(R446)="brak","Brak",IF(OR(ISNUMBER(SEARCH("ric pl",LOWER(R446))),ISNUMBER(SEARCH("wojciechowski",LOWER(R446)))),"Własny","Zewnętrzny")))</f>
        <v/>
      </c>
      <c r="AH446" s="19" t="n">
        <f aca="false">Z446*Q446</f>
        <v>850</v>
      </c>
      <c r="AI446" s="19" t="str">
        <f aca="false">UPPER(TEXT(C446,"mmmm"))</f>
        <v>AUGUST</v>
      </c>
      <c r="AJ446" s="19" t="str">
        <f aca="false">IF(C446="","",TEXT(C446,"rrrr"))</f>
        <v>CE5786CE5786</v>
      </c>
      <c r="AK446" s="10"/>
      <c r="AL446" s="11" t="n">
        <v>0</v>
      </c>
      <c r="AM446" s="10" t="s">
        <v>834</v>
      </c>
      <c r="AN446" s="10" t="s">
        <v>59</v>
      </c>
      <c r="AO446" s="10"/>
      <c r="AP446" s="10"/>
      <c r="AQ446" s="10"/>
      <c r="AR446" s="10" t="s">
        <v>81</v>
      </c>
      <c r="AS446" s="10"/>
      <c r="AT446" s="15" t="n">
        <v>1</v>
      </c>
    </row>
    <row r="447" customFormat="false" ht="28.5" hidden="false" customHeight="true" outlineLevel="0" collapsed="false">
      <c r="A447" s="12" t="n">
        <v>46253</v>
      </c>
      <c r="B447" s="12" t="s">
        <v>404</v>
      </c>
      <c r="C447" s="12" t="n">
        <v>46253</v>
      </c>
      <c r="D447" s="10" t="s">
        <v>54</v>
      </c>
      <c r="E447" s="10" t="s">
        <v>63</v>
      </c>
      <c r="F447" s="13" t="s">
        <v>831</v>
      </c>
      <c r="G447" s="14" t="s">
        <v>49</v>
      </c>
      <c r="H447" s="10" t="s">
        <v>76</v>
      </c>
      <c r="I447" s="15" t="n">
        <v>85</v>
      </c>
      <c r="J447" s="10" t="s">
        <v>51</v>
      </c>
      <c r="K447" s="15" t="n">
        <v>0</v>
      </c>
      <c r="L447" s="11" t="n">
        <v>0</v>
      </c>
      <c r="M447" s="11" t="n">
        <v>0</v>
      </c>
      <c r="N447" s="10" t="s">
        <v>258</v>
      </c>
      <c r="O447" s="10" t="s">
        <v>67</v>
      </c>
      <c r="P447" s="10"/>
      <c r="Q447" s="16" t="n">
        <v>0</v>
      </c>
      <c r="R447" s="10" t="s">
        <v>182</v>
      </c>
      <c r="S447" s="10" t="s">
        <v>509</v>
      </c>
      <c r="T447" s="10" t="n">
        <v>182</v>
      </c>
      <c r="U447" s="11" t="n">
        <f aca="false">IF(E447="TRANSPORT",IF(T447="","",T447*5),IF(AL447="","",AL447))</f>
        <v>910</v>
      </c>
      <c r="V447" s="10" t="s">
        <v>54</v>
      </c>
      <c r="W447" s="15" t="s">
        <v>629</v>
      </c>
      <c r="X447" s="15"/>
      <c r="Y447" s="17" t="n">
        <v>46257.8808101852</v>
      </c>
      <c r="Z447" s="18" t="n">
        <f aca="false">IF(I447="",0,IF(ISNUMBER(SEARCH("mp",LOWER(J447))),I447,IF(ISNUMBER(SEARCH("ton",LOWER(J447))),I447/0.33,IF(ISNUMBER(SEARCH("m3",LOWER(J447))),I447*4,I447))))</f>
        <v>85</v>
      </c>
      <c r="AA447" s="18" t="n">
        <f aca="false">IF(I447="",0,IF(ISNUMBER(SEARCH("mp",LOWER(J447))),I447*0.33,IF(ISNUMBER(SEARCH("ton",LOWER(J447))),I447,I447*0.33)))</f>
        <v>28.05</v>
      </c>
      <c r="AB447" s="18" t="n">
        <f aca="false">Tabela_dane[[#This Row],[Wolumen_t]]*8.5</f>
        <v>238.425</v>
      </c>
      <c r="AC447" s="18" t="n">
        <f aca="false">IF(G447&lt;&gt;"TAK",0,IF(OR(E447="ZAKUP",E447="PRODUKCJA"),Z447,IF(OR(E447="SPRZEDAŻ",E447="ZUŻYCIE"),-Z447,0)))</f>
        <v>85</v>
      </c>
      <c r="AD447" s="18" t="n">
        <f aca="false">IF(G447&lt;&gt;"TAK",0,IF(OR(E447="ZAKUP",E447="PRODUKCJA"),AA447,IF(OR(E447="SPRZEDAŻ",E447="ZUŻYCIE"),-AA447,0)))</f>
        <v>28.05</v>
      </c>
      <c r="AE447" s="19" t="n">
        <f aca="false">IF(E447="ZAKUP",IF(L447&lt;&gt;"",L447,IF(K447&lt;&gt;"",Z447*K447,0)),0)</f>
        <v>0</v>
      </c>
      <c r="AF447" s="19" t="n">
        <f aca="false">IF(E447="SPRZEDAŻ",IF(M447&lt;&gt;"",Z447*M447,0),0)</f>
        <v>0</v>
      </c>
      <c r="AG447" s="19" t="str">
        <f aca="false">IF(R447="","",IF(LOWER(R447)="brak","Brak",IF(OR(ISNUMBER(SEARCH("ric pl",LOWER(R447))),ISNUMBER(SEARCH("wojciechowski",LOWER(R447)))),"Własny","Zewnętrzny")))</f>
        <v>Zewnętrzny</v>
      </c>
      <c r="AH447" s="19" t="n">
        <f aca="false">Z447*Q447</f>
        <v>0</v>
      </c>
      <c r="AI447" s="19" t="str">
        <f aca="false">UPPER(TEXT(C447,"mmmm"))</f>
        <v>AUGUST</v>
      </c>
      <c r="AJ447" s="19" t="str">
        <f aca="false">IF(C447="","",TEXT(C447,"rrrr"))</f>
        <v>CE5786CE5786</v>
      </c>
      <c r="AK447" s="10"/>
      <c r="AL447" s="11" t="n">
        <v>910</v>
      </c>
      <c r="AM447" s="10" t="s">
        <v>835</v>
      </c>
      <c r="AN447" s="10" t="s">
        <v>49</v>
      </c>
      <c r="AO447" s="10"/>
      <c r="AP447" s="10"/>
      <c r="AQ447" s="10"/>
      <c r="AR447" s="10" t="s">
        <v>66</v>
      </c>
      <c r="AS447" s="10"/>
      <c r="AT447" s="15" t="n">
        <v>1</v>
      </c>
    </row>
    <row r="448" customFormat="false" ht="48.75" hidden="false" customHeight="true" outlineLevel="0" collapsed="false">
      <c r="A448" s="12" t="n">
        <v>46253</v>
      </c>
      <c r="B448" s="12"/>
      <c r="C448" s="12" t="n">
        <v>46253</v>
      </c>
      <c r="D448" s="10" t="s">
        <v>376</v>
      </c>
      <c r="E448" s="10" t="s">
        <v>63</v>
      </c>
      <c r="F448" s="13" t="s">
        <v>836</v>
      </c>
      <c r="G448" s="14" t="s">
        <v>59</v>
      </c>
      <c r="H448" s="10" t="s">
        <v>76</v>
      </c>
      <c r="I448" s="15" t="n">
        <v>82</v>
      </c>
      <c r="J448" s="10" t="s">
        <v>51</v>
      </c>
      <c r="K448" s="15" t="n">
        <v>45</v>
      </c>
      <c r="L448" s="11" t="n">
        <v>3690</v>
      </c>
      <c r="M448" s="11" t="n">
        <v>0</v>
      </c>
      <c r="N448" s="10" t="s">
        <v>255</v>
      </c>
      <c r="O448" s="10"/>
      <c r="P448" s="10"/>
      <c r="Q448" s="16" t="n">
        <v>0</v>
      </c>
      <c r="R448" s="10"/>
      <c r="S448" s="10"/>
      <c r="T448" s="10" t="n">
        <v>0</v>
      </c>
      <c r="U448" s="11" t="n">
        <f aca="false">IF(E448="TRANSPORT",IF(T448="","",T448*5),IF(AL448="","",AL448))</f>
        <v>0</v>
      </c>
      <c r="V448" s="10" t="s">
        <v>54</v>
      </c>
      <c r="W448" s="15" t="s">
        <v>837</v>
      </c>
      <c r="X448" s="15"/>
      <c r="Y448" s="17" t="n">
        <v>46257.8822916667</v>
      </c>
      <c r="Z448" s="18" t="n">
        <f aca="false">IF(I448="",0,IF(ISNUMBER(SEARCH("mp",LOWER(J448))),I448,IF(ISNUMBER(SEARCH("ton",LOWER(J448))),I448/0.33,IF(ISNUMBER(SEARCH("m3",LOWER(J448))),I448*4,I448))))</f>
        <v>82</v>
      </c>
      <c r="AA448" s="18" t="n">
        <f aca="false">IF(I448="",0,IF(ISNUMBER(SEARCH("mp",LOWER(J448))),I448*0.33,IF(ISNUMBER(SEARCH("ton",LOWER(J448))),I448,I448*0.33)))</f>
        <v>27.06</v>
      </c>
      <c r="AB448" s="18" t="n">
        <f aca="false">Tabela_dane[[#This Row],[Wolumen_t]]*8.5</f>
        <v>230.01</v>
      </c>
      <c r="AC448" s="18" t="n">
        <f aca="false">IF(G448&lt;&gt;"TAK",0,IF(OR(E448="ZAKUP",E448="PRODUKCJA"),Z448,IF(OR(E448="SPRZEDAŻ",E448="ZUŻYCIE"),-Z448,0)))</f>
        <v>0</v>
      </c>
      <c r="AD448" s="18" t="n">
        <f aca="false">IF(G448&lt;&gt;"TAK",0,IF(OR(E448="ZAKUP",E448="PRODUKCJA"),AA448,IF(OR(E448="SPRZEDAŻ",E448="ZUŻYCIE"),-AA448,0)))</f>
        <v>0</v>
      </c>
      <c r="AE448" s="19" t="n">
        <f aca="false">IF(E448="ZAKUP",IF(L448&lt;&gt;"",L448,IF(K448&lt;&gt;"",Z448*K448,0)),0)</f>
        <v>3690</v>
      </c>
      <c r="AF448" s="19" t="n">
        <f aca="false">IF(E448="SPRZEDAŻ",IF(M448&lt;&gt;"",Z448*M448,0),0)</f>
        <v>0</v>
      </c>
      <c r="AG448" s="19" t="str">
        <f aca="false">IF(R448="","",IF(LOWER(R448)="brak","Brak",IF(OR(ISNUMBER(SEARCH("ric pl",LOWER(R448))),ISNUMBER(SEARCH("wojciechowski",LOWER(R448)))),"Własny","Zewnętrzny")))</f>
        <v/>
      </c>
      <c r="AH448" s="19" t="n">
        <f aca="false">Z448*Q448</f>
        <v>0</v>
      </c>
      <c r="AI448" s="19" t="str">
        <f aca="false">UPPER(TEXT(C448,"mmmm"))</f>
        <v>AUGUST</v>
      </c>
      <c r="AJ448" s="19" t="str">
        <f aca="false">IF(C448="","",TEXT(C448,"rrrr"))</f>
        <v>CE5786CE5786</v>
      </c>
      <c r="AK448" s="10"/>
      <c r="AL448" s="11" t="n">
        <v>0</v>
      </c>
      <c r="AM448" s="10" t="s">
        <v>838</v>
      </c>
      <c r="AN448" s="10" t="s">
        <v>59</v>
      </c>
      <c r="AO448" s="10"/>
      <c r="AP448" s="10"/>
      <c r="AQ448" s="10"/>
      <c r="AR448" s="10" t="s">
        <v>66</v>
      </c>
      <c r="AS448" s="10"/>
      <c r="AT448" s="15" t="n">
        <v>1</v>
      </c>
    </row>
    <row r="449" customFormat="false" ht="46.5" hidden="false" customHeight="true" outlineLevel="0" collapsed="false">
      <c r="A449" s="12" t="n">
        <v>46253</v>
      </c>
      <c r="B449" s="12"/>
      <c r="C449" s="12" t="n">
        <v>46253</v>
      </c>
      <c r="D449" s="10" t="s">
        <v>54</v>
      </c>
      <c r="E449" s="10" t="s">
        <v>47</v>
      </c>
      <c r="F449" s="13" t="s">
        <v>836</v>
      </c>
      <c r="G449" s="14" t="s">
        <v>49</v>
      </c>
      <c r="H449" s="10" t="s">
        <v>76</v>
      </c>
      <c r="I449" s="15" t="n">
        <v>82</v>
      </c>
      <c r="J449" s="10" t="s">
        <v>51</v>
      </c>
      <c r="K449" s="15" t="n">
        <v>0</v>
      </c>
      <c r="L449" s="11" t="n">
        <v>0</v>
      </c>
      <c r="M449" s="11" t="n">
        <v>0</v>
      </c>
      <c r="N449" s="10" t="s">
        <v>258</v>
      </c>
      <c r="O449" s="10" t="s">
        <v>67</v>
      </c>
      <c r="P449" s="10" t="s">
        <v>53</v>
      </c>
      <c r="Q449" s="16" t="n">
        <v>10</v>
      </c>
      <c r="R449" s="10"/>
      <c r="S449" s="10"/>
      <c r="T449" s="10" t="n">
        <v>0</v>
      </c>
      <c r="U449" s="11" t="n">
        <f aca="false">IF(E449="TRANSPORT",IF(T449="","",T449*5),IF(AL449="","",AL449))</f>
        <v>0</v>
      </c>
      <c r="V449" s="10" t="s">
        <v>54</v>
      </c>
      <c r="W449" s="15" t="s">
        <v>655</v>
      </c>
      <c r="X449" s="15" t="s">
        <v>54</v>
      </c>
      <c r="Y449" s="17" t="n">
        <v>46257.8840277778</v>
      </c>
      <c r="Z449" s="18" t="n">
        <f aca="false">IF(I449="",0,IF(ISNUMBER(SEARCH("mp",LOWER(J449))),I449,IF(ISNUMBER(SEARCH("ton",LOWER(J449))),I449/0.33,IF(ISNUMBER(SEARCH("m3",LOWER(J449))),I449*4,I449))))</f>
        <v>82</v>
      </c>
      <c r="AA449" s="18" t="n">
        <f aca="false">IF(I449="",0,IF(ISNUMBER(SEARCH("mp",LOWER(J449))),I449*0.33,IF(ISNUMBER(SEARCH("ton",LOWER(J449))),I449,I449*0.33)))</f>
        <v>27.06</v>
      </c>
      <c r="AB449" s="18" t="n">
        <f aca="false">Tabela_dane[[#This Row],[Wolumen_t]]*8.5</f>
        <v>230.01</v>
      </c>
      <c r="AC449" s="18" t="n">
        <f aca="false">IF(G449&lt;&gt;"TAK",0,IF(OR(E449="ZAKUP",E449="PRODUKCJA"),Z449,IF(OR(E449="SPRZEDAŻ",E449="ZUŻYCIE"),-Z449,0)))</f>
        <v>82</v>
      </c>
      <c r="AD449" s="18" t="n">
        <f aca="false">IF(G449&lt;&gt;"TAK",0,IF(OR(E449="ZAKUP",E449="PRODUKCJA"),AA449,IF(OR(E449="SPRZEDAŻ",E449="ZUŻYCIE"),-AA449,0)))</f>
        <v>27.06</v>
      </c>
      <c r="AE449" s="19" t="n">
        <f aca="false">IF(E449="ZAKUP",IF(L449&lt;&gt;"",L449,IF(K449&lt;&gt;"",Z449*K449,0)),0)</f>
        <v>0</v>
      </c>
      <c r="AF449" s="19" t="n">
        <f aca="false">IF(E449="SPRZEDAŻ",IF(M449&lt;&gt;"",Z449*M449,0),0)</f>
        <v>0</v>
      </c>
      <c r="AG449" s="19" t="str">
        <f aca="false">IF(R449="","",IF(LOWER(R449)="brak","Brak",IF(OR(ISNUMBER(SEARCH("ric pl",LOWER(R449))),ISNUMBER(SEARCH("wojciechowski",LOWER(R449)))),"Własny","Zewnętrzny")))</f>
        <v/>
      </c>
      <c r="AH449" s="19" t="n">
        <f aca="false">Z449*Q449</f>
        <v>820</v>
      </c>
      <c r="AI449" s="19" t="str">
        <f aca="false">UPPER(TEXT(C449,"mmmm"))</f>
        <v>AUGUST</v>
      </c>
      <c r="AJ449" s="19" t="str">
        <f aca="false">IF(C449="","",TEXT(C449,"rrrr"))</f>
        <v>CE5786CE5786</v>
      </c>
      <c r="AK449" s="10"/>
      <c r="AL449" s="11" t="n">
        <v>0</v>
      </c>
      <c r="AM449" s="10" t="s">
        <v>839</v>
      </c>
      <c r="AN449" s="10" t="s">
        <v>59</v>
      </c>
      <c r="AO449" s="10"/>
      <c r="AP449" s="10"/>
      <c r="AQ449" s="10"/>
      <c r="AR449" s="10" t="s">
        <v>66</v>
      </c>
      <c r="AS449" s="10"/>
      <c r="AT449" s="15" t="n">
        <v>1</v>
      </c>
    </row>
    <row r="450" customFormat="false" ht="28.5" hidden="false" customHeight="true" outlineLevel="0" collapsed="false">
      <c r="A450" s="12" t="n">
        <v>46253</v>
      </c>
      <c r="B450" s="12"/>
      <c r="C450" s="12" t="n">
        <v>46253</v>
      </c>
      <c r="D450" s="10" t="s">
        <v>54</v>
      </c>
      <c r="E450" s="10" t="s">
        <v>79</v>
      </c>
      <c r="F450" s="13" t="s">
        <v>836</v>
      </c>
      <c r="G450" s="14" t="s">
        <v>49</v>
      </c>
      <c r="H450" s="10" t="s">
        <v>76</v>
      </c>
      <c r="I450" s="15" t="n">
        <v>82</v>
      </c>
      <c r="J450" s="10" t="s">
        <v>51</v>
      </c>
      <c r="K450" s="15" t="n">
        <v>0</v>
      </c>
      <c r="L450" s="11" t="n">
        <v>0</v>
      </c>
      <c r="M450" s="11" t="n">
        <v>0</v>
      </c>
      <c r="N450" s="10" t="s">
        <v>258</v>
      </c>
      <c r="O450" s="10" t="s">
        <v>67</v>
      </c>
      <c r="P450" s="10" t="s">
        <v>53</v>
      </c>
      <c r="Q450" s="16" t="n">
        <v>10</v>
      </c>
      <c r="R450" s="10"/>
      <c r="S450" s="10"/>
      <c r="T450" s="10" t="n">
        <v>0</v>
      </c>
      <c r="U450" s="11" t="n">
        <f aca="false">IF(E450="TRANSPORT",IF(T450="","",T450*5),IF(AL450="","",AL450))</f>
        <v>0</v>
      </c>
      <c r="V450" s="10" t="s">
        <v>54</v>
      </c>
      <c r="W450" s="15" t="s">
        <v>260</v>
      </c>
      <c r="X450" s="15" t="s">
        <v>54</v>
      </c>
      <c r="Y450" s="17" t="n">
        <v>46257.8840277778</v>
      </c>
      <c r="Z450" s="18" t="n">
        <f aca="false">IF(I450="",0,IF(ISNUMBER(SEARCH("mp",LOWER(J450))),I450,IF(ISNUMBER(SEARCH("ton",LOWER(J450))),I450/0.33,IF(ISNUMBER(SEARCH("m3",LOWER(J450))),I450*4,I450))))</f>
        <v>82</v>
      </c>
      <c r="AA450" s="18" t="n">
        <f aca="false">IF(I450="",0,IF(ISNUMBER(SEARCH("mp",LOWER(J450))),I450*0.33,IF(ISNUMBER(SEARCH("ton",LOWER(J450))),I450,I450*0.33)))</f>
        <v>27.06</v>
      </c>
      <c r="AB450" s="18" t="n">
        <f aca="false">Tabela_dane[[#This Row],[Wolumen_t]]*8.5</f>
        <v>230.01</v>
      </c>
      <c r="AC450" s="18" t="n">
        <f aca="false">IF(G450&lt;&gt;"TAK",0,IF(OR(E450="ZAKUP",E450="PRODUKCJA"),Z450,IF(OR(E450="SPRZEDAŻ",E450="ZUŻYCIE"),-Z450,0)))</f>
        <v>-82</v>
      </c>
      <c r="AD450" s="18" t="n">
        <f aca="false">IF(G450&lt;&gt;"TAK",0,IF(OR(E450="ZAKUP",E450="PRODUKCJA"),AA450,IF(OR(E450="SPRZEDAŻ",E450="ZUŻYCIE"),-AA450,0)))</f>
        <v>-27.06</v>
      </c>
      <c r="AE450" s="19" t="n">
        <f aca="false">IF(E450="ZAKUP",IF(L450&lt;&gt;"",L450,IF(K450&lt;&gt;"",Z450*K450,0)),0)</f>
        <v>0</v>
      </c>
      <c r="AF450" s="19" t="n">
        <f aca="false">IF(E450="SPRZEDAŻ",IF(M450&lt;&gt;"",Z450*M450,0),0)</f>
        <v>0</v>
      </c>
      <c r="AG450" s="19" t="str">
        <f aca="false">IF(R450="","",IF(LOWER(R450)="brak","Brak",IF(OR(ISNUMBER(SEARCH("ric pl",LOWER(R450))),ISNUMBER(SEARCH("wojciechowski",LOWER(R450)))),"Własny","Zewnętrzny")))</f>
        <v/>
      </c>
      <c r="AH450" s="19" t="n">
        <f aca="false">Z450*Q450</f>
        <v>820</v>
      </c>
      <c r="AI450" s="19" t="str">
        <f aca="false">UPPER(TEXT(C450,"mmmm"))</f>
        <v>AUGUST</v>
      </c>
      <c r="AJ450" s="19" t="str">
        <f aca="false">IF(C450="","",TEXT(C450,"rrrr"))</f>
        <v>CE5786CE5786</v>
      </c>
      <c r="AK450" s="10"/>
      <c r="AL450" s="11" t="n">
        <v>0</v>
      </c>
      <c r="AM450" s="10" t="s">
        <v>839</v>
      </c>
      <c r="AN450" s="10" t="s">
        <v>59</v>
      </c>
      <c r="AO450" s="10"/>
      <c r="AP450" s="10"/>
      <c r="AQ450" s="10"/>
      <c r="AR450" s="10" t="s">
        <v>81</v>
      </c>
      <c r="AS450" s="10"/>
      <c r="AT450" s="15" t="n">
        <v>1</v>
      </c>
    </row>
    <row r="451" customFormat="false" ht="28.5" hidden="false" customHeight="true" outlineLevel="0" collapsed="false">
      <c r="A451" s="12" t="n">
        <v>46253</v>
      </c>
      <c r="B451" s="12" t="s">
        <v>404</v>
      </c>
      <c r="C451" s="12" t="n">
        <v>46253</v>
      </c>
      <c r="D451" s="10" t="s">
        <v>54</v>
      </c>
      <c r="E451" s="10" t="s">
        <v>63</v>
      </c>
      <c r="F451" s="13" t="s">
        <v>836</v>
      </c>
      <c r="G451" s="14" t="s">
        <v>49</v>
      </c>
      <c r="H451" s="10" t="s">
        <v>76</v>
      </c>
      <c r="I451" s="15" t="n">
        <v>82</v>
      </c>
      <c r="J451" s="10" t="s">
        <v>51</v>
      </c>
      <c r="K451" s="15" t="n">
        <v>0</v>
      </c>
      <c r="L451" s="11" t="n">
        <v>0</v>
      </c>
      <c r="M451" s="11" t="n">
        <v>0</v>
      </c>
      <c r="N451" s="10" t="s">
        <v>258</v>
      </c>
      <c r="O451" s="10" t="s">
        <v>67</v>
      </c>
      <c r="P451" s="10"/>
      <c r="Q451" s="16" t="n">
        <v>0</v>
      </c>
      <c r="R451" s="10" t="s">
        <v>68</v>
      </c>
      <c r="S451" s="10" t="s">
        <v>69</v>
      </c>
      <c r="T451" s="10" t="n">
        <v>182</v>
      </c>
      <c r="U451" s="11" t="n">
        <f aca="false">IF(E451="TRANSPORT",IF(T451="","",T451*5),IF(AL451="","",AL451))</f>
        <v>910</v>
      </c>
      <c r="V451" s="10" t="s">
        <v>54</v>
      </c>
      <c r="W451" s="15" t="s">
        <v>629</v>
      </c>
      <c r="X451" s="15"/>
      <c r="Y451" s="17" t="n">
        <v>46257.8851273148</v>
      </c>
      <c r="Z451" s="18" t="n">
        <f aca="false">IF(I451="",0,IF(ISNUMBER(SEARCH("mp",LOWER(J451))),I451,IF(ISNUMBER(SEARCH("ton",LOWER(J451))),I451/0.33,IF(ISNUMBER(SEARCH("m3",LOWER(J451))),I451*4,I451))))</f>
        <v>82</v>
      </c>
      <c r="AA451" s="18" t="n">
        <f aca="false">IF(I451="",0,IF(ISNUMBER(SEARCH("mp",LOWER(J451))),I451*0.33,IF(ISNUMBER(SEARCH("ton",LOWER(J451))),I451,I451*0.33)))</f>
        <v>27.06</v>
      </c>
      <c r="AB451" s="18" t="n">
        <f aca="false">Tabela_dane[[#This Row],[Wolumen_t]]*8.5</f>
        <v>230.01</v>
      </c>
      <c r="AC451" s="18" t="n">
        <f aca="false">IF(G451&lt;&gt;"TAK",0,IF(OR(E451="ZAKUP",E451="PRODUKCJA"),Z451,IF(OR(E451="SPRZEDAŻ",E451="ZUŻYCIE"),-Z451,0)))</f>
        <v>82</v>
      </c>
      <c r="AD451" s="18" t="n">
        <f aca="false">IF(G451&lt;&gt;"TAK",0,IF(OR(E451="ZAKUP",E451="PRODUKCJA"),AA451,IF(OR(E451="SPRZEDAŻ",E451="ZUŻYCIE"),-AA451,0)))</f>
        <v>27.06</v>
      </c>
      <c r="AE451" s="19" t="n">
        <f aca="false">IF(E451="ZAKUP",IF(L451&lt;&gt;"",L451,IF(K451&lt;&gt;"",Z451*K451,0)),0)</f>
        <v>0</v>
      </c>
      <c r="AF451" s="19" t="n">
        <f aca="false">IF(E451="SPRZEDAŻ",IF(M451&lt;&gt;"",Z451*M451,0),0)</f>
        <v>0</v>
      </c>
      <c r="AG451" s="19" t="str">
        <f aca="false">IF(R451="","",IF(LOWER(R451)="brak","Brak",IF(OR(ISNUMBER(SEARCH("ric pl",LOWER(R451))),ISNUMBER(SEARCH("wojciechowski",LOWER(R451)))),"Własny","Zewnętrzny")))</f>
        <v>Zewnętrzny</v>
      </c>
      <c r="AH451" s="19" t="n">
        <f aca="false">Z451*Q451</f>
        <v>0</v>
      </c>
      <c r="AI451" s="19" t="str">
        <f aca="false">UPPER(TEXT(C451,"mmmm"))</f>
        <v>AUGUST</v>
      </c>
      <c r="AJ451" s="19" t="str">
        <f aca="false">IF(C451="","",TEXT(C451,"rrrr"))</f>
        <v>CE5786CE5786</v>
      </c>
      <c r="AK451" s="10"/>
      <c r="AL451" s="11" t="n">
        <v>910</v>
      </c>
      <c r="AM451" s="10" t="s">
        <v>840</v>
      </c>
      <c r="AN451" s="10" t="s">
        <v>49</v>
      </c>
      <c r="AO451" s="10"/>
      <c r="AP451" s="10"/>
      <c r="AQ451" s="10"/>
      <c r="AR451" s="10" t="s">
        <v>66</v>
      </c>
      <c r="AS451" s="10"/>
      <c r="AT451" s="15" t="n">
        <v>1</v>
      </c>
    </row>
    <row r="452" customFormat="false" ht="28.5" hidden="false" customHeight="true" outlineLevel="0" collapsed="false">
      <c r="A452" s="12" t="n">
        <v>46254</v>
      </c>
      <c r="B452" s="12"/>
      <c r="C452" s="12" t="n">
        <v>46254</v>
      </c>
      <c r="D452" s="10" t="s">
        <v>46</v>
      </c>
      <c r="E452" s="10" t="s">
        <v>63</v>
      </c>
      <c r="F452" s="20" t="s">
        <v>841</v>
      </c>
      <c r="G452" s="14" t="s">
        <v>49</v>
      </c>
      <c r="H452" s="10" t="s">
        <v>76</v>
      </c>
      <c r="I452" s="15" t="n">
        <v>29.05</v>
      </c>
      <c r="J452" s="10" t="s">
        <v>77</v>
      </c>
      <c r="K452" s="15" t="n">
        <v>230</v>
      </c>
      <c r="L452" s="11" t="n">
        <v>6681.5</v>
      </c>
      <c r="M452" s="11" t="n">
        <v>0</v>
      </c>
      <c r="N452" s="10" t="s">
        <v>64</v>
      </c>
      <c r="O452" s="10"/>
      <c r="P452" s="10"/>
      <c r="Q452" s="16" t="n">
        <v>0</v>
      </c>
      <c r="R452" s="10"/>
      <c r="S452" s="10"/>
      <c r="T452" s="10" t="n">
        <v>0</v>
      </c>
      <c r="U452" s="11" t="n">
        <f aca="false">IF(E452="TRANSPORT",IF(T452="","",T452*5),IF(AL452="","",AL452))</f>
        <v>0</v>
      </c>
      <c r="V452" s="10" t="s">
        <v>54</v>
      </c>
      <c r="W452" s="15" t="s">
        <v>842</v>
      </c>
      <c r="X452" s="15"/>
      <c r="Y452" s="17" t="n">
        <v>46257.8870949074</v>
      </c>
      <c r="Z452" s="18" t="n">
        <f aca="false">IF(I452="",0,IF(ISNUMBER(SEARCH("mp",LOWER(J452))),I452,IF(ISNUMBER(SEARCH("ton",LOWER(J452))),I452/0.33,IF(ISNUMBER(SEARCH("m3",LOWER(J452))),I452*4,I452))))</f>
        <v>116.2</v>
      </c>
      <c r="AA452" s="18" t="n">
        <f aca="false">IF(I452="",0,IF(ISNUMBER(SEARCH("mp",LOWER(J452))),I452*0.33,IF(ISNUMBER(SEARCH("ton",LOWER(J452))),I452,I452*0.33)))</f>
        <v>9.5865</v>
      </c>
      <c r="AB452" s="18" t="n">
        <f aca="false">Tabela_dane[[#This Row],[Wolumen_t]]*8.5</f>
        <v>81.48525</v>
      </c>
      <c r="AC452" s="18" t="n">
        <f aca="false">IF(G452&lt;&gt;"TAK",0,IF(OR(E452="ZAKUP",E452="PRODUKCJA"),Z452,IF(OR(E452="SPRZEDAŻ",E452="ZUŻYCIE"),-Z452,0)))</f>
        <v>116.2</v>
      </c>
      <c r="AD452" s="18" t="n">
        <f aca="false">IF(G452&lt;&gt;"TAK",0,IF(OR(E452="ZAKUP",E452="PRODUKCJA"),AA452,IF(OR(E452="SPRZEDAŻ",E452="ZUŻYCIE"),-AA452,0)))</f>
        <v>9.5865</v>
      </c>
      <c r="AE452" s="19" t="n">
        <f aca="false">IF(E452="ZAKUP",IF(L452&lt;&gt;"",L452,IF(K452&lt;&gt;"",Z452*K452,0)),0)</f>
        <v>6681.5</v>
      </c>
      <c r="AF452" s="19" t="n">
        <f aca="false">IF(E452="SPRZEDAŻ",IF(M452&lt;&gt;"",Z452*M452,0),0)</f>
        <v>0</v>
      </c>
      <c r="AG452" s="19" t="str">
        <f aca="false">IF(R452="","",IF(LOWER(R452)="brak","Brak",IF(OR(ISNUMBER(SEARCH("ric pl",LOWER(R452))),ISNUMBER(SEARCH("wojciechowski",LOWER(R452)))),"Własny","Zewnętrzny")))</f>
        <v/>
      </c>
      <c r="AH452" s="19" t="n">
        <f aca="false">Z452*Q452</f>
        <v>0</v>
      </c>
      <c r="AI452" s="19" t="str">
        <f aca="false">UPPER(TEXT(C452,"mmmm"))</f>
        <v>AUGUST</v>
      </c>
      <c r="AJ452" s="19" t="str">
        <f aca="false">IF(C452="","",TEXT(C452,"rrrr"))</f>
        <v>CE5786CE5786</v>
      </c>
      <c r="AK452" s="10"/>
      <c r="AL452" s="11" t="n">
        <v>0</v>
      </c>
      <c r="AM452" s="10" t="s">
        <v>843</v>
      </c>
      <c r="AN452" s="10" t="s">
        <v>59</v>
      </c>
      <c r="AO452" s="10"/>
      <c r="AP452" s="10"/>
      <c r="AQ452" s="10"/>
      <c r="AR452" s="10" t="s">
        <v>66</v>
      </c>
      <c r="AS452" s="10"/>
      <c r="AT452" s="15" t="n">
        <v>1</v>
      </c>
    </row>
    <row r="453" customFormat="false" ht="63.75" hidden="false" customHeight="true" outlineLevel="0" collapsed="false">
      <c r="A453" s="12" t="n">
        <v>46254</v>
      </c>
      <c r="B453" s="12"/>
      <c r="C453" s="12" t="n">
        <v>46254</v>
      </c>
      <c r="D453" s="10" t="s">
        <v>124</v>
      </c>
      <c r="E453" s="10" t="s">
        <v>63</v>
      </c>
      <c r="F453" s="13" t="s">
        <v>844</v>
      </c>
      <c r="G453" s="14" t="s">
        <v>49</v>
      </c>
      <c r="H453" s="10" t="s">
        <v>76</v>
      </c>
      <c r="I453" s="34" t="n">
        <v>90</v>
      </c>
      <c r="J453" s="10" t="s">
        <v>51</v>
      </c>
      <c r="K453" s="34" t="n">
        <v>105</v>
      </c>
      <c r="L453" s="11" t="n">
        <v>6198.5</v>
      </c>
      <c r="M453" s="11" t="n">
        <v>0</v>
      </c>
      <c r="N453" s="10" t="s">
        <v>104</v>
      </c>
      <c r="O453" s="10" t="s">
        <v>67</v>
      </c>
      <c r="P453" s="10"/>
      <c r="Q453" s="16" t="n">
        <v>0</v>
      </c>
      <c r="R453" s="10"/>
      <c r="S453" s="10"/>
      <c r="T453" s="10" t="n">
        <v>0</v>
      </c>
      <c r="U453" s="11" t="n">
        <f aca="false">IF(E453="TRANSPORT",IF(T453="","",T453*5),IF(AL453="","",AL453))</f>
        <v>0</v>
      </c>
      <c r="V453" s="10" t="s">
        <v>54</v>
      </c>
      <c r="W453" s="15" t="s">
        <v>845</v>
      </c>
      <c r="X453" s="15"/>
      <c r="Y453" s="17" t="n">
        <v>46257.8931481482</v>
      </c>
      <c r="Z453" s="18" t="n">
        <f aca="false">IF(I453="",0,IF(ISNUMBER(SEARCH("mp",LOWER(J453))),I453,IF(ISNUMBER(SEARCH("ton",LOWER(J453))),I453/0.33,IF(ISNUMBER(SEARCH("m3",LOWER(J453))),I453*4,I453))))</f>
        <v>90</v>
      </c>
      <c r="AA453" s="18" t="n">
        <f aca="false">IF(I453="",0,IF(ISNUMBER(SEARCH("mp",LOWER(J453))),I453*0.33,IF(ISNUMBER(SEARCH("ton",LOWER(J453))),I453,I453*0.33)))</f>
        <v>29.7</v>
      </c>
      <c r="AB453" s="18" t="n">
        <f aca="false">Tabela_dane[[#This Row],[Wolumen_t]]*8.5</f>
        <v>252.45</v>
      </c>
      <c r="AC453" s="18" t="n">
        <f aca="false">IF(G453&lt;&gt;"TAK",0,IF(OR(E453="ZAKUP",E453="PRODUKCJA"),Z453,IF(OR(E453="SPRZEDAŻ",E453="ZUŻYCIE"),-Z453,0)))</f>
        <v>90</v>
      </c>
      <c r="AD453" s="18" t="n">
        <f aca="false">IF(G453&lt;&gt;"TAK",0,IF(OR(E453="ZAKUP",E453="PRODUKCJA"),AA453,IF(OR(E453="SPRZEDAŻ",E453="ZUŻYCIE"),-AA453,0)))</f>
        <v>29.7</v>
      </c>
      <c r="AE453" s="19" t="n">
        <f aca="false">IF(E453="ZAKUP",IF(L453&lt;&gt;"",L453,IF(K453&lt;&gt;"",Z453*K453,0)),0)</f>
        <v>6198.5</v>
      </c>
      <c r="AF453" s="19" t="n">
        <f aca="false">IF(E453="SPRZEDAŻ",IF(M453&lt;&gt;"",Z453*M453,0),0)</f>
        <v>0</v>
      </c>
      <c r="AG453" s="19" t="str">
        <f aca="false">IF(R453="","",IF(LOWER(R453)="brak","Brak",IF(OR(ISNUMBER(SEARCH("ric pl",LOWER(R453))),ISNUMBER(SEARCH("wojciechowski",LOWER(R453)))),"Własny","Zewnętrzny")))</f>
        <v/>
      </c>
      <c r="AH453" s="19" t="n">
        <f aca="false">Z453*Q453</f>
        <v>0</v>
      </c>
      <c r="AI453" s="19" t="str">
        <f aca="false">UPPER(TEXT(C453,"mmmm"))</f>
        <v>AUGUST</v>
      </c>
      <c r="AJ453" s="19" t="str">
        <f aca="false">IF(C453="","",TEXT(C453,"rrrr"))</f>
        <v>CE5786CE5786</v>
      </c>
      <c r="AK453" s="10"/>
      <c r="AL453" s="11" t="n">
        <v>0</v>
      </c>
      <c r="AM453" s="10" t="s">
        <v>846</v>
      </c>
      <c r="AN453" s="10" t="s">
        <v>59</v>
      </c>
      <c r="AO453" s="10"/>
      <c r="AP453" s="10"/>
      <c r="AQ453" s="10"/>
      <c r="AR453" s="10" t="s">
        <v>66</v>
      </c>
      <c r="AS453" s="10"/>
      <c r="AT453" s="15" t="n">
        <v>1</v>
      </c>
    </row>
    <row r="454" customFormat="false" ht="28.5" hidden="false" customHeight="true" outlineLevel="0" collapsed="false">
      <c r="A454" s="12" t="n">
        <v>46254</v>
      </c>
      <c r="B454" s="12"/>
      <c r="C454" s="12" t="n">
        <v>46254</v>
      </c>
      <c r="D454" s="10" t="s">
        <v>376</v>
      </c>
      <c r="E454" s="10" t="s">
        <v>63</v>
      </c>
      <c r="F454" s="13" t="s">
        <v>847</v>
      </c>
      <c r="G454" s="14" t="s">
        <v>59</v>
      </c>
      <c r="H454" s="10" t="s">
        <v>76</v>
      </c>
      <c r="I454" s="15" t="n">
        <v>55</v>
      </c>
      <c r="J454" s="10" t="s">
        <v>51</v>
      </c>
      <c r="K454" s="15" t="n">
        <v>45</v>
      </c>
      <c r="L454" s="11" t="n">
        <v>2475</v>
      </c>
      <c r="M454" s="11" t="n">
        <v>0</v>
      </c>
      <c r="N454" s="10" t="s">
        <v>255</v>
      </c>
      <c r="O454" s="10"/>
      <c r="P454" s="10"/>
      <c r="Q454" s="16" t="n">
        <v>0</v>
      </c>
      <c r="R454" s="10"/>
      <c r="S454" s="10"/>
      <c r="T454" s="10" t="n">
        <v>0</v>
      </c>
      <c r="U454" s="11" t="n">
        <f aca="false">IF(E454="TRANSPORT",IF(T454="","",T454*5),IF(AL454="","",AL454))</f>
        <v>0</v>
      </c>
      <c r="V454" s="10" t="s">
        <v>54</v>
      </c>
      <c r="W454" s="15" t="s">
        <v>848</v>
      </c>
      <c r="X454" s="15"/>
      <c r="Y454" s="17" t="n">
        <v>46257.8958217593</v>
      </c>
      <c r="Z454" s="18" t="n">
        <f aca="false">IF(I454="",0,IF(ISNUMBER(SEARCH("mp",LOWER(J454))),I454,IF(ISNUMBER(SEARCH("ton",LOWER(J454))),I454/0.33,IF(ISNUMBER(SEARCH("m3",LOWER(J454))),I454*4,I454))))</f>
        <v>55</v>
      </c>
      <c r="AA454" s="18" t="n">
        <f aca="false">IF(I454="",0,IF(ISNUMBER(SEARCH("mp",LOWER(J454))),I454*0.33,IF(ISNUMBER(SEARCH("ton",LOWER(J454))),I454,I454*0.33)))</f>
        <v>18.15</v>
      </c>
      <c r="AB454" s="18" t="n">
        <f aca="false">Tabela_dane[[#This Row],[Wolumen_t]]*8.5</f>
        <v>154.275</v>
      </c>
      <c r="AC454" s="18" t="n">
        <f aca="false">IF(G454&lt;&gt;"TAK",0,IF(OR(E454="ZAKUP",E454="PRODUKCJA"),Z454,IF(OR(E454="SPRZEDAŻ",E454="ZUŻYCIE"),-Z454,0)))</f>
        <v>0</v>
      </c>
      <c r="AD454" s="18" t="n">
        <f aca="false">IF(G454&lt;&gt;"TAK",0,IF(OR(E454="ZAKUP",E454="PRODUKCJA"),AA454,IF(OR(E454="SPRZEDAŻ",E454="ZUŻYCIE"),-AA454,0)))</f>
        <v>0</v>
      </c>
      <c r="AE454" s="19" t="n">
        <f aca="false">IF(E454="ZAKUP",IF(L454&lt;&gt;"",L454,IF(K454&lt;&gt;"",Z454*K454,0)),0)</f>
        <v>2475</v>
      </c>
      <c r="AF454" s="19" t="n">
        <f aca="false">IF(E454="SPRZEDAŻ",IF(M454&lt;&gt;"",Z454*M454,0),0)</f>
        <v>0</v>
      </c>
      <c r="AG454" s="19" t="str">
        <f aca="false">IF(R454="","",IF(LOWER(R454)="brak","Brak",IF(OR(ISNUMBER(SEARCH("ric pl",LOWER(R454))),ISNUMBER(SEARCH("wojciechowski",LOWER(R454)))),"Własny","Zewnętrzny")))</f>
        <v/>
      </c>
      <c r="AH454" s="19" t="n">
        <f aca="false">Z454*Q454</f>
        <v>0</v>
      </c>
      <c r="AI454" s="19" t="str">
        <f aca="false">UPPER(TEXT(C454,"mmmm"))</f>
        <v>AUGUST</v>
      </c>
      <c r="AJ454" s="19" t="str">
        <f aca="false">IF(C454="","",TEXT(C454,"rrrr"))</f>
        <v>CE5786CE5786</v>
      </c>
      <c r="AK454" s="10"/>
      <c r="AL454" s="11" t="n">
        <v>0</v>
      </c>
      <c r="AM454" s="10" t="s">
        <v>849</v>
      </c>
      <c r="AN454" s="10" t="s">
        <v>59</v>
      </c>
      <c r="AO454" s="10"/>
      <c r="AP454" s="10"/>
      <c r="AQ454" s="10"/>
      <c r="AR454" s="10" t="s">
        <v>66</v>
      </c>
      <c r="AS454" s="10"/>
      <c r="AT454" s="15" t="n">
        <v>1</v>
      </c>
    </row>
    <row r="455" customFormat="false" ht="28.5" hidden="false" customHeight="true" outlineLevel="0" collapsed="false">
      <c r="A455" s="12" t="n">
        <v>46254</v>
      </c>
      <c r="B455" s="12"/>
      <c r="C455" s="12" t="n">
        <v>46254</v>
      </c>
      <c r="D455" s="10" t="s">
        <v>54</v>
      </c>
      <c r="E455" s="10" t="s">
        <v>47</v>
      </c>
      <c r="F455" s="13" t="s">
        <v>847</v>
      </c>
      <c r="G455" s="14" t="s">
        <v>49</v>
      </c>
      <c r="H455" s="10" t="s">
        <v>76</v>
      </c>
      <c r="I455" s="15" t="n">
        <v>55</v>
      </c>
      <c r="J455" s="10" t="s">
        <v>51</v>
      </c>
      <c r="K455" s="15" t="n">
        <v>0</v>
      </c>
      <c r="L455" s="11" t="n">
        <v>0</v>
      </c>
      <c r="M455" s="11" t="n">
        <v>0</v>
      </c>
      <c r="N455" s="10" t="s">
        <v>258</v>
      </c>
      <c r="O455" s="10" t="s">
        <v>67</v>
      </c>
      <c r="P455" s="10" t="s">
        <v>53</v>
      </c>
      <c r="Q455" s="16" t="n">
        <v>10</v>
      </c>
      <c r="R455" s="10"/>
      <c r="S455" s="10"/>
      <c r="T455" s="10" t="n">
        <v>0</v>
      </c>
      <c r="U455" s="11" t="n">
        <f aca="false">IF(E455="TRANSPORT",IF(T455="","",T455*5),IF(AL455="","",AL455))</f>
        <v>0</v>
      </c>
      <c r="V455" s="10" t="s">
        <v>54</v>
      </c>
      <c r="W455" s="15" t="s">
        <v>655</v>
      </c>
      <c r="X455" s="15" t="s">
        <v>54</v>
      </c>
      <c r="Y455" s="17" t="n">
        <v>46257.896724537</v>
      </c>
      <c r="Z455" s="18" t="n">
        <f aca="false">IF(I455="",0,IF(ISNUMBER(SEARCH("mp",LOWER(J455))),I455,IF(ISNUMBER(SEARCH("ton",LOWER(J455))),I455/0.33,IF(ISNUMBER(SEARCH("m3",LOWER(J455))),I455*4,I455))))</f>
        <v>55</v>
      </c>
      <c r="AA455" s="18" t="n">
        <f aca="false">IF(I455="",0,IF(ISNUMBER(SEARCH("mp",LOWER(J455))),I455*0.33,IF(ISNUMBER(SEARCH("ton",LOWER(J455))),I455,I455*0.33)))</f>
        <v>18.15</v>
      </c>
      <c r="AB455" s="18" t="n">
        <f aca="false">Tabela_dane[[#This Row],[Wolumen_t]]*8.5</f>
        <v>154.275</v>
      </c>
      <c r="AC455" s="18" t="n">
        <f aca="false">IF(G455&lt;&gt;"TAK",0,IF(OR(E455="ZAKUP",E455="PRODUKCJA"),Z455,IF(OR(E455="SPRZEDAŻ",E455="ZUŻYCIE"),-Z455,0)))</f>
        <v>55</v>
      </c>
      <c r="AD455" s="18" t="n">
        <f aca="false">IF(G455&lt;&gt;"TAK",0,IF(OR(E455="ZAKUP",E455="PRODUKCJA"),AA455,IF(OR(E455="SPRZEDAŻ",E455="ZUŻYCIE"),-AA455,0)))</f>
        <v>18.15</v>
      </c>
      <c r="AE455" s="19" t="n">
        <f aca="false">IF(E455="ZAKUP",IF(L455&lt;&gt;"",L455,IF(K455&lt;&gt;"",Z455*K455,0)),0)</f>
        <v>0</v>
      </c>
      <c r="AF455" s="19" t="n">
        <f aca="false">IF(E455="SPRZEDAŻ",IF(M455&lt;&gt;"",Z455*M455,0),0)</f>
        <v>0</v>
      </c>
      <c r="AG455" s="19" t="str">
        <f aca="false">IF(R455="","",IF(LOWER(R455)="brak","Brak",IF(OR(ISNUMBER(SEARCH("ric pl",LOWER(R455))),ISNUMBER(SEARCH("wojciechowski",LOWER(R455)))),"Własny","Zewnętrzny")))</f>
        <v/>
      </c>
      <c r="AH455" s="19" t="n">
        <f aca="false">Z455*Q455</f>
        <v>550</v>
      </c>
      <c r="AI455" s="19" t="str">
        <f aca="false">UPPER(TEXT(C455,"mmmm"))</f>
        <v>AUGUST</v>
      </c>
      <c r="AJ455" s="19" t="str">
        <f aca="false">IF(C455="","",TEXT(C455,"rrrr"))</f>
        <v>CE5786CE5786</v>
      </c>
      <c r="AK455" s="10"/>
      <c r="AL455" s="11" t="n">
        <v>0</v>
      </c>
      <c r="AM455" s="10" t="s">
        <v>850</v>
      </c>
      <c r="AN455" s="10" t="s">
        <v>59</v>
      </c>
      <c r="AO455" s="10"/>
      <c r="AP455" s="10"/>
      <c r="AQ455" s="10"/>
      <c r="AR455" s="10" t="s">
        <v>66</v>
      </c>
      <c r="AS455" s="10"/>
      <c r="AT455" s="15" t="n">
        <v>1</v>
      </c>
    </row>
    <row r="456" customFormat="false" ht="28.5" hidden="false" customHeight="true" outlineLevel="0" collapsed="false">
      <c r="A456" s="12" t="n">
        <v>46254</v>
      </c>
      <c r="B456" s="12"/>
      <c r="C456" s="12" t="n">
        <v>46254</v>
      </c>
      <c r="D456" s="10" t="s">
        <v>54</v>
      </c>
      <c r="E456" s="10" t="s">
        <v>79</v>
      </c>
      <c r="F456" s="13" t="s">
        <v>847</v>
      </c>
      <c r="G456" s="14" t="s">
        <v>49</v>
      </c>
      <c r="H456" s="10" t="s">
        <v>76</v>
      </c>
      <c r="I456" s="15" t="n">
        <v>55</v>
      </c>
      <c r="J456" s="10" t="s">
        <v>51</v>
      </c>
      <c r="K456" s="15" t="n">
        <v>0</v>
      </c>
      <c r="L456" s="11" t="n">
        <v>0</v>
      </c>
      <c r="M456" s="11" t="n">
        <v>0</v>
      </c>
      <c r="N456" s="10" t="s">
        <v>258</v>
      </c>
      <c r="O456" s="10" t="s">
        <v>67</v>
      </c>
      <c r="P456" s="10" t="s">
        <v>53</v>
      </c>
      <c r="Q456" s="16" t="n">
        <v>10</v>
      </c>
      <c r="R456" s="10"/>
      <c r="S456" s="10"/>
      <c r="T456" s="10" t="n">
        <v>0</v>
      </c>
      <c r="U456" s="11" t="n">
        <f aca="false">IF(E456="TRANSPORT",IF(T456="","",T456*5),IF(AL456="","",AL456))</f>
        <v>0</v>
      </c>
      <c r="V456" s="10" t="s">
        <v>54</v>
      </c>
      <c r="W456" s="15" t="s">
        <v>260</v>
      </c>
      <c r="X456" s="15" t="s">
        <v>54</v>
      </c>
      <c r="Y456" s="17" t="n">
        <v>46257.896724537</v>
      </c>
      <c r="Z456" s="18" t="n">
        <f aca="false">IF(I456="",0,IF(ISNUMBER(SEARCH("mp",LOWER(J456))),I456,IF(ISNUMBER(SEARCH("ton",LOWER(J456))),I456/0.33,IF(ISNUMBER(SEARCH("m3",LOWER(J456))),I456*4,I456))))</f>
        <v>55</v>
      </c>
      <c r="AA456" s="18" t="n">
        <f aca="false">IF(I456="",0,IF(ISNUMBER(SEARCH("mp",LOWER(J456))),I456*0.33,IF(ISNUMBER(SEARCH("ton",LOWER(J456))),I456,I456*0.33)))</f>
        <v>18.15</v>
      </c>
      <c r="AB456" s="18" t="n">
        <f aca="false">Tabela_dane[[#This Row],[Wolumen_t]]*8.5</f>
        <v>154.275</v>
      </c>
      <c r="AC456" s="18" t="n">
        <f aca="false">IF(G456&lt;&gt;"TAK",0,IF(OR(E456="ZAKUP",E456="PRODUKCJA"),Z456,IF(OR(E456="SPRZEDAŻ",E456="ZUŻYCIE"),-Z456,0)))</f>
        <v>-55</v>
      </c>
      <c r="AD456" s="18" t="n">
        <f aca="false">IF(G456&lt;&gt;"TAK",0,IF(OR(E456="ZAKUP",E456="PRODUKCJA"),AA456,IF(OR(E456="SPRZEDAŻ",E456="ZUŻYCIE"),-AA456,0)))</f>
        <v>-18.15</v>
      </c>
      <c r="AE456" s="19" t="n">
        <f aca="false">IF(E456="ZAKUP",IF(L456&lt;&gt;"",L456,IF(K456&lt;&gt;"",Z456*K456,0)),0)</f>
        <v>0</v>
      </c>
      <c r="AF456" s="19" t="n">
        <f aca="false">IF(E456="SPRZEDAŻ",IF(M456&lt;&gt;"",Z456*M456,0),0)</f>
        <v>0</v>
      </c>
      <c r="AG456" s="19" t="str">
        <f aca="false">IF(R456="","",IF(LOWER(R456)="brak","Brak",IF(OR(ISNUMBER(SEARCH("ric pl",LOWER(R456))),ISNUMBER(SEARCH("wojciechowski",LOWER(R456)))),"Własny","Zewnętrzny")))</f>
        <v/>
      </c>
      <c r="AH456" s="19" t="n">
        <f aca="false">Z456*Q456</f>
        <v>550</v>
      </c>
      <c r="AI456" s="19" t="str">
        <f aca="false">UPPER(TEXT(C456,"mmmm"))</f>
        <v>AUGUST</v>
      </c>
      <c r="AJ456" s="19" t="str">
        <f aca="false">IF(C456="","",TEXT(C456,"rrrr"))</f>
        <v>CE5786CE5786</v>
      </c>
      <c r="AK456" s="10"/>
      <c r="AL456" s="11" t="n">
        <v>0</v>
      </c>
      <c r="AM456" s="10" t="s">
        <v>850</v>
      </c>
      <c r="AN456" s="10" t="s">
        <v>59</v>
      </c>
      <c r="AO456" s="10"/>
      <c r="AP456" s="10"/>
      <c r="AQ456" s="10"/>
      <c r="AR456" s="10" t="s">
        <v>81</v>
      </c>
      <c r="AS456" s="10"/>
      <c r="AT456" s="15" t="n">
        <v>1</v>
      </c>
    </row>
    <row r="457" customFormat="false" ht="28.5" hidden="false" customHeight="true" outlineLevel="0" collapsed="false">
      <c r="A457" s="12" t="n">
        <v>46254</v>
      </c>
      <c r="B457" s="12" t="s">
        <v>404</v>
      </c>
      <c r="C457" s="12" t="n">
        <v>46254</v>
      </c>
      <c r="D457" s="10" t="s">
        <v>54</v>
      </c>
      <c r="E457" s="10" t="s">
        <v>63</v>
      </c>
      <c r="F457" s="13" t="s">
        <v>847</v>
      </c>
      <c r="G457" s="14" t="s">
        <v>49</v>
      </c>
      <c r="H457" s="10" t="s">
        <v>76</v>
      </c>
      <c r="I457" s="15" t="n">
        <v>55</v>
      </c>
      <c r="J457" s="10" t="s">
        <v>51</v>
      </c>
      <c r="K457" s="15" t="n">
        <v>0</v>
      </c>
      <c r="L457" s="11" t="n">
        <v>0</v>
      </c>
      <c r="M457" s="11" t="n">
        <v>0</v>
      </c>
      <c r="N457" s="10" t="s">
        <v>258</v>
      </c>
      <c r="O457" s="10" t="s">
        <v>67</v>
      </c>
      <c r="P457" s="10"/>
      <c r="Q457" s="16" t="n">
        <v>0</v>
      </c>
      <c r="R457" s="10" t="s">
        <v>46</v>
      </c>
      <c r="S457" s="10" t="s">
        <v>851</v>
      </c>
      <c r="T457" s="10" t="n">
        <v>182</v>
      </c>
      <c r="U457" s="11" t="n">
        <f aca="false">IF(E457="TRANSPORT",IF(T457="","",T457*5),IF(AL457="","",AL457))</f>
        <v>0</v>
      </c>
      <c r="V457" s="10" t="s">
        <v>54</v>
      </c>
      <c r="W457" s="51" t="s">
        <v>852</v>
      </c>
      <c r="X457" s="15"/>
      <c r="Y457" s="17" t="n">
        <v>46257.8982523148</v>
      </c>
      <c r="Z457" s="18" t="n">
        <f aca="false">IF(I457="",0,IF(ISNUMBER(SEARCH("mp",LOWER(J457))),I457,IF(ISNUMBER(SEARCH("ton",LOWER(J457))),I457/0.33,IF(ISNUMBER(SEARCH("m3",LOWER(J457))),I457*4,I457))))</f>
        <v>55</v>
      </c>
      <c r="AA457" s="18" t="n">
        <f aca="false">IF(I457="",0,IF(ISNUMBER(SEARCH("mp",LOWER(J457))),I457*0.33,IF(ISNUMBER(SEARCH("ton",LOWER(J457))),I457,I457*0.33)))</f>
        <v>18.15</v>
      </c>
      <c r="AB457" s="18" t="n">
        <f aca="false">Tabela_dane[[#This Row],[Wolumen_t]]*8.5</f>
        <v>154.275</v>
      </c>
      <c r="AC457" s="18" t="n">
        <f aca="false">IF(G457&lt;&gt;"TAK",0,IF(OR(E457="ZAKUP",E457="PRODUKCJA"),Z457,IF(OR(E457="SPRZEDAŻ",E457="ZUŻYCIE"),-Z457,0)))</f>
        <v>55</v>
      </c>
      <c r="AD457" s="18" t="n">
        <f aca="false">IF(G457&lt;&gt;"TAK",0,IF(OR(E457="ZAKUP",E457="PRODUKCJA"),AA457,IF(OR(E457="SPRZEDAŻ",E457="ZUŻYCIE"),-AA457,0)))</f>
        <v>18.15</v>
      </c>
      <c r="AE457" s="19" t="n">
        <f aca="false">IF(E457="ZAKUP",IF(L457&lt;&gt;"",L457,IF(K457&lt;&gt;"",Z457*K457,0)),0)</f>
        <v>0</v>
      </c>
      <c r="AF457" s="19" t="n">
        <f aca="false">IF(E457="SPRZEDAŻ",IF(M457&lt;&gt;"",Z457*M457,0),0)</f>
        <v>0</v>
      </c>
      <c r="AG457" s="19" t="str">
        <f aca="false">IF(R457="","",IF(LOWER(R457)="brak","Brak",IF(OR(ISNUMBER(SEARCH("ric pl",LOWER(R457))),ISNUMBER(SEARCH("wojciechowski",LOWER(R457)))),"Własny","Zewnętrzny")))</f>
        <v>Zewnętrzny</v>
      </c>
      <c r="AH457" s="19" t="n">
        <f aca="false">Z457*Q457</f>
        <v>0</v>
      </c>
      <c r="AI457" s="19" t="str">
        <f aca="false">UPPER(TEXT(C457,"mmmm"))</f>
        <v>AUGUST</v>
      </c>
      <c r="AJ457" s="19" t="str">
        <f aca="false">IF(C457="","",TEXT(C457,"rrrr"))</f>
        <v>CE5786CE5786</v>
      </c>
      <c r="AK457" s="10"/>
      <c r="AL457" s="11" t="n">
        <v>0</v>
      </c>
      <c r="AM457" s="10" t="s">
        <v>853</v>
      </c>
      <c r="AN457" s="10" t="s">
        <v>49</v>
      </c>
      <c r="AO457" s="10"/>
      <c r="AP457" s="10"/>
      <c r="AQ457" s="10"/>
      <c r="AR457" s="10" t="s">
        <v>66</v>
      </c>
      <c r="AS457" s="10"/>
      <c r="AT457" s="15" t="n">
        <v>1</v>
      </c>
    </row>
    <row r="458" customFormat="false" ht="28.5" hidden="false" customHeight="true" outlineLevel="0" collapsed="false">
      <c r="A458" s="12" t="n">
        <v>46254</v>
      </c>
      <c r="B458" s="12"/>
      <c r="C458" s="12" t="n">
        <v>46254</v>
      </c>
      <c r="D458" s="10" t="s">
        <v>376</v>
      </c>
      <c r="E458" s="10" t="s">
        <v>63</v>
      </c>
      <c r="F458" s="13" t="s">
        <v>854</v>
      </c>
      <c r="G458" s="14" t="s">
        <v>59</v>
      </c>
      <c r="H458" s="10" t="s">
        <v>76</v>
      </c>
      <c r="I458" s="15" t="n">
        <v>55</v>
      </c>
      <c r="J458" s="10" t="s">
        <v>51</v>
      </c>
      <c r="K458" s="15" t="n">
        <v>45</v>
      </c>
      <c r="L458" s="11" t="n">
        <v>2475</v>
      </c>
      <c r="M458" s="11" t="n">
        <v>0</v>
      </c>
      <c r="N458" s="10" t="s">
        <v>255</v>
      </c>
      <c r="O458" s="10"/>
      <c r="P458" s="10"/>
      <c r="Q458" s="16" t="n">
        <v>0</v>
      </c>
      <c r="R458" s="10"/>
      <c r="S458" s="10"/>
      <c r="T458" s="10" t="n">
        <v>0</v>
      </c>
      <c r="U458" s="11" t="n">
        <f aca="false">IF(E458="TRANSPORT",IF(T458="","",T458*5),IF(AL458="","",AL458))</f>
        <v>0</v>
      </c>
      <c r="V458" s="10" t="s">
        <v>54</v>
      </c>
      <c r="W458" s="15" t="s">
        <v>855</v>
      </c>
      <c r="X458" s="15"/>
      <c r="Y458" s="17" t="n">
        <v>46257.9013425926</v>
      </c>
      <c r="Z458" s="18" t="n">
        <f aca="false">IF(I458="",0,IF(ISNUMBER(SEARCH("mp",LOWER(J458))),I458,IF(ISNUMBER(SEARCH("ton",LOWER(J458))),I458/0.33,IF(ISNUMBER(SEARCH("m3",LOWER(J458))),I458*4,I458))))</f>
        <v>55</v>
      </c>
      <c r="AA458" s="18" t="n">
        <f aca="false">IF(I458="",0,IF(ISNUMBER(SEARCH("mp",LOWER(J458))),I458*0.33,IF(ISNUMBER(SEARCH("ton",LOWER(J458))),I458,I458*0.33)))</f>
        <v>18.15</v>
      </c>
      <c r="AB458" s="18" t="n">
        <f aca="false">Tabela_dane[[#This Row],[Wolumen_t]]*8.5</f>
        <v>154.275</v>
      </c>
      <c r="AC458" s="18" t="n">
        <f aca="false">IF(G458&lt;&gt;"TAK",0,IF(OR(E458="ZAKUP",E458="PRODUKCJA"),Z458,IF(OR(E458="SPRZEDAŻ",E458="ZUŻYCIE"),-Z458,0)))</f>
        <v>0</v>
      </c>
      <c r="AD458" s="18" t="n">
        <f aca="false">IF(G458&lt;&gt;"TAK",0,IF(OR(E458="ZAKUP",E458="PRODUKCJA"),AA458,IF(OR(E458="SPRZEDAŻ",E458="ZUŻYCIE"),-AA458,0)))</f>
        <v>0</v>
      </c>
      <c r="AE458" s="19" t="n">
        <f aca="false">IF(E458="ZAKUP",IF(L458&lt;&gt;"",L458,IF(K458&lt;&gt;"",Z458*K458,0)),0)</f>
        <v>2475</v>
      </c>
      <c r="AF458" s="19" t="n">
        <f aca="false">IF(E458="SPRZEDAŻ",IF(M458&lt;&gt;"",Z458*M458,0),0)</f>
        <v>0</v>
      </c>
      <c r="AG458" s="19" t="str">
        <f aca="false">IF(R458="","",IF(LOWER(R458)="brak","Brak",IF(OR(ISNUMBER(SEARCH("ric pl",LOWER(R458))),ISNUMBER(SEARCH("wojciechowski",LOWER(R458)))),"Własny","Zewnętrzny")))</f>
        <v/>
      </c>
      <c r="AH458" s="19" t="n">
        <f aca="false">Z458*Q458</f>
        <v>0</v>
      </c>
      <c r="AI458" s="19" t="str">
        <f aca="false">UPPER(TEXT(C458,"mmmm"))</f>
        <v>AUGUST</v>
      </c>
      <c r="AJ458" s="19" t="str">
        <f aca="false">IF(C458="","",TEXT(C458,"rrrr"))</f>
        <v>CE5786CE5786</v>
      </c>
      <c r="AK458" s="10"/>
      <c r="AL458" s="11" t="n">
        <v>0</v>
      </c>
      <c r="AM458" s="10" t="s">
        <v>856</v>
      </c>
      <c r="AN458" s="10" t="s">
        <v>59</v>
      </c>
      <c r="AO458" s="10"/>
      <c r="AP458" s="10"/>
      <c r="AQ458" s="10"/>
      <c r="AR458" s="10" t="s">
        <v>66</v>
      </c>
      <c r="AS458" s="10"/>
      <c r="AT458" s="15" t="n">
        <v>1</v>
      </c>
    </row>
    <row r="459" customFormat="false" ht="28.5" hidden="false" customHeight="true" outlineLevel="0" collapsed="false">
      <c r="A459" s="12" t="n">
        <v>46254</v>
      </c>
      <c r="B459" s="12"/>
      <c r="C459" s="12" t="n">
        <v>46254</v>
      </c>
      <c r="D459" s="10" t="s">
        <v>54</v>
      </c>
      <c r="E459" s="10" t="s">
        <v>47</v>
      </c>
      <c r="F459" s="13" t="s">
        <v>854</v>
      </c>
      <c r="G459" s="14" t="s">
        <v>49</v>
      </c>
      <c r="H459" s="10" t="s">
        <v>76</v>
      </c>
      <c r="I459" s="15" t="n">
        <v>55</v>
      </c>
      <c r="J459" s="10" t="s">
        <v>51</v>
      </c>
      <c r="K459" s="15" t="n">
        <v>0</v>
      </c>
      <c r="L459" s="11" t="n">
        <v>0</v>
      </c>
      <c r="M459" s="11" t="n">
        <v>0</v>
      </c>
      <c r="N459" s="10" t="s">
        <v>258</v>
      </c>
      <c r="O459" s="10" t="s">
        <v>67</v>
      </c>
      <c r="P459" s="10" t="s">
        <v>53</v>
      </c>
      <c r="Q459" s="16" t="n">
        <v>10</v>
      </c>
      <c r="R459" s="10"/>
      <c r="S459" s="10"/>
      <c r="T459" s="10" t="n">
        <v>0</v>
      </c>
      <c r="U459" s="11" t="n">
        <f aca="false">IF(E459="TRANSPORT",IF(T459="","",T459*5),IF(AL459="","",AL459))</f>
        <v>0</v>
      </c>
      <c r="V459" s="10" t="s">
        <v>54</v>
      </c>
      <c r="W459" s="15" t="s">
        <v>655</v>
      </c>
      <c r="X459" s="15" t="s">
        <v>54</v>
      </c>
      <c r="Y459" s="17" t="n">
        <v>46257.902025463</v>
      </c>
      <c r="Z459" s="18" t="n">
        <f aca="false">IF(I459="",0,IF(ISNUMBER(SEARCH("mp",LOWER(J459))),I459,IF(ISNUMBER(SEARCH("ton",LOWER(J459))),I459/0.33,IF(ISNUMBER(SEARCH("m3",LOWER(J459))),I459*4,I459))))</f>
        <v>55</v>
      </c>
      <c r="AA459" s="18" t="n">
        <f aca="false">IF(I459="",0,IF(ISNUMBER(SEARCH("mp",LOWER(J459))),I459*0.33,IF(ISNUMBER(SEARCH("ton",LOWER(J459))),I459,I459*0.33)))</f>
        <v>18.15</v>
      </c>
      <c r="AB459" s="18" t="n">
        <f aca="false">Tabela_dane[[#This Row],[Wolumen_t]]*8.5</f>
        <v>154.275</v>
      </c>
      <c r="AC459" s="18" t="n">
        <f aca="false">IF(G459&lt;&gt;"TAK",0,IF(OR(E459="ZAKUP",E459="PRODUKCJA"),Z459,IF(OR(E459="SPRZEDAŻ",E459="ZUŻYCIE"),-Z459,0)))</f>
        <v>55</v>
      </c>
      <c r="AD459" s="18" t="n">
        <f aca="false">IF(G459&lt;&gt;"TAK",0,IF(OR(E459="ZAKUP",E459="PRODUKCJA"),AA459,IF(OR(E459="SPRZEDAŻ",E459="ZUŻYCIE"),-AA459,0)))</f>
        <v>18.15</v>
      </c>
      <c r="AE459" s="19" t="n">
        <f aca="false">IF(E459="ZAKUP",IF(L459&lt;&gt;"",L459,IF(K459&lt;&gt;"",Z459*K459,0)),0)</f>
        <v>0</v>
      </c>
      <c r="AF459" s="19" t="n">
        <f aca="false">IF(E459="SPRZEDAŻ",IF(M459&lt;&gt;"",Z459*M459,0),0)</f>
        <v>0</v>
      </c>
      <c r="AG459" s="19" t="str">
        <f aca="false">IF(R459="","",IF(LOWER(R459)="brak","Brak",IF(OR(ISNUMBER(SEARCH("ric pl",LOWER(R459))),ISNUMBER(SEARCH("wojciechowski",LOWER(R459)))),"Własny","Zewnętrzny")))</f>
        <v/>
      </c>
      <c r="AH459" s="19" t="n">
        <f aca="false">Z459*Q459</f>
        <v>550</v>
      </c>
      <c r="AI459" s="19" t="str">
        <f aca="false">UPPER(TEXT(C459,"mmmm"))</f>
        <v>AUGUST</v>
      </c>
      <c r="AJ459" s="19" t="str">
        <f aca="false">IF(C459="","",TEXT(C459,"rrrr"))</f>
        <v>CE5786CE5786</v>
      </c>
      <c r="AK459" s="10"/>
      <c r="AL459" s="11" t="n">
        <v>0</v>
      </c>
      <c r="AM459" s="10" t="s">
        <v>857</v>
      </c>
      <c r="AN459" s="10" t="s">
        <v>59</v>
      </c>
      <c r="AO459" s="10"/>
      <c r="AP459" s="10"/>
      <c r="AQ459" s="10"/>
      <c r="AR459" s="10" t="s">
        <v>66</v>
      </c>
      <c r="AS459" s="10"/>
      <c r="AT459" s="15" t="n">
        <v>1</v>
      </c>
    </row>
    <row r="460" customFormat="false" ht="28.5" hidden="false" customHeight="true" outlineLevel="0" collapsed="false">
      <c r="A460" s="12" t="n">
        <v>46254</v>
      </c>
      <c r="B460" s="12"/>
      <c r="C460" s="12" t="n">
        <v>46254</v>
      </c>
      <c r="D460" s="10" t="s">
        <v>54</v>
      </c>
      <c r="E460" s="10" t="s">
        <v>79</v>
      </c>
      <c r="F460" s="13" t="s">
        <v>854</v>
      </c>
      <c r="G460" s="14" t="s">
        <v>49</v>
      </c>
      <c r="H460" s="10" t="s">
        <v>76</v>
      </c>
      <c r="I460" s="15" t="n">
        <v>55</v>
      </c>
      <c r="J460" s="10" t="s">
        <v>51</v>
      </c>
      <c r="K460" s="15" t="n">
        <v>0</v>
      </c>
      <c r="L460" s="11" t="n">
        <v>0</v>
      </c>
      <c r="M460" s="11" t="n">
        <v>0</v>
      </c>
      <c r="N460" s="10" t="s">
        <v>258</v>
      </c>
      <c r="O460" s="10" t="s">
        <v>67</v>
      </c>
      <c r="P460" s="10" t="s">
        <v>53</v>
      </c>
      <c r="Q460" s="16" t="n">
        <v>10</v>
      </c>
      <c r="R460" s="10"/>
      <c r="S460" s="10"/>
      <c r="T460" s="10" t="n">
        <v>0</v>
      </c>
      <c r="U460" s="11" t="n">
        <f aca="false">IF(E460="TRANSPORT",IF(T460="","",T460*5),IF(AL460="","",AL460))</f>
        <v>0</v>
      </c>
      <c r="V460" s="10" t="s">
        <v>54</v>
      </c>
      <c r="W460" s="15" t="s">
        <v>260</v>
      </c>
      <c r="X460" s="15" t="s">
        <v>54</v>
      </c>
      <c r="Y460" s="17" t="n">
        <v>46257.902025463</v>
      </c>
      <c r="Z460" s="18" t="n">
        <f aca="false">IF(I460="",0,IF(ISNUMBER(SEARCH("mp",LOWER(J460))),I460,IF(ISNUMBER(SEARCH("ton",LOWER(J460))),I460/0.33,IF(ISNUMBER(SEARCH("m3",LOWER(J460))),I460*4,I460))))</f>
        <v>55</v>
      </c>
      <c r="AA460" s="18" t="n">
        <f aca="false">IF(I460="",0,IF(ISNUMBER(SEARCH("mp",LOWER(J460))),I460*0.33,IF(ISNUMBER(SEARCH("ton",LOWER(J460))),I460,I460*0.33)))</f>
        <v>18.15</v>
      </c>
      <c r="AB460" s="18" t="n">
        <f aca="false">Tabela_dane[[#This Row],[Wolumen_t]]*8.5</f>
        <v>154.275</v>
      </c>
      <c r="AC460" s="18" t="n">
        <f aca="false">IF(G460&lt;&gt;"TAK",0,IF(OR(E460="ZAKUP",E460="PRODUKCJA"),Z460,IF(OR(E460="SPRZEDAŻ",E460="ZUŻYCIE"),-Z460,0)))</f>
        <v>-55</v>
      </c>
      <c r="AD460" s="18" t="n">
        <f aca="false">IF(G460&lt;&gt;"TAK",0,IF(OR(E460="ZAKUP",E460="PRODUKCJA"),AA460,IF(OR(E460="SPRZEDAŻ",E460="ZUŻYCIE"),-AA460,0)))</f>
        <v>-18.15</v>
      </c>
      <c r="AE460" s="19" t="n">
        <f aca="false">IF(E460="ZAKUP",IF(L460&lt;&gt;"",L460,IF(K460&lt;&gt;"",Z460*K460,0)),0)</f>
        <v>0</v>
      </c>
      <c r="AF460" s="19" t="n">
        <f aca="false">IF(E460="SPRZEDAŻ",IF(M460&lt;&gt;"",Z460*M460,0),0)</f>
        <v>0</v>
      </c>
      <c r="AG460" s="19" t="str">
        <f aca="false">IF(R460="","",IF(LOWER(R460)="brak","Brak",IF(OR(ISNUMBER(SEARCH("ric pl",LOWER(R460))),ISNUMBER(SEARCH("wojciechowski",LOWER(R460)))),"Własny","Zewnętrzny")))</f>
        <v/>
      </c>
      <c r="AH460" s="19" t="n">
        <f aca="false">Z460*Q460</f>
        <v>550</v>
      </c>
      <c r="AI460" s="19" t="str">
        <f aca="false">UPPER(TEXT(C460,"mmmm"))</f>
        <v>AUGUST</v>
      </c>
      <c r="AJ460" s="19" t="str">
        <f aca="false">IF(C460="","",TEXT(C460,"rrrr"))</f>
        <v>CE5786CE5786</v>
      </c>
      <c r="AK460" s="10"/>
      <c r="AL460" s="11" t="n">
        <v>0</v>
      </c>
      <c r="AM460" s="10" t="s">
        <v>857</v>
      </c>
      <c r="AN460" s="10" t="s">
        <v>59</v>
      </c>
      <c r="AO460" s="10"/>
      <c r="AP460" s="10"/>
      <c r="AQ460" s="10"/>
      <c r="AR460" s="10" t="s">
        <v>81</v>
      </c>
      <c r="AS460" s="10"/>
      <c r="AT460" s="15" t="n">
        <v>1</v>
      </c>
    </row>
    <row r="461" customFormat="false" ht="28.5" hidden="false" customHeight="true" outlineLevel="0" collapsed="false">
      <c r="A461" s="12" t="n">
        <v>46254</v>
      </c>
      <c r="B461" s="12" t="s">
        <v>404</v>
      </c>
      <c r="C461" s="12" t="n">
        <v>46254</v>
      </c>
      <c r="D461" s="10" t="s">
        <v>54</v>
      </c>
      <c r="E461" s="10" t="s">
        <v>63</v>
      </c>
      <c r="F461" s="13" t="s">
        <v>854</v>
      </c>
      <c r="G461" s="14" t="s">
        <v>49</v>
      </c>
      <c r="H461" s="10" t="s">
        <v>76</v>
      </c>
      <c r="I461" s="15" t="n">
        <v>55</v>
      </c>
      <c r="J461" s="10" t="s">
        <v>51</v>
      </c>
      <c r="K461" s="15" t="n">
        <v>0</v>
      </c>
      <c r="L461" s="11" t="n">
        <v>0</v>
      </c>
      <c r="M461" s="11" t="n">
        <v>0</v>
      </c>
      <c r="N461" s="10" t="s">
        <v>258</v>
      </c>
      <c r="O461" s="10" t="s">
        <v>67</v>
      </c>
      <c r="P461" s="10"/>
      <c r="Q461" s="16" t="n">
        <v>0</v>
      </c>
      <c r="R461" s="10" t="s">
        <v>182</v>
      </c>
      <c r="S461" s="10" t="s">
        <v>509</v>
      </c>
      <c r="T461" s="10" t="n">
        <v>182</v>
      </c>
      <c r="U461" s="11" t="n">
        <f aca="false">IF(E461="TRANSPORT",IF(T461="","",T461*5),IF(AL461="","",AL461))</f>
        <v>910</v>
      </c>
      <c r="V461" s="10" t="s">
        <v>54</v>
      </c>
      <c r="W461" s="15" t="s">
        <v>629</v>
      </c>
      <c r="X461" s="15"/>
      <c r="Y461" s="17" t="n">
        <v>46257.9030208333</v>
      </c>
      <c r="Z461" s="18" t="n">
        <f aca="false">IF(I461="",0,IF(ISNUMBER(SEARCH("mp",LOWER(J461))),I461,IF(ISNUMBER(SEARCH("ton",LOWER(J461))),I461/0.33,IF(ISNUMBER(SEARCH("m3",LOWER(J461))),I461*4,I461))))</f>
        <v>55</v>
      </c>
      <c r="AA461" s="18" t="n">
        <f aca="false">IF(I461="",0,IF(ISNUMBER(SEARCH("mp",LOWER(J461))),I461*0.33,IF(ISNUMBER(SEARCH("ton",LOWER(J461))),I461,I461*0.33)))</f>
        <v>18.15</v>
      </c>
      <c r="AB461" s="18" t="n">
        <f aca="false">Tabela_dane[[#This Row],[Wolumen_t]]*8.5</f>
        <v>154.275</v>
      </c>
      <c r="AC461" s="18" t="n">
        <f aca="false">IF(G461&lt;&gt;"TAK",0,IF(OR(E461="ZAKUP",E461="PRODUKCJA"),Z461,IF(OR(E461="SPRZEDAŻ",E461="ZUŻYCIE"),-Z461,0)))</f>
        <v>55</v>
      </c>
      <c r="AD461" s="18" t="n">
        <f aca="false">IF(G461&lt;&gt;"TAK",0,IF(OR(E461="ZAKUP",E461="PRODUKCJA"),AA461,IF(OR(E461="SPRZEDAŻ",E461="ZUŻYCIE"),-AA461,0)))</f>
        <v>18.15</v>
      </c>
      <c r="AE461" s="19" t="n">
        <f aca="false">IF(E461="ZAKUP",IF(L461&lt;&gt;"",L461,IF(K461&lt;&gt;"",Z461*K461,0)),0)</f>
        <v>0</v>
      </c>
      <c r="AF461" s="19" t="n">
        <f aca="false">IF(E461="SPRZEDAŻ",IF(M461&lt;&gt;"",Z461*M461,0),0)</f>
        <v>0</v>
      </c>
      <c r="AG461" s="19" t="str">
        <f aca="false">IF(R461="","",IF(LOWER(R461)="brak","Brak",IF(OR(ISNUMBER(SEARCH("ric pl",LOWER(R461))),ISNUMBER(SEARCH("wojciechowski",LOWER(R461)))),"Własny","Zewnętrzny")))</f>
        <v>Zewnętrzny</v>
      </c>
      <c r="AH461" s="19" t="n">
        <f aca="false">Z461*Q461</f>
        <v>0</v>
      </c>
      <c r="AI461" s="19" t="str">
        <f aca="false">UPPER(TEXT(C461,"mmmm"))</f>
        <v>AUGUST</v>
      </c>
      <c r="AJ461" s="19" t="str">
        <f aca="false">IF(C461="","",TEXT(C461,"rrrr"))</f>
        <v>CE5786CE5786</v>
      </c>
      <c r="AK461" s="10"/>
      <c r="AL461" s="11" t="n">
        <v>910</v>
      </c>
      <c r="AM461" s="10" t="s">
        <v>858</v>
      </c>
      <c r="AN461" s="10" t="s">
        <v>49</v>
      </c>
      <c r="AO461" s="10"/>
      <c r="AP461" s="10"/>
      <c r="AQ461" s="10"/>
      <c r="AR461" s="10" t="s">
        <v>66</v>
      </c>
      <c r="AS461" s="10"/>
      <c r="AT461" s="15" t="n">
        <v>1</v>
      </c>
    </row>
    <row r="462" customFormat="false" ht="28.5" hidden="false" customHeight="true" outlineLevel="0" collapsed="false">
      <c r="A462" s="12" t="n">
        <v>46254</v>
      </c>
      <c r="B462" s="12"/>
      <c r="C462" s="12" t="n">
        <v>46254</v>
      </c>
      <c r="D462" s="10" t="s">
        <v>376</v>
      </c>
      <c r="E462" s="10" t="s">
        <v>63</v>
      </c>
      <c r="F462" s="13" t="s">
        <v>859</v>
      </c>
      <c r="G462" s="14" t="s">
        <v>59</v>
      </c>
      <c r="H462" s="10" t="s">
        <v>76</v>
      </c>
      <c r="I462" s="15" t="n">
        <v>82</v>
      </c>
      <c r="J462" s="10" t="s">
        <v>51</v>
      </c>
      <c r="K462" s="15" t="n">
        <v>45</v>
      </c>
      <c r="L462" s="11" t="n">
        <v>3690</v>
      </c>
      <c r="M462" s="11" t="n">
        <v>0</v>
      </c>
      <c r="N462" s="10" t="s">
        <v>255</v>
      </c>
      <c r="O462" s="10"/>
      <c r="P462" s="10"/>
      <c r="Q462" s="16" t="n">
        <v>0</v>
      </c>
      <c r="R462" s="10"/>
      <c r="S462" s="10"/>
      <c r="T462" s="10" t="n">
        <v>0</v>
      </c>
      <c r="U462" s="11" t="n">
        <f aca="false">IF(E462="TRANSPORT",IF(T462="","",T462*5),IF(AL462="","",AL462))</f>
        <v>0</v>
      </c>
      <c r="V462" s="10" t="s">
        <v>54</v>
      </c>
      <c r="W462" s="15" t="s">
        <v>860</v>
      </c>
      <c r="X462" s="15"/>
      <c r="Y462" s="17" t="n">
        <v>46257.9045833333</v>
      </c>
      <c r="Z462" s="18" t="n">
        <f aca="false">IF(I462="",0,IF(ISNUMBER(SEARCH("mp",LOWER(J462))),I462,IF(ISNUMBER(SEARCH("ton",LOWER(J462))),I462/0.33,IF(ISNUMBER(SEARCH("m3",LOWER(J462))),I462*4,I462))))</f>
        <v>82</v>
      </c>
      <c r="AA462" s="18" t="n">
        <f aca="false">IF(I462="",0,IF(ISNUMBER(SEARCH("mp",LOWER(J462))),I462*0.33,IF(ISNUMBER(SEARCH("ton",LOWER(J462))),I462,I462*0.33)))</f>
        <v>27.06</v>
      </c>
      <c r="AB462" s="18" t="n">
        <f aca="false">Tabela_dane[[#This Row],[Wolumen_t]]*8.5</f>
        <v>230.01</v>
      </c>
      <c r="AC462" s="18" t="n">
        <f aca="false">IF(G462&lt;&gt;"TAK",0,IF(OR(E462="ZAKUP",E462="PRODUKCJA"),Z462,IF(OR(E462="SPRZEDAŻ",E462="ZUŻYCIE"),-Z462,0)))</f>
        <v>0</v>
      </c>
      <c r="AD462" s="18" t="n">
        <f aca="false">IF(G462&lt;&gt;"TAK",0,IF(OR(E462="ZAKUP",E462="PRODUKCJA"),AA462,IF(OR(E462="SPRZEDAŻ",E462="ZUŻYCIE"),-AA462,0)))</f>
        <v>0</v>
      </c>
      <c r="AE462" s="19" t="n">
        <f aca="false">IF(E462="ZAKUP",IF(L462&lt;&gt;"",L462,IF(K462&lt;&gt;"",Z462*K462,0)),0)</f>
        <v>3690</v>
      </c>
      <c r="AF462" s="19" t="n">
        <f aca="false">IF(E462="SPRZEDAŻ",IF(M462&lt;&gt;"",Z462*M462,0),0)</f>
        <v>0</v>
      </c>
      <c r="AG462" s="19" t="str">
        <f aca="false">IF(R462="","",IF(LOWER(R462)="brak","Brak",IF(OR(ISNUMBER(SEARCH("ric pl",LOWER(R462))),ISNUMBER(SEARCH("wojciechowski",LOWER(R462)))),"Własny","Zewnętrzny")))</f>
        <v/>
      </c>
      <c r="AH462" s="19" t="n">
        <f aca="false">Z462*Q462</f>
        <v>0</v>
      </c>
      <c r="AI462" s="19" t="str">
        <f aca="false">UPPER(TEXT(C462,"mmmm"))</f>
        <v>AUGUST</v>
      </c>
      <c r="AJ462" s="19" t="str">
        <f aca="false">IF(C462="","",TEXT(C462,"rrrr"))</f>
        <v>CE5786CE5786</v>
      </c>
      <c r="AK462" s="10"/>
      <c r="AL462" s="11" t="n">
        <v>0</v>
      </c>
      <c r="AM462" s="10" t="s">
        <v>861</v>
      </c>
      <c r="AN462" s="10" t="s">
        <v>59</v>
      </c>
      <c r="AO462" s="10"/>
      <c r="AP462" s="10"/>
      <c r="AQ462" s="10"/>
      <c r="AR462" s="10" t="s">
        <v>66</v>
      </c>
      <c r="AS462" s="10"/>
      <c r="AT462" s="15" t="n">
        <v>1</v>
      </c>
    </row>
    <row r="463" customFormat="false" ht="28.5" hidden="false" customHeight="true" outlineLevel="0" collapsed="false">
      <c r="A463" s="12" t="n">
        <v>46254</v>
      </c>
      <c r="B463" s="12"/>
      <c r="C463" s="12" t="n">
        <v>46254</v>
      </c>
      <c r="D463" s="10" t="s">
        <v>54</v>
      </c>
      <c r="E463" s="10" t="s">
        <v>47</v>
      </c>
      <c r="F463" s="13" t="s">
        <v>859</v>
      </c>
      <c r="G463" s="14" t="s">
        <v>49</v>
      </c>
      <c r="H463" s="10" t="s">
        <v>76</v>
      </c>
      <c r="I463" s="15" t="n">
        <v>82</v>
      </c>
      <c r="J463" s="10" t="s">
        <v>51</v>
      </c>
      <c r="K463" s="15" t="n">
        <v>0</v>
      </c>
      <c r="L463" s="11" t="n">
        <v>0</v>
      </c>
      <c r="M463" s="11" t="n">
        <v>0</v>
      </c>
      <c r="N463" s="10" t="s">
        <v>258</v>
      </c>
      <c r="O463" s="10" t="s">
        <v>67</v>
      </c>
      <c r="P463" s="10" t="s">
        <v>53</v>
      </c>
      <c r="Q463" s="16" t="n">
        <v>10</v>
      </c>
      <c r="R463" s="10"/>
      <c r="S463" s="10"/>
      <c r="T463" s="10" t="n">
        <v>0</v>
      </c>
      <c r="U463" s="11" t="n">
        <f aca="false">IF(E463="TRANSPORT",IF(T463="","",T463*5),IF(AL463="","",AL463))</f>
        <v>0</v>
      </c>
      <c r="V463" s="10" t="s">
        <v>54</v>
      </c>
      <c r="W463" s="15" t="s">
        <v>655</v>
      </c>
      <c r="X463" s="15" t="s">
        <v>54</v>
      </c>
      <c r="Y463" s="17" t="n">
        <v>46257.9060185185</v>
      </c>
      <c r="Z463" s="18" t="n">
        <f aca="false">IF(I463="",0,IF(ISNUMBER(SEARCH("mp",LOWER(J463))),I463,IF(ISNUMBER(SEARCH("ton",LOWER(J463))),I463/0.33,IF(ISNUMBER(SEARCH("m3",LOWER(J463))),I463*4,I463))))</f>
        <v>82</v>
      </c>
      <c r="AA463" s="18" t="n">
        <f aca="false">IF(I463="",0,IF(ISNUMBER(SEARCH("mp",LOWER(J463))),I463*0.33,IF(ISNUMBER(SEARCH("ton",LOWER(J463))),I463,I463*0.33)))</f>
        <v>27.06</v>
      </c>
      <c r="AB463" s="18" t="n">
        <f aca="false">Tabela_dane[[#This Row],[Wolumen_t]]*8.5</f>
        <v>230.01</v>
      </c>
      <c r="AC463" s="18" t="n">
        <f aca="false">IF(G463&lt;&gt;"TAK",0,IF(OR(E463="ZAKUP",E463="PRODUKCJA"),Z463,IF(OR(E463="SPRZEDAŻ",E463="ZUŻYCIE"),-Z463,0)))</f>
        <v>82</v>
      </c>
      <c r="AD463" s="18" t="n">
        <f aca="false">IF(G463&lt;&gt;"TAK",0,IF(OR(E463="ZAKUP",E463="PRODUKCJA"),AA463,IF(OR(E463="SPRZEDAŻ",E463="ZUŻYCIE"),-AA463,0)))</f>
        <v>27.06</v>
      </c>
      <c r="AE463" s="19" t="n">
        <f aca="false">IF(E463="ZAKUP",IF(L463&lt;&gt;"",L463,IF(K463&lt;&gt;"",Z463*K463,0)),0)</f>
        <v>0</v>
      </c>
      <c r="AF463" s="19" t="n">
        <f aca="false">IF(E463="SPRZEDAŻ",IF(M463&lt;&gt;"",Z463*M463,0),0)</f>
        <v>0</v>
      </c>
      <c r="AG463" s="19" t="str">
        <f aca="false">IF(R463="","",IF(LOWER(R463)="brak","Brak",IF(OR(ISNUMBER(SEARCH("ric pl",LOWER(R463))),ISNUMBER(SEARCH("wojciechowski",LOWER(R463)))),"Własny","Zewnętrzny")))</f>
        <v/>
      </c>
      <c r="AH463" s="19" t="n">
        <f aca="false">Z463*Q463</f>
        <v>820</v>
      </c>
      <c r="AI463" s="19" t="str">
        <f aca="false">UPPER(TEXT(C463,"mmmm"))</f>
        <v>AUGUST</v>
      </c>
      <c r="AJ463" s="19" t="str">
        <f aca="false">IF(C463="","",TEXT(C463,"rrrr"))</f>
        <v>CE5786CE5786</v>
      </c>
      <c r="AK463" s="10"/>
      <c r="AL463" s="11" t="n">
        <v>0</v>
      </c>
      <c r="AM463" s="10" t="s">
        <v>862</v>
      </c>
      <c r="AN463" s="10" t="s">
        <v>59</v>
      </c>
      <c r="AO463" s="10"/>
      <c r="AP463" s="10"/>
      <c r="AQ463" s="10"/>
      <c r="AR463" s="10" t="s">
        <v>66</v>
      </c>
      <c r="AS463" s="10"/>
      <c r="AT463" s="15" t="n">
        <v>1</v>
      </c>
    </row>
    <row r="464" customFormat="false" ht="28.5" hidden="false" customHeight="true" outlineLevel="0" collapsed="false">
      <c r="A464" s="12" t="n">
        <v>46254</v>
      </c>
      <c r="B464" s="12"/>
      <c r="C464" s="12" t="n">
        <v>46254</v>
      </c>
      <c r="D464" s="10" t="s">
        <v>54</v>
      </c>
      <c r="E464" s="10" t="s">
        <v>79</v>
      </c>
      <c r="F464" s="13" t="s">
        <v>859</v>
      </c>
      <c r="G464" s="14" t="s">
        <v>49</v>
      </c>
      <c r="H464" s="10" t="s">
        <v>76</v>
      </c>
      <c r="I464" s="15" t="n">
        <v>82</v>
      </c>
      <c r="J464" s="10" t="s">
        <v>51</v>
      </c>
      <c r="K464" s="15" t="n">
        <v>0</v>
      </c>
      <c r="L464" s="11" t="n">
        <v>0</v>
      </c>
      <c r="M464" s="11" t="n">
        <v>0</v>
      </c>
      <c r="N464" s="10" t="s">
        <v>258</v>
      </c>
      <c r="O464" s="10" t="s">
        <v>67</v>
      </c>
      <c r="P464" s="10" t="s">
        <v>53</v>
      </c>
      <c r="Q464" s="16" t="n">
        <v>10</v>
      </c>
      <c r="R464" s="10"/>
      <c r="S464" s="10"/>
      <c r="T464" s="10" t="n">
        <v>0</v>
      </c>
      <c r="U464" s="11" t="n">
        <f aca="false">IF(E464="TRANSPORT",IF(T464="","",T464*5),IF(AL464="","",AL464))</f>
        <v>0</v>
      </c>
      <c r="V464" s="10" t="s">
        <v>54</v>
      </c>
      <c r="W464" s="15" t="s">
        <v>260</v>
      </c>
      <c r="X464" s="15" t="s">
        <v>54</v>
      </c>
      <c r="Y464" s="17" t="n">
        <v>46257.9060185185</v>
      </c>
      <c r="Z464" s="18" t="n">
        <f aca="false">IF(I464="",0,IF(ISNUMBER(SEARCH("mp",LOWER(J464))),I464,IF(ISNUMBER(SEARCH("ton",LOWER(J464))),I464/0.33,IF(ISNUMBER(SEARCH("m3",LOWER(J464))),I464*4,I464))))</f>
        <v>82</v>
      </c>
      <c r="AA464" s="18" t="n">
        <f aca="false">IF(I464="",0,IF(ISNUMBER(SEARCH("mp",LOWER(J464))),I464*0.33,IF(ISNUMBER(SEARCH("ton",LOWER(J464))),I464,I464*0.33)))</f>
        <v>27.06</v>
      </c>
      <c r="AB464" s="18" t="n">
        <f aca="false">Tabela_dane[[#This Row],[Wolumen_t]]*8.5</f>
        <v>230.01</v>
      </c>
      <c r="AC464" s="18" t="n">
        <f aca="false">IF(G464&lt;&gt;"TAK",0,IF(OR(E464="ZAKUP",E464="PRODUKCJA"),Z464,IF(OR(E464="SPRZEDAŻ",E464="ZUŻYCIE"),-Z464,0)))</f>
        <v>-82</v>
      </c>
      <c r="AD464" s="18" t="n">
        <f aca="false">IF(G464&lt;&gt;"TAK",0,IF(OR(E464="ZAKUP",E464="PRODUKCJA"),AA464,IF(OR(E464="SPRZEDAŻ",E464="ZUŻYCIE"),-AA464,0)))</f>
        <v>-27.06</v>
      </c>
      <c r="AE464" s="19" t="n">
        <f aca="false">IF(E464="ZAKUP",IF(L464&lt;&gt;"",L464,IF(K464&lt;&gt;"",Z464*K464,0)),0)</f>
        <v>0</v>
      </c>
      <c r="AF464" s="19" t="n">
        <f aca="false">IF(E464="SPRZEDAŻ",IF(M464&lt;&gt;"",Z464*M464,0),0)</f>
        <v>0</v>
      </c>
      <c r="AG464" s="19" t="str">
        <f aca="false">IF(R464="","",IF(LOWER(R464)="brak","Brak",IF(OR(ISNUMBER(SEARCH("ric pl",LOWER(R464))),ISNUMBER(SEARCH("wojciechowski",LOWER(R464)))),"Własny","Zewnętrzny")))</f>
        <v/>
      </c>
      <c r="AH464" s="19" t="n">
        <f aca="false">Z464*Q464</f>
        <v>820</v>
      </c>
      <c r="AI464" s="19" t="str">
        <f aca="false">UPPER(TEXT(C464,"mmmm"))</f>
        <v>AUGUST</v>
      </c>
      <c r="AJ464" s="19" t="str">
        <f aca="false">IF(C464="","",TEXT(C464,"rrrr"))</f>
        <v>CE5786CE5786</v>
      </c>
      <c r="AK464" s="10"/>
      <c r="AL464" s="11" t="n">
        <v>0</v>
      </c>
      <c r="AM464" s="10" t="s">
        <v>862</v>
      </c>
      <c r="AN464" s="10" t="s">
        <v>59</v>
      </c>
      <c r="AO464" s="10"/>
      <c r="AP464" s="10"/>
      <c r="AQ464" s="10"/>
      <c r="AR464" s="10" t="s">
        <v>81</v>
      </c>
      <c r="AS464" s="10"/>
      <c r="AT464" s="15" t="n">
        <v>1</v>
      </c>
    </row>
    <row r="465" customFormat="false" ht="28.5" hidden="false" customHeight="true" outlineLevel="0" collapsed="false">
      <c r="A465" s="12" t="n">
        <v>46254</v>
      </c>
      <c r="B465" s="12" t="s">
        <v>404</v>
      </c>
      <c r="C465" s="12" t="n">
        <v>46254</v>
      </c>
      <c r="D465" s="10" t="s">
        <v>54</v>
      </c>
      <c r="E465" s="10" t="s">
        <v>63</v>
      </c>
      <c r="F465" s="13" t="s">
        <v>859</v>
      </c>
      <c r="G465" s="14" t="s">
        <v>49</v>
      </c>
      <c r="H465" s="10" t="s">
        <v>76</v>
      </c>
      <c r="I465" s="15" t="n">
        <v>82</v>
      </c>
      <c r="J465" s="10" t="s">
        <v>51</v>
      </c>
      <c r="K465" s="15" t="n">
        <v>0</v>
      </c>
      <c r="L465" s="11" t="n">
        <v>0</v>
      </c>
      <c r="M465" s="11" t="n">
        <v>0</v>
      </c>
      <c r="N465" s="10" t="s">
        <v>258</v>
      </c>
      <c r="O465" s="10" t="s">
        <v>67</v>
      </c>
      <c r="P465" s="10"/>
      <c r="Q465" s="16" t="n">
        <v>0</v>
      </c>
      <c r="R465" s="10" t="s">
        <v>68</v>
      </c>
      <c r="S465" s="10" t="s">
        <v>69</v>
      </c>
      <c r="T465" s="10" t="n">
        <v>182</v>
      </c>
      <c r="U465" s="11" t="n">
        <f aca="false">IF(E465="TRANSPORT",IF(T465="","",T465*5),IF(AL465="","",AL465))</f>
        <v>910</v>
      </c>
      <c r="V465" s="10" t="s">
        <v>54</v>
      </c>
      <c r="W465" s="15" t="s">
        <v>629</v>
      </c>
      <c r="X465" s="15"/>
      <c r="Y465" s="17" t="n">
        <v>46257.907037037</v>
      </c>
      <c r="Z465" s="18" t="n">
        <f aca="false">IF(I465="",0,IF(ISNUMBER(SEARCH("mp",LOWER(J465))),I465,IF(ISNUMBER(SEARCH("ton",LOWER(J465))),I465/0.33,IF(ISNUMBER(SEARCH("m3",LOWER(J465))),I465*4,I465))))</f>
        <v>82</v>
      </c>
      <c r="AA465" s="18" t="n">
        <f aca="false">IF(I465="",0,IF(ISNUMBER(SEARCH("mp",LOWER(J465))),I465*0.33,IF(ISNUMBER(SEARCH("ton",LOWER(J465))),I465,I465*0.33)))</f>
        <v>27.06</v>
      </c>
      <c r="AB465" s="18" t="n">
        <f aca="false">Tabela_dane[[#This Row],[Wolumen_t]]*8.5</f>
        <v>230.01</v>
      </c>
      <c r="AC465" s="18" t="n">
        <f aca="false">IF(G465&lt;&gt;"TAK",0,IF(OR(E465="ZAKUP",E465="PRODUKCJA"),Z465,IF(OR(E465="SPRZEDAŻ",E465="ZUŻYCIE"),-Z465,0)))</f>
        <v>82</v>
      </c>
      <c r="AD465" s="18" t="n">
        <f aca="false">IF(G465&lt;&gt;"TAK",0,IF(OR(E465="ZAKUP",E465="PRODUKCJA"),AA465,IF(OR(E465="SPRZEDAŻ",E465="ZUŻYCIE"),-AA465,0)))</f>
        <v>27.06</v>
      </c>
      <c r="AE465" s="19" t="n">
        <f aca="false">IF(E465="ZAKUP",IF(L465&lt;&gt;"",L465,IF(K465&lt;&gt;"",Z465*K465,0)),0)</f>
        <v>0</v>
      </c>
      <c r="AF465" s="19" t="n">
        <f aca="false">IF(E465="SPRZEDAŻ",IF(M465&lt;&gt;"",Z465*M465,0),0)</f>
        <v>0</v>
      </c>
      <c r="AG465" s="19" t="str">
        <f aca="false">IF(R465="","",IF(LOWER(R465)="brak","Brak",IF(OR(ISNUMBER(SEARCH("ric pl",LOWER(R465))),ISNUMBER(SEARCH("wojciechowski",LOWER(R465)))),"Własny","Zewnętrzny")))</f>
        <v>Zewnętrzny</v>
      </c>
      <c r="AH465" s="19" t="n">
        <f aca="false">Z465*Q465</f>
        <v>0</v>
      </c>
      <c r="AI465" s="19" t="str">
        <f aca="false">UPPER(TEXT(C465,"mmmm"))</f>
        <v>AUGUST</v>
      </c>
      <c r="AJ465" s="19" t="str">
        <f aca="false">IF(C465="","",TEXT(C465,"rrrr"))</f>
        <v>CE5786CE5786</v>
      </c>
      <c r="AK465" s="10"/>
      <c r="AL465" s="11" t="n">
        <v>910</v>
      </c>
      <c r="AM465" s="10" t="s">
        <v>863</v>
      </c>
      <c r="AN465" s="10" t="s">
        <v>49</v>
      </c>
      <c r="AO465" s="10"/>
      <c r="AP465" s="10"/>
      <c r="AQ465" s="10"/>
      <c r="AR465" s="10" t="s">
        <v>66</v>
      </c>
      <c r="AS465" s="10"/>
      <c r="AT465" s="15" t="n">
        <v>1</v>
      </c>
    </row>
    <row r="466" customFormat="false" ht="28.5" hidden="false" customHeight="true" outlineLevel="0" collapsed="false">
      <c r="A466" s="12" t="n">
        <v>46254</v>
      </c>
      <c r="B466" s="12"/>
      <c r="C466" s="12" t="n">
        <v>46254</v>
      </c>
      <c r="D466" s="10" t="s">
        <v>376</v>
      </c>
      <c r="E466" s="10" t="s">
        <v>63</v>
      </c>
      <c r="F466" s="13" t="s">
        <v>864</v>
      </c>
      <c r="G466" s="14" t="s">
        <v>59</v>
      </c>
      <c r="H466" s="10" t="s">
        <v>76</v>
      </c>
      <c r="I466" s="15" t="n">
        <v>32</v>
      </c>
      <c r="J466" s="10" t="s">
        <v>51</v>
      </c>
      <c r="K466" s="15" t="n">
        <v>45</v>
      </c>
      <c r="L466" s="11" t="n">
        <v>1440</v>
      </c>
      <c r="M466" s="11" t="n">
        <v>0</v>
      </c>
      <c r="N466" s="10" t="s">
        <v>255</v>
      </c>
      <c r="O466" s="10"/>
      <c r="P466" s="10"/>
      <c r="Q466" s="16" t="n">
        <v>0</v>
      </c>
      <c r="R466" s="10"/>
      <c r="S466" s="10"/>
      <c r="T466" s="10" t="n">
        <v>0</v>
      </c>
      <c r="U466" s="11" t="n">
        <f aca="false">IF(E466="TRANSPORT",IF(T466="","",T466*5),IF(AL466="","",AL466))</f>
        <v>0</v>
      </c>
      <c r="V466" s="10" t="s">
        <v>54</v>
      </c>
      <c r="W466" s="15" t="s">
        <v>865</v>
      </c>
      <c r="X466" s="15"/>
      <c r="Y466" s="17" t="n">
        <v>46257.9082060185</v>
      </c>
      <c r="Z466" s="18" t="n">
        <f aca="false">IF(I466="",0,IF(ISNUMBER(SEARCH("mp",LOWER(J466))),I466,IF(ISNUMBER(SEARCH("ton",LOWER(J466))),I466/0.33,IF(ISNUMBER(SEARCH("m3",LOWER(J466))),I466*4,I466))))</f>
        <v>32</v>
      </c>
      <c r="AA466" s="18" t="n">
        <f aca="false">IF(I466="",0,IF(ISNUMBER(SEARCH("mp",LOWER(J466))),I466*0.33,IF(ISNUMBER(SEARCH("ton",LOWER(J466))),I466,I466*0.33)))</f>
        <v>10.56</v>
      </c>
      <c r="AB466" s="18" t="n">
        <f aca="false">Tabela_dane[[#This Row],[Wolumen_t]]*8.5</f>
        <v>89.76</v>
      </c>
      <c r="AC466" s="18" t="n">
        <f aca="false">IF(G466&lt;&gt;"TAK",0,IF(OR(E466="ZAKUP",E466="PRODUKCJA"),Z466,IF(OR(E466="SPRZEDAŻ",E466="ZUŻYCIE"),-Z466,0)))</f>
        <v>0</v>
      </c>
      <c r="AD466" s="18" t="n">
        <f aca="false">IF(G466&lt;&gt;"TAK",0,IF(OR(E466="ZAKUP",E466="PRODUKCJA"),AA466,IF(OR(E466="SPRZEDAŻ",E466="ZUŻYCIE"),-AA466,0)))</f>
        <v>0</v>
      </c>
      <c r="AE466" s="19" t="n">
        <f aca="false">IF(E466="ZAKUP",IF(L466&lt;&gt;"",L466,IF(K466&lt;&gt;"",Z466*K466,0)),0)</f>
        <v>1440</v>
      </c>
      <c r="AF466" s="19" t="n">
        <f aca="false">IF(E466="SPRZEDAŻ",IF(M466&lt;&gt;"",Z466*M466,0),0)</f>
        <v>0</v>
      </c>
      <c r="AG466" s="19" t="str">
        <f aca="false">IF(R466="","",IF(LOWER(R466)="brak","Brak",IF(OR(ISNUMBER(SEARCH("ric pl",LOWER(R466))),ISNUMBER(SEARCH("wojciechowski",LOWER(R466)))),"Własny","Zewnętrzny")))</f>
        <v/>
      </c>
      <c r="AH466" s="19" t="n">
        <f aca="false">Z466*Q466</f>
        <v>0</v>
      </c>
      <c r="AI466" s="19" t="str">
        <f aca="false">UPPER(TEXT(C466,"mmmm"))</f>
        <v>AUGUST</v>
      </c>
      <c r="AJ466" s="19" t="str">
        <f aca="false">IF(C466="","",TEXT(C466,"rrrr"))</f>
        <v>CE5786CE5786</v>
      </c>
      <c r="AK466" s="10"/>
      <c r="AL466" s="11" t="n">
        <v>0</v>
      </c>
      <c r="AM466" s="10" t="s">
        <v>866</v>
      </c>
      <c r="AN466" s="10" t="s">
        <v>59</v>
      </c>
      <c r="AO466" s="10"/>
      <c r="AP466" s="10"/>
      <c r="AQ466" s="10"/>
      <c r="AR466" s="10" t="s">
        <v>66</v>
      </c>
      <c r="AS466" s="10"/>
      <c r="AT466" s="15" t="n">
        <v>1</v>
      </c>
    </row>
    <row r="467" customFormat="false" ht="28.5" hidden="false" customHeight="true" outlineLevel="0" collapsed="false">
      <c r="A467" s="12" t="n">
        <v>46254</v>
      </c>
      <c r="B467" s="12"/>
      <c r="C467" s="12" t="n">
        <v>46254</v>
      </c>
      <c r="D467" s="10" t="s">
        <v>54</v>
      </c>
      <c r="E467" s="10" t="s">
        <v>47</v>
      </c>
      <c r="F467" s="13" t="s">
        <v>864</v>
      </c>
      <c r="G467" s="14" t="s">
        <v>49</v>
      </c>
      <c r="H467" s="10" t="s">
        <v>76</v>
      </c>
      <c r="I467" s="15" t="n">
        <v>32</v>
      </c>
      <c r="J467" s="10" t="s">
        <v>51</v>
      </c>
      <c r="K467" s="15" t="n">
        <v>0</v>
      </c>
      <c r="L467" s="11" t="n">
        <v>0</v>
      </c>
      <c r="M467" s="11" t="n">
        <v>0</v>
      </c>
      <c r="N467" s="10" t="s">
        <v>258</v>
      </c>
      <c r="O467" s="10" t="s">
        <v>67</v>
      </c>
      <c r="P467" s="10" t="s">
        <v>53</v>
      </c>
      <c r="Q467" s="16" t="n">
        <v>10</v>
      </c>
      <c r="R467" s="10"/>
      <c r="S467" s="10"/>
      <c r="T467" s="10" t="n">
        <v>0</v>
      </c>
      <c r="U467" s="11" t="n">
        <f aca="false">IF(E467="TRANSPORT",IF(T467="","",T467*5),IF(AL467="","",AL467))</f>
        <v>0</v>
      </c>
      <c r="V467" s="10" t="s">
        <v>54</v>
      </c>
      <c r="W467" s="15" t="s">
        <v>655</v>
      </c>
      <c r="X467" s="15" t="s">
        <v>54</v>
      </c>
      <c r="Y467" s="17" t="n">
        <v>46257.9090509259</v>
      </c>
      <c r="Z467" s="18" t="n">
        <f aca="false">IF(I467="",0,IF(ISNUMBER(SEARCH("mp",LOWER(J467))),I467,IF(ISNUMBER(SEARCH("ton",LOWER(J467))),I467/0.33,IF(ISNUMBER(SEARCH("m3",LOWER(J467))),I467*4,I467))))</f>
        <v>32</v>
      </c>
      <c r="AA467" s="18" t="n">
        <f aca="false">IF(I467="",0,IF(ISNUMBER(SEARCH("mp",LOWER(J467))),I467*0.33,IF(ISNUMBER(SEARCH("ton",LOWER(J467))),I467,I467*0.33)))</f>
        <v>10.56</v>
      </c>
      <c r="AB467" s="18" t="n">
        <f aca="false">Tabela_dane[[#This Row],[Wolumen_t]]*8.5</f>
        <v>89.76</v>
      </c>
      <c r="AC467" s="18" t="n">
        <f aca="false">IF(G467&lt;&gt;"TAK",0,IF(OR(E467="ZAKUP",E467="PRODUKCJA"),Z467,IF(OR(E467="SPRZEDAŻ",E467="ZUŻYCIE"),-Z467,0)))</f>
        <v>32</v>
      </c>
      <c r="AD467" s="18" t="n">
        <f aca="false">IF(G467&lt;&gt;"TAK",0,IF(OR(E467="ZAKUP",E467="PRODUKCJA"),AA467,IF(OR(E467="SPRZEDAŻ",E467="ZUŻYCIE"),-AA467,0)))</f>
        <v>10.56</v>
      </c>
      <c r="AE467" s="19" t="n">
        <f aca="false">IF(E467="ZAKUP",IF(L467&lt;&gt;"",L467,IF(K467&lt;&gt;"",Z467*K467,0)),0)</f>
        <v>0</v>
      </c>
      <c r="AF467" s="19" t="n">
        <f aca="false">IF(E467="SPRZEDAŻ",IF(M467&lt;&gt;"",Z467*M467,0),0)</f>
        <v>0</v>
      </c>
      <c r="AG467" s="19" t="str">
        <f aca="false">IF(R467="","",IF(LOWER(R467)="brak","Brak",IF(OR(ISNUMBER(SEARCH("ric pl",LOWER(R467))),ISNUMBER(SEARCH("wojciechowski",LOWER(R467)))),"Własny","Zewnętrzny")))</f>
        <v/>
      </c>
      <c r="AH467" s="19" t="n">
        <f aca="false">Z467*Q467</f>
        <v>320</v>
      </c>
      <c r="AI467" s="19" t="str">
        <f aca="false">UPPER(TEXT(C467,"mmmm"))</f>
        <v>AUGUST</v>
      </c>
      <c r="AJ467" s="19" t="str">
        <f aca="false">IF(C467="","",TEXT(C467,"rrrr"))</f>
        <v>CE5786CE5786</v>
      </c>
      <c r="AK467" s="10"/>
      <c r="AL467" s="11" t="n">
        <v>0</v>
      </c>
      <c r="AM467" s="10" t="s">
        <v>867</v>
      </c>
      <c r="AN467" s="10" t="s">
        <v>59</v>
      </c>
      <c r="AO467" s="10"/>
      <c r="AP467" s="10"/>
      <c r="AQ467" s="10"/>
      <c r="AR467" s="10" t="s">
        <v>66</v>
      </c>
      <c r="AS467" s="10"/>
      <c r="AT467" s="15" t="n">
        <v>1</v>
      </c>
    </row>
    <row r="468" customFormat="false" ht="28.5" hidden="false" customHeight="true" outlineLevel="0" collapsed="false">
      <c r="A468" s="12" t="n">
        <v>46254</v>
      </c>
      <c r="B468" s="12"/>
      <c r="C468" s="12" t="n">
        <v>46254</v>
      </c>
      <c r="D468" s="10" t="s">
        <v>54</v>
      </c>
      <c r="E468" s="10" t="s">
        <v>79</v>
      </c>
      <c r="F468" s="13" t="s">
        <v>864</v>
      </c>
      <c r="G468" s="14" t="s">
        <v>49</v>
      </c>
      <c r="H468" s="10" t="s">
        <v>76</v>
      </c>
      <c r="I468" s="15" t="n">
        <v>32</v>
      </c>
      <c r="J468" s="10" t="s">
        <v>51</v>
      </c>
      <c r="K468" s="15" t="n">
        <v>0</v>
      </c>
      <c r="L468" s="11" t="n">
        <v>0</v>
      </c>
      <c r="M468" s="11" t="n">
        <v>0</v>
      </c>
      <c r="N468" s="10" t="s">
        <v>258</v>
      </c>
      <c r="O468" s="10" t="s">
        <v>67</v>
      </c>
      <c r="P468" s="10" t="s">
        <v>53</v>
      </c>
      <c r="Q468" s="16" t="n">
        <v>10</v>
      </c>
      <c r="R468" s="10"/>
      <c r="S468" s="10"/>
      <c r="T468" s="10" t="n">
        <v>0</v>
      </c>
      <c r="U468" s="11" t="n">
        <f aca="false">IF(E468="TRANSPORT",IF(T468="","",T468*5),IF(AL468="","",AL468))</f>
        <v>0</v>
      </c>
      <c r="V468" s="10" t="s">
        <v>54</v>
      </c>
      <c r="W468" s="15" t="s">
        <v>260</v>
      </c>
      <c r="X468" s="15" t="s">
        <v>54</v>
      </c>
      <c r="Y468" s="17" t="n">
        <v>46257.9090509259</v>
      </c>
      <c r="Z468" s="18" t="n">
        <f aca="false">IF(I468="",0,IF(ISNUMBER(SEARCH("mp",LOWER(J468))),I468,IF(ISNUMBER(SEARCH("ton",LOWER(J468))),I468/0.33,IF(ISNUMBER(SEARCH("m3",LOWER(J468))),I468*4,I468))))</f>
        <v>32</v>
      </c>
      <c r="AA468" s="18" t="n">
        <f aca="false">IF(I468="",0,IF(ISNUMBER(SEARCH("mp",LOWER(J468))),I468*0.33,IF(ISNUMBER(SEARCH("ton",LOWER(J468))),I468,I468*0.33)))</f>
        <v>10.56</v>
      </c>
      <c r="AB468" s="18" t="n">
        <f aca="false">Tabela_dane[[#This Row],[Wolumen_t]]*8.5</f>
        <v>89.76</v>
      </c>
      <c r="AC468" s="18" t="n">
        <f aca="false">IF(G468&lt;&gt;"TAK",0,IF(OR(E468="ZAKUP",E468="PRODUKCJA"),Z468,IF(OR(E468="SPRZEDAŻ",E468="ZUŻYCIE"),-Z468,0)))</f>
        <v>-32</v>
      </c>
      <c r="AD468" s="18" t="n">
        <f aca="false">IF(G468&lt;&gt;"TAK",0,IF(OR(E468="ZAKUP",E468="PRODUKCJA"),AA468,IF(OR(E468="SPRZEDAŻ",E468="ZUŻYCIE"),-AA468,0)))</f>
        <v>-10.56</v>
      </c>
      <c r="AE468" s="19" t="n">
        <f aca="false">IF(E468="ZAKUP",IF(L468&lt;&gt;"",L468,IF(K468&lt;&gt;"",Z468*K468,0)),0)</f>
        <v>0</v>
      </c>
      <c r="AF468" s="19" t="n">
        <f aca="false">IF(E468="SPRZEDAŻ",IF(M468&lt;&gt;"",Z468*M468,0),0)</f>
        <v>0</v>
      </c>
      <c r="AG468" s="19" t="str">
        <f aca="false">IF(R468="","",IF(LOWER(R468)="brak","Brak",IF(OR(ISNUMBER(SEARCH("ric pl",LOWER(R468))),ISNUMBER(SEARCH("wojciechowski",LOWER(R468)))),"Własny","Zewnętrzny")))</f>
        <v/>
      </c>
      <c r="AH468" s="19" t="n">
        <f aca="false">Z468*Q468</f>
        <v>320</v>
      </c>
      <c r="AI468" s="19" t="str">
        <f aca="false">UPPER(TEXT(C468,"mmmm"))</f>
        <v>AUGUST</v>
      </c>
      <c r="AJ468" s="19" t="str">
        <f aca="false">IF(C468="","",TEXT(C468,"rrrr"))</f>
        <v>CE5786CE5786</v>
      </c>
      <c r="AK468" s="10"/>
      <c r="AL468" s="11" t="n">
        <v>0</v>
      </c>
      <c r="AM468" s="10" t="s">
        <v>867</v>
      </c>
      <c r="AN468" s="10" t="s">
        <v>59</v>
      </c>
      <c r="AO468" s="10"/>
      <c r="AP468" s="10"/>
      <c r="AQ468" s="10"/>
      <c r="AR468" s="10" t="s">
        <v>81</v>
      </c>
      <c r="AS468" s="10"/>
      <c r="AT468" s="15" t="n">
        <v>1</v>
      </c>
    </row>
    <row r="469" customFormat="false" ht="28.5" hidden="false" customHeight="true" outlineLevel="0" collapsed="false">
      <c r="A469" s="12" t="n">
        <v>46254</v>
      </c>
      <c r="B469" s="12" t="s">
        <v>404</v>
      </c>
      <c r="C469" s="12" t="n">
        <v>46254</v>
      </c>
      <c r="D469" s="10" t="s">
        <v>54</v>
      </c>
      <c r="E469" s="10" t="s">
        <v>63</v>
      </c>
      <c r="F469" s="13" t="s">
        <v>864</v>
      </c>
      <c r="G469" s="14" t="s">
        <v>49</v>
      </c>
      <c r="H469" s="10" t="s">
        <v>76</v>
      </c>
      <c r="I469" s="15" t="n">
        <v>32</v>
      </c>
      <c r="J469" s="10" t="s">
        <v>51</v>
      </c>
      <c r="K469" s="15" t="n">
        <v>0</v>
      </c>
      <c r="L469" s="11" t="n">
        <v>0</v>
      </c>
      <c r="M469" s="11" t="n">
        <v>0</v>
      </c>
      <c r="N469" s="10" t="s">
        <v>258</v>
      </c>
      <c r="O469" s="10" t="s">
        <v>67</v>
      </c>
      <c r="P469" s="10"/>
      <c r="Q469" s="16" t="n">
        <v>0</v>
      </c>
      <c r="R469" s="10" t="s">
        <v>94</v>
      </c>
      <c r="S469" s="10" t="s">
        <v>95</v>
      </c>
      <c r="T469" s="10" t="n">
        <v>182</v>
      </c>
      <c r="U469" s="11" t="n">
        <f aca="false">IF(E469="TRANSPORT",IF(T469="","",T469*5),IF(AL469="","",AL469))</f>
        <v>910</v>
      </c>
      <c r="V469" s="10" t="s">
        <v>54</v>
      </c>
      <c r="W469" s="15" t="s">
        <v>629</v>
      </c>
      <c r="X469" s="15"/>
      <c r="Y469" s="17" t="n">
        <v>46257.9106944444</v>
      </c>
      <c r="Z469" s="18" t="n">
        <f aca="false">IF(I469="",0,IF(ISNUMBER(SEARCH("mp",LOWER(J469))),I469,IF(ISNUMBER(SEARCH("ton",LOWER(J469))),I469/0.33,IF(ISNUMBER(SEARCH("m3",LOWER(J469))),I469*4,I469))))</f>
        <v>32</v>
      </c>
      <c r="AA469" s="18" t="n">
        <f aca="false">IF(I469="",0,IF(ISNUMBER(SEARCH("mp",LOWER(J469))),I469*0.33,IF(ISNUMBER(SEARCH("ton",LOWER(J469))),I469,I469*0.33)))</f>
        <v>10.56</v>
      </c>
      <c r="AB469" s="18" t="n">
        <f aca="false">Tabela_dane[[#This Row],[Wolumen_t]]*8.5</f>
        <v>89.76</v>
      </c>
      <c r="AC469" s="18" t="n">
        <f aca="false">IF(G469&lt;&gt;"TAK",0,IF(OR(E469="ZAKUP",E469="PRODUKCJA"),Z469,IF(OR(E469="SPRZEDAŻ",E469="ZUŻYCIE"),-Z469,0)))</f>
        <v>32</v>
      </c>
      <c r="AD469" s="18" t="n">
        <f aca="false">IF(G469&lt;&gt;"TAK",0,IF(OR(E469="ZAKUP",E469="PRODUKCJA"),AA469,IF(OR(E469="SPRZEDAŻ",E469="ZUŻYCIE"),-AA469,0)))</f>
        <v>10.56</v>
      </c>
      <c r="AE469" s="19" t="n">
        <f aca="false">IF(E469="ZAKUP",IF(L469&lt;&gt;"",L469,IF(K469&lt;&gt;"",Z469*K469,0)),0)</f>
        <v>0</v>
      </c>
      <c r="AF469" s="19" t="n">
        <f aca="false">IF(E469="SPRZEDAŻ",IF(M469&lt;&gt;"",Z469*M469,0),0)</f>
        <v>0</v>
      </c>
      <c r="AG469" s="19" t="str">
        <f aca="false">IF(R469="","",IF(LOWER(R469)="brak","Brak",IF(OR(ISNUMBER(SEARCH("ric pl",LOWER(R469))),ISNUMBER(SEARCH("wojciechowski",LOWER(R469)))),"Własny","Zewnętrzny")))</f>
        <v>Zewnętrzny</v>
      </c>
      <c r="AH469" s="19" t="n">
        <f aca="false">Z469*Q469</f>
        <v>0</v>
      </c>
      <c r="AI469" s="19" t="str">
        <f aca="false">UPPER(TEXT(C469,"mmmm"))</f>
        <v>AUGUST</v>
      </c>
      <c r="AJ469" s="19" t="str">
        <f aca="false">IF(C469="","",TEXT(C469,"rrrr"))</f>
        <v>CE5786CE5786</v>
      </c>
      <c r="AK469" s="10"/>
      <c r="AL469" s="11" t="n">
        <v>910</v>
      </c>
      <c r="AM469" s="10" t="s">
        <v>868</v>
      </c>
      <c r="AN469" s="10" t="s">
        <v>49</v>
      </c>
      <c r="AO469" s="10"/>
      <c r="AP469" s="10"/>
      <c r="AQ469" s="10"/>
      <c r="AR469" s="10" t="s">
        <v>66</v>
      </c>
      <c r="AS469" s="10"/>
      <c r="AT469" s="15" t="n">
        <v>1</v>
      </c>
    </row>
    <row r="470" customFormat="false" ht="28.5" hidden="false" customHeight="true" outlineLevel="0" collapsed="false">
      <c r="A470" s="12" t="n">
        <v>46255</v>
      </c>
      <c r="B470" s="12"/>
      <c r="C470" s="12" t="n">
        <v>46255</v>
      </c>
      <c r="D470" s="10" t="s">
        <v>46</v>
      </c>
      <c r="E470" s="10" t="s">
        <v>63</v>
      </c>
      <c r="F470" s="20" t="s">
        <v>869</v>
      </c>
      <c r="G470" s="14" t="s">
        <v>49</v>
      </c>
      <c r="H470" s="10" t="s">
        <v>76</v>
      </c>
      <c r="I470" s="15" t="n">
        <v>27.16</v>
      </c>
      <c r="J470" s="10" t="s">
        <v>77</v>
      </c>
      <c r="K470" s="15" t="n">
        <v>230</v>
      </c>
      <c r="L470" s="11" t="n">
        <v>6246.8</v>
      </c>
      <c r="M470" s="11" t="n">
        <v>0</v>
      </c>
      <c r="N470" s="10" t="s">
        <v>64</v>
      </c>
      <c r="O470" s="10"/>
      <c r="P470" s="10"/>
      <c r="Q470" s="16" t="n">
        <v>0</v>
      </c>
      <c r="R470" s="10"/>
      <c r="S470" s="10"/>
      <c r="T470" s="10" t="n">
        <v>0</v>
      </c>
      <c r="U470" s="11" t="n">
        <f aca="false">IF(E470="TRANSPORT",IF(T470="","",T470*5),IF(AL470="","",AL470))</f>
        <v>0</v>
      </c>
      <c r="V470" s="10" t="s">
        <v>54</v>
      </c>
      <c r="W470" s="15" t="s">
        <v>870</v>
      </c>
      <c r="X470" s="15"/>
      <c r="Y470" s="17" t="n">
        <v>46258.4798958333</v>
      </c>
      <c r="Z470" s="18" t="n">
        <f aca="false">IF(I470="",0,IF(ISNUMBER(SEARCH("mp",LOWER(J470))),I470,IF(ISNUMBER(SEARCH("ton",LOWER(J470))),I470/0.33,IF(ISNUMBER(SEARCH("m3",LOWER(J470))),I470*4,I470))))</f>
        <v>108.64</v>
      </c>
      <c r="AA470" s="18" t="n">
        <f aca="false">IF(I470="",0,IF(ISNUMBER(SEARCH("mp",LOWER(J470))),I470*0.33,IF(ISNUMBER(SEARCH("ton",LOWER(J470))),I470,I470*0.33)))</f>
        <v>8.9628</v>
      </c>
      <c r="AB470" s="18" t="n">
        <f aca="false">Tabela_dane[[#This Row],[Wolumen_t]]*8.5</f>
        <v>76.1838</v>
      </c>
      <c r="AC470" s="18" t="n">
        <f aca="false">IF(G470&lt;&gt;"TAK",0,IF(OR(E470="ZAKUP",E470="PRODUKCJA"),Z470,IF(OR(E470="SPRZEDAŻ",E470="ZUŻYCIE"),-Z470,0)))</f>
        <v>108.64</v>
      </c>
      <c r="AD470" s="18" t="n">
        <f aca="false">IF(G470&lt;&gt;"TAK",0,IF(OR(E470="ZAKUP",E470="PRODUKCJA"),AA470,IF(OR(E470="SPRZEDAŻ",E470="ZUŻYCIE"),-AA470,0)))</f>
        <v>8.9628</v>
      </c>
      <c r="AE470" s="19" t="n">
        <f aca="false">IF(E470="ZAKUP",IF(L470&lt;&gt;"",L470,IF(K470&lt;&gt;"",Z470*K470,0)),0)</f>
        <v>6246.8</v>
      </c>
      <c r="AF470" s="19" t="n">
        <f aca="false">IF(E470="SPRZEDAŻ",IF(M470&lt;&gt;"",Z470*M470,0),0)</f>
        <v>0</v>
      </c>
      <c r="AG470" s="19" t="str">
        <f aca="false">IF(R470="","",IF(LOWER(R470)="brak","Brak",IF(OR(ISNUMBER(SEARCH("ric pl",LOWER(R470))),ISNUMBER(SEARCH("wojciechowski",LOWER(R470)))),"Własny","Zewnętrzny")))</f>
        <v/>
      </c>
      <c r="AH470" s="19" t="n">
        <f aca="false">Z470*Q470</f>
        <v>0</v>
      </c>
      <c r="AI470" s="19" t="str">
        <f aca="false">UPPER(TEXT(C470,"mmmm"))</f>
        <v>AUGUST</v>
      </c>
      <c r="AJ470" s="19" t="str">
        <f aca="false">IF(C470="","",TEXT(C470,"rrrr"))</f>
        <v>CE5786CE5786</v>
      </c>
      <c r="AK470" s="10"/>
      <c r="AL470" s="11" t="n">
        <v>0</v>
      </c>
      <c r="AM470" s="10" t="s">
        <v>871</v>
      </c>
      <c r="AN470" s="10" t="s">
        <v>59</v>
      </c>
      <c r="AO470" s="10"/>
      <c r="AP470" s="10"/>
      <c r="AQ470" s="10"/>
      <c r="AR470" s="10" t="s">
        <v>66</v>
      </c>
      <c r="AS470" s="10"/>
      <c r="AT470" s="15" t="n">
        <v>1</v>
      </c>
    </row>
    <row r="471" customFormat="false" ht="28.5" hidden="false" customHeight="true" outlineLevel="0" collapsed="false">
      <c r="A471" s="12" t="n">
        <v>46255</v>
      </c>
      <c r="B471" s="12"/>
      <c r="C471" s="12" t="n">
        <v>46255</v>
      </c>
      <c r="D471" s="10" t="s">
        <v>694</v>
      </c>
      <c r="E471" s="10" t="s">
        <v>63</v>
      </c>
      <c r="F471" s="46" t="s">
        <v>872</v>
      </c>
      <c r="G471" s="14" t="s">
        <v>49</v>
      </c>
      <c r="H471" s="10" t="s">
        <v>50</v>
      </c>
      <c r="I471" s="15" t="n">
        <v>20</v>
      </c>
      <c r="J471" s="10" t="s">
        <v>77</v>
      </c>
      <c r="K471" s="15" t="n">
        <v>112</v>
      </c>
      <c r="L471" s="11" t="n">
        <v>2240</v>
      </c>
      <c r="M471" s="11" t="n">
        <v>0</v>
      </c>
      <c r="N471" s="10" t="s">
        <v>64</v>
      </c>
      <c r="O471" s="10"/>
      <c r="P471" s="10"/>
      <c r="Q471" s="16" t="n">
        <v>0</v>
      </c>
      <c r="R471" s="10"/>
      <c r="S471" s="10"/>
      <c r="T471" s="10" t="n">
        <v>0</v>
      </c>
      <c r="U471" s="11" t="n">
        <f aca="false">IF(E471="TRANSPORT",IF(T471="","",T471*5),IF(AL471="","",AL471))</f>
        <v>0</v>
      </c>
      <c r="V471" s="10" t="s">
        <v>54</v>
      </c>
      <c r="W471" s="15" t="s">
        <v>686</v>
      </c>
      <c r="X471" s="15"/>
      <c r="Y471" s="17" t="n">
        <v>46258.4829861111</v>
      </c>
      <c r="Z471" s="18" t="n">
        <f aca="false">IF(I471="",0,IF(ISNUMBER(SEARCH("mp",LOWER(J471))),I471,IF(ISNUMBER(SEARCH("ton",LOWER(J471))),I471/0.33,IF(ISNUMBER(SEARCH("m3",LOWER(J471))),I471*4,I471))))</f>
        <v>80</v>
      </c>
      <c r="AA471" s="18" t="n">
        <f aca="false">IF(I471="",0,IF(ISNUMBER(SEARCH("mp",LOWER(J471))),I471*0.33,IF(ISNUMBER(SEARCH("ton",LOWER(J471))),I471,I471*0.33)))</f>
        <v>6.6</v>
      </c>
      <c r="AB471" s="18" t="n">
        <f aca="false">Tabela_dane[[#This Row],[Wolumen_t]]*8.5</f>
        <v>56.1</v>
      </c>
      <c r="AC471" s="18" t="n">
        <f aca="false">IF(G471&lt;&gt;"TAK",0,IF(OR(E471="ZAKUP",E471="PRODUKCJA"),Z471,IF(OR(E471="SPRZEDAŻ",E471="ZUŻYCIE"),-Z471,0)))</f>
        <v>80</v>
      </c>
      <c r="AD471" s="18" t="n">
        <f aca="false">IF(G471&lt;&gt;"TAK",0,IF(OR(E471="ZAKUP",E471="PRODUKCJA"),AA471,IF(OR(E471="SPRZEDAŻ",E471="ZUŻYCIE"),-AA471,0)))</f>
        <v>6.6</v>
      </c>
      <c r="AE471" s="19" t="n">
        <f aca="false">IF(E471="ZAKUP",IF(L471&lt;&gt;"",L471,IF(K471&lt;&gt;"",Z471*K471,0)),0)</f>
        <v>2240</v>
      </c>
      <c r="AF471" s="19" t="n">
        <f aca="false">IF(E471="SPRZEDAŻ",IF(M471&lt;&gt;"",Z471*M471,0),0)</f>
        <v>0</v>
      </c>
      <c r="AG471" s="19" t="str">
        <f aca="false">IF(R471="","",IF(LOWER(R471)="brak","Brak",IF(OR(ISNUMBER(SEARCH("ric pl",LOWER(R471))),ISNUMBER(SEARCH("wojciechowski",LOWER(R471)))),"Własny","Zewnętrzny")))</f>
        <v/>
      </c>
      <c r="AH471" s="19" t="n">
        <f aca="false">Z471*Q471</f>
        <v>0</v>
      </c>
      <c r="AI471" s="19" t="str">
        <f aca="false">UPPER(TEXT(C471,"mmmm"))</f>
        <v>AUGUST</v>
      </c>
      <c r="AJ471" s="19" t="str">
        <f aca="false">IF(C471="","",TEXT(C471,"rrrr"))</f>
        <v>CE5786CE5786</v>
      </c>
      <c r="AK471" s="10"/>
      <c r="AL471" s="11" t="n">
        <v>0</v>
      </c>
      <c r="AM471" s="10" t="s">
        <v>873</v>
      </c>
      <c r="AN471" s="10" t="s">
        <v>59</v>
      </c>
      <c r="AO471" s="10"/>
      <c r="AP471" s="10"/>
      <c r="AQ471" s="10"/>
      <c r="AR471" s="10" t="s">
        <v>66</v>
      </c>
      <c r="AS471" s="10"/>
      <c r="AT471" s="15" t="n">
        <v>1</v>
      </c>
    </row>
    <row r="472" customFormat="false" ht="28.5" hidden="false" customHeight="true" outlineLevel="0" collapsed="false">
      <c r="A472" s="12" t="n">
        <v>46255</v>
      </c>
      <c r="B472" s="12"/>
      <c r="C472" s="12" t="n">
        <v>46255</v>
      </c>
      <c r="D472" s="10" t="s">
        <v>54</v>
      </c>
      <c r="E472" s="10" t="s">
        <v>47</v>
      </c>
      <c r="F472" s="13" t="s">
        <v>874</v>
      </c>
      <c r="G472" s="14" t="s">
        <v>49</v>
      </c>
      <c r="H472" s="10" t="s">
        <v>50</v>
      </c>
      <c r="I472" s="15" t="n">
        <v>80</v>
      </c>
      <c r="J472" s="10" t="s">
        <v>51</v>
      </c>
      <c r="K472" s="15" t="n">
        <v>0</v>
      </c>
      <c r="L472" s="11" t="n">
        <v>0</v>
      </c>
      <c r="M472" s="11" t="n">
        <v>0</v>
      </c>
      <c r="N472" s="10" t="s">
        <v>52</v>
      </c>
      <c r="O472" s="10" t="s">
        <v>67</v>
      </c>
      <c r="P472" s="10" t="s">
        <v>53</v>
      </c>
      <c r="Q472" s="16" t="n">
        <v>10</v>
      </c>
      <c r="R472" s="10"/>
      <c r="S472" s="10"/>
      <c r="T472" s="10" t="n">
        <v>0</v>
      </c>
      <c r="U472" s="11" t="n">
        <f aca="false">IF(E472="TRANSPORT",IF(T472="","",T472*5),IF(AL472="","",AL472))</f>
        <v>0</v>
      </c>
      <c r="V472" s="10" t="s">
        <v>54</v>
      </c>
      <c r="W472" s="15" t="s">
        <v>655</v>
      </c>
      <c r="X472" s="15" t="s">
        <v>54</v>
      </c>
      <c r="Y472" s="17" t="n">
        <v>46258.4837615741</v>
      </c>
      <c r="Z472" s="18" t="n">
        <f aca="false">IF(I472="",0,IF(ISNUMBER(SEARCH("mp",LOWER(J472))),I472,IF(ISNUMBER(SEARCH("ton",LOWER(J472))),I472/0.33,IF(ISNUMBER(SEARCH("m3",LOWER(J472))),I472*4,I472))))</f>
        <v>80</v>
      </c>
      <c r="AA472" s="18" t="n">
        <f aca="false">IF(I472="",0,IF(ISNUMBER(SEARCH("mp",LOWER(J472))),I472*0.33,IF(ISNUMBER(SEARCH("ton",LOWER(J472))),I472,I472*0.33)))</f>
        <v>26.4</v>
      </c>
      <c r="AB472" s="18" t="n">
        <f aca="false">Tabela_dane[[#This Row],[Wolumen_t]]*8.5</f>
        <v>224.4</v>
      </c>
      <c r="AC472" s="18" t="n">
        <f aca="false">IF(G472&lt;&gt;"TAK",0,IF(OR(E472="ZAKUP",E472="PRODUKCJA"),Z472,IF(OR(E472="SPRZEDAŻ",E472="ZUŻYCIE"),-Z472,0)))</f>
        <v>80</v>
      </c>
      <c r="AD472" s="18" t="n">
        <f aca="false">IF(G472&lt;&gt;"TAK",0,IF(OR(E472="ZAKUP",E472="PRODUKCJA"),AA472,IF(OR(E472="SPRZEDAŻ",E472="ZUŻYCIE"),-AA472,0)))</f>
        <v>26.4</v>
      </c>
      <c r="AE472" s="19" t="n">
        <f aca="false">IF(E472="ZAKUP",IF(L472&lt;&gt;"",L472,IF(K472&lt;&gt;"",Z472*K472,0)),0)</f>
        <v>0</v>
      </c>
      <c r="AF472" s="19" t="n">
        <f aca="false">IF(E472="SPRZEDAŻ",IF(M472&lt;&gt;"",Z472*M472,0),0)</f>
        <v>0</v>
      </c>
      <c r="AG472" s="19" t="str">
        <f aca="false">IF(R472="","",IF(LOWER(R472)="brak","Brak",IF(OR(ISNUMBER(SEARCH("ric pl",LOWER(R472))),ISNUMBER(SEARCH("wojciechowski",LOWER(R472)))),"Własny","Zewnętrzny")))</f>
        <v/>
      </c>
      <c r="AH472" s="19" t="n">
        <f aca="false">Z472*Q472</f>
        <v>800</v>
      </c>
      <c r="AI472" s="19" t="str">
        <f aca="false">UPPER(TEXT(C472,"mmmm"))</f>
        <v>AUGUST</v>
      </c>
      <c r="AJ472" s="19" t="str">
        <f aca="false">IF(C472="","",TEXT(C472,"rrrr"))</f>
        <v>CE5786CE5786</v>
      </c>
      <c r="AK472" s="10"/>
      <c r="AL472" s="11" t="n">
        <v>0</v>
      </c>
      <c r="AM472" s="10" t="s">
        <v>875</v>
      </c>
      <c r="AN472" s="10" t="s">
        <v>59</v>
      </c>
      <c r="AO472" s="10"/>
      <c r="AP472" s="10"/>
      <c r="AQ472" s="10"/>
      <c r="AR472" s="10" t="s">
        <v>66</v>
      </c>
      <c r="AS472" s="10"/>
      <c r="AT472" s="15" t="n">
        <v>1</v>
      </c>
    </row>
    <row r="473" customFormat="false" ht="28.5" hidden="false" customHeight="true" outlineLevel="0" collapsed="false">
      <c r="A473" s="12" t="n">
        <v>46255</v>
      </c>
      <c r="B473" s="12"/>
      <c r="C473" s="12" t="n">
        <v>46255</v>
      </c>
      <c r="D473" s="10" t="s">
        <v>54</v>
      </c>
      <c r="E473" s="10" t="s">
        <v>79</v>
      </c>
      <c r="F473" s="13" t="s">
        <v>874</v>
      </c>
      <c r="G473" s="14" t="s">
        <v>49</v>
      </c>
      <c r="H473" s="10" t="s">
        <v>50</v>
      </c>
      <c r="I473" s="15" t="n">
        <v>80</v>
      </c>
      <c r="J473" s="10" t="s">
        <v>51</v>
      </c>
      <c r="K473" s="15" t="n">
        <v>0</v>
      </c>
      <c r="L473" s="11" t="n">
        <v>0</v>
      </c>
      <c r="M473" s="11" t="n">
        <v>0</v>
      </c>
      <c r="N473" s="10" t="s">
        <v>52</v>
      </c>
      <c r="O473" s="10" t="s">
        <v>67</v>
      </c>
      <c r="P473" s="10" t="s">
        <v>53</v>
      </c>
      <c r="Q473" s="16" t="n">
        <v>10</v>
      </c>
      <c r="R473" s="10"/>
      <c r="S473" s="10"/>
      <c r="T473" s="10" t="n">
        <v>0</v>
      </c>
      <c r="U473" s="11" t="n">
        <f aca="false">IF(E473="TRANSPORT",IF(T473="","",T473*5),IF(AL473="","",AL473))</f>
        <v>0</v>
      </c>
      <c r="V473" s="10" t="s">
        <v>54</v>
      </c>
      <c r="W473" s="15" t="s">
        <v>260</v>
      </c>
      <c r="X473" s="15" t="s">
        <v>54</v>
      </c>
      <c r="Y473" s="17" t="n">
        <v>46258.4837731481</v>
      </c>
      <c r="Z473" s="18" t="n">
        <f aca="false">IF(I473="",0,IF(ISNUMBER(SEARCH("mp",LOWER(J473))),I473,IF(ISNUMBER(SEARCH("ton",LOWER(J473))),I473/0.33,IF(ISNUMBER(SEARCH("m3",LOWER(J473))),I473*4,I473))))</f>
        <v>80</v>
      </c>
      <c r="AA473" s="18" t="n">
        <f aca="false">IF(I473="",0,IF(ISNUMBER(SEARCH("mp",LOWER(J473))),I473*0.33,IF(ISNUMBER(SEARCH("ton",LOWER(J473))),I473,I473*0.33)))</f>
        <v>26.4</v>
      </c>
      <c r="AB473" s="18" t="n">
        <f aca="false">Tabela_dane[[#This Row],[Wolumen_t]]*8.5</f>
        <v>224.4</v>
      </c>
      <c r="AC473" s="18" t="n">
        <f aca="false">IF(G473&lt;&gt;"TAK",0,IF(OR(E473="ZAKUP",E473="PRODUKCJA"),Z473,IF(OR(E473="SPRZEDAŻ",E473="ZUŻYCIE"),-Z473,0)))</f>
        <v>-80</v>
      </c>
      <c r="AD473" s="18" t="n">
        <f aca="false">IF(G473&lt;&gt;"TAK",0,IF(OR(E473="ZAKUP",E473="PRODUKCJA"),AA473,IF(OR(E473="SPRZEDAŻ",E473="ZUŻYCIE"),-AA473,0)))</f>
        <v>-26.4</v>
      </c>
      <c r="AE473" s="19" t="n">
        <f aca="false">IF(E473="ZAKUP",IF(L473&lt;&gt;"",L473,IF(K473&lt;&gt;"",Z473*K473,0)),0)</f>
        <v>0</v>
      </c>
      <c r="AF473" s="19" t="n">
        <f aca="false">IF(E473="SPRZEDAŻ",IF(M473&lt;&gt;"",Z473*M473,0),0)</f>
        <v>0</v>
      </c>
      <c r="AG473" s="19" t="str">
        <f aca="false">IF(R473="","",IF(LOWER(R473)="brak","Brak",IF(OR(ISNUMBER(SEARCH("ric pl",LOWER(R473))),ISNUMBER(SEARCH("wojciechowski",LOWER(R473)))),"Własny","Zewnętrzny")))</f>
        <v/>
      </c>
      <c r="AH473" s="19" t="n">
        <f aca="false">Z473*Q473</f>
        <v>800</v>
      </c>
      <c r="AI473" s="19" t="str">
        <f aca="false">UPPER(TEXT(C473,"mmmm"))</f>
        <v>AUGUST</v>
      </c>
      <c r="AJ473" s="19" t="str">
        <f aca="false">IF(C473="","",TEXT(C473,"rrrr"))</f>
        <v>CE5786CE5786</v>
      </c>
      <c r="AK473" s="10"/>
      <c r="AL473" s="11" t="n">
        <v>0</v>
      </c>
      <c r="AM473" s="10" t="s">
        <v>875</v>
      </c>
      <c r="AN473" s="10" t="s">
        <v>59</v>
      </c>
      <c r="AO473" s="10"/>
      <c r="AP473" s="10"/>
      <c r="AQ473" s="10"/>
      <c r="AR473" s="10" t="s">
        <v>81</v>
      </c>
      <c r="AS473" s="10"/>
      <c r="AT473" s="15" t="n">
        <v>1</v>
      </c>
    </row>
    <row r="474" customFormat="false" ht="28.5" hidden="false" customHeight="true" outlineLevel="0" collapsed="false">
      <c r="A474" s="12" t="n">
        <v>46255</v>
      </c>
      <c r="B474" s="12" t="s">
        <v>700</v>
      </c>
      <c r="C474" s="12" t="n">
        <v>46255</v>
      </c>
      <c r="D474" s="10" t="s">
        <v>54</v>
      </c>
      <c r="E474" s="10" t="s">
        <v>63</v>
      </c>
      <c r="F474" s="13" t="s">
        <v>874</v>
      </c>
      <c r="G474" s="14" t="s">
        <v>49</v>
      </c>
      <c r="H474" s="10" t="s">
        <v>50</v>
      </c>
      <c r="I474" s="15" t="n">
        <v>80</v>
      </c>
      <c r="J474" s="10" t="s">
        <v>51</v>
      </c>
      <c r="K474" s="15" t="n">
        <v>0</v>
      </c>
      <c r="L474" s="11" t="n">
        <v>0</v>
      </c>
      <c r="M474" s="11" t="n">
        <v>0</v>
      </c>
      <c r="N474" s="10" t="s">
        <v>52</v>
      </c>
      <c r="O474" s="10" t="s">
        <v>67</v>
      </c>
      <c r="P474" s="10"/>
      <c r="Q474" s="16" t="n">
        <v>0</v>
      </c>
      <c r="R474" s="10" t="s">
        <v>94</v>
      </c>
      <c r="S474" s="10" t="s">
        <v>95</v>
      </c>
      <c r="T474" s="10" t="n">
        <v>62</v>
      </c>
      <c r="U474" s="11" t="n">
        <f aca="false">IF(E474="TRANSPORT",IF(T474="","",T474*5),IF(AL474="","",AL474))</f>
        <v>310</v>
      </c>
      <c r="V474" s="10" t="s">
        <v>54</v>
      </c>
      <c r="W474" s="15" t="s">
        <v>629</v>
      </c>
      <c r="X474" s="15"/>
      <c r="Y474" s="17" t="n">
        <v>46258.4852546296</v>
      </c>
      <c r="Z474" s="18" t="n">
        <f aca="false">IF(I474="",0,IF(ISNUMBER(SEARCH("mp",LOWER(J474))),I474,IF(ISNUMBER(SEARCH("ton",LOWER(J474))),I474/0.33,IF(ISNUMBER(SEARCH("m3",LOWER(J474))),I474*4,I474))))</f>
        <v>80</v>
      </c>
      <c r="AA474" s="18" t="n">
        <f aca="false">IF(I474="",0,IF(ISNUMBER(SEARCH("mp",LOWER(J474))),I474*0.33,IF(ISNUMBER(SEARCH("ton",LOWER(J474))),I474,I474*0.33)))</f>
        <v>26.4</v>
      </c>
      <c r="AB474" s="18" t="n">
        <f aca="false">Tabela_dane[[#This Row],[Wolumen_t]]*8.5</f>
        <v>224.4</v>
      </c>
      <c r="AC474" s="18" t="n">
        <f aca="false">IF(G474&lt;&gt;"TAK",0,IF(OR(E474="ZAKUP",E474="PRODUKCJA"),Z474,IF(OR(E474="SPRZEDAŻ",E474="ZUŻYCIE"),-Z474,0)))</f>
        <v>80</v>
      </c>
      <c r="AD474" s="18" t="n">
        <f aca="false">IF(G474&lt;&gt;"TAK",0,IF(OR(E474="ZAKUP",E474="PRODUKCJA"),AA474,IF(OR(E474="SPRZEDAŻ",E474="ZUŻYCIE"),-AA474,0)))</f>
        <v>26.4</v>
      </c>
      <c r="AE474" s="19" t="n">
        <f aca="false">IF(E474="ZAKUP",IF(L474&lt;&gt;"",L474,IF(K474&lt;&gt;"",Z474*K474,0)),0)</f>
        <v>0</v>
      </c>
      <c r="AF474" s="19" t="n">
        <f aca="false">IF(E474="SPRZEDAŻ",IF(M474&lt;&gt;"",Z474*M474,0),0)</f>
        <v>0</v>
      </c>
      <c r="AG474" s="19" t="str">
        <f aca="false">IF(R474="","",IF(LOWER(R474)="brak","Brak",IF(OR(ISNUMBER(SEARCH("ric pl",LOWER(R474))),ISNUMBER(SEARCH("wojciechowski",LOWER(R474)))),"Własny","Zewnętrzny")))</f>
        <v>Zewnętrzny</v>
      </c>
      <c r="AH474" s="19" t="n">
        <f aca="false">Z474*Q474</f>
        <v>0</v>
      </c>
      <c r="AI474" s="19" t="str">
        <f aca="false">UPPER(TEXT(C474,"mmmm"))</f>
        <v>AUGUST</v>
      </c>
      <c r="AJ474" s="19" t="str">
        <f aca="false">IF(C474="","",TEXT(C474,"rrrr"))</f>
        <v>CE5786CE5786</v>
      </c>
      <c r="AK474" s="10"/>
      <c r="AL474" s="11" t="n">
        <v>310</v>
      </c>
      <c r="AM474" s="10" t="s">
        <v>876</v>
      </c>
      <c r="AN474" s="10" t="s">
        <v>49</v>
      </c>
      <c r="AO474" s="10"/>
      <c r="AP474" s="10"/>
      <c r="AQ474" s="10"/>
      <c r="AR474" s="10" t="s">
        <v>66</v>
      </c>
      <c r="AS474" s="10"/>
      <c r="AT474" s="15" t="n">
        <v>1</v>
      </c>
    </row>
    <row r="475" customFormat="false" ht="28.5" hidden="false" customHeight="true" outlineLevel="0" collapsed="false">
      <c r="A475" s="12" t="n">
        <v>46255</v>
      </c>
      <c r="B475" s="12"/>
      <c r="C475" s="12" t="n">
        <v>46255</v>
      </c>
      <c r="D475" s="10" t="s">
        <v>694</v>
      </c>
      <c r="E475" s="10" t="s">
        <v>63</v>
      </c>
      <c r="F475" s="46" t="s">
        <v>877</v>
      </c>
      <c r="G475" s="14" t="s">
        <v>49</v>
      </c>
      <c r="H475" s="10" t="s">
        <v>50</v>
      </c>
      <c r="I475" s="15" t="n">
        <v>20</v>
      </c>
      <c r="J475" s="10" t="s">
        <v>77</v>
      </c>
      <c r="K475" s="15" t="n">
        <v>112</v>
      </c>
      <c r="L475" s="11" t="n">
        <v>2240</v>
      </c>
      <c r="M475" s="11" t="n">
        <v>0</v>
      </c>
      <c r="N475" s="10" t="s">
        <v>64</v>
      </c>
      <c r="O475" s="10"/>
      <c r="P475" s="10"/>
      <c r="Q475" s="16" t="n">
        <v>0</v>
      </c>
      <c r="R475" s="10"/>
      <c r="S475" s="10"/>
      <c r="T475" s="10" t="n">
        <v>0</v>
      </c>
      <c r="U475" s="11" t="n">
        <f aca="false">IF(E475="TRANSPORT",IF(T475="","",T475*5),IF(AL475="","",AL475))</f>
        <v>0</v>
      </c>
      <c r="V475" s="10" t="s">
        <v>54</v>
      </c>
      <c r="W475" s="15" t="s">
        <v>715</v>
      </c>
      <c r="X475" s="15"/>
      <c r="Y475" s="17" t="n">
        <v>46258.4865277778</v>
      </c>
      <c r="Z475" s="18" t="n">
        <f aca="false">IF(I475="",0,IF(ISNUMBER(SEARCH("mp",LOWER(J475))),I475,IF(ISNUMBER(SEARCH("ton",LOWER(J475))),I475/0.33,IF(ISNUMBER(SEARCH("m3",LOWER(J475))),I475*4,I475))))</f>
        <v>80</v>
      </c>
      <c r="AA475" s="18" t="n">
        <f aca="false">IF(I475="",0,IF(ISNUMBER(SEARCH("mp",LOWER(J475))),I475*0.33,IF(ISNUMBER(SEARCH("ton",LOWER(J475))),I475,I475*0.33)))</f>
        <v>6.6</v>
      </c>
      <c r="AB475" s="18" t="n">
        <f aca="false">Tabela_dane[[#This Row],[Wolumen_t]]*8.5</f>
        <v>56.1</v>
      </c>
      <c r="AC475" s="18" t="n">
        <f aca="false">IF(G475&lt;&gt;"TAK",0,IF(OR(E475="ZAKUP",E475="PRODUKCJA"),Z475,IF(OR(E475="SPRZEDAŻ",E475="ZUŻYCIE"),-Z475,0)))</f>
        <v>80</v>
      </c>
      <c r="AD475" s="18" t="n">
        <f aca="false">IF(G475&lt;&gt;"TAK",0,IF(OR(E475="ZAKUP",E475="PRODUKCJA"),AA475,IF(OR(E475="SPRZEDAŻ",E475="ZUŻYCIE"),-AA475,0)))</f>
        <v>6.6</v>
      </c>
      <c r="AE475" s="19" t="n">
        <f aca="false">IF(E475="ZAKUP",IF(L475&lt;&gt;"",L475,IF(K475&lt;&gt;"",Z475*K475,0)),0)</f>
        <v>2240</v>
      </c>
      <c r="AF475" s="19" t="n">
        <f aca="false">IF(E475="SPRZEDAŻ",IF(M475&lt;&gt;"",Z475*M475,0),0)</f>
        <v>0</v>
      </c>
      <c r="AG475" s="19" t="str">
        <f aca="false">IF(R475="","",IF(LOWER(R475)="brak","Brak",IF(OR(ISNUMBER(SEARCH("ric pl",LOWER(R475))),ISNUMBER(SEARCH("wojciechowski",LOWER(R475)))),"Własny","Zewnętrzny")))</f>
        <v/>
      </c>
      <c r="AH475" s="19" t="n">
        <f aca="false">Z475*Q475</f>
        <v>0</v>
      </c>
      <c r="AI475" s="19" t="str">
        <f aca="false">UPPER(TEXT(C475,"mmmm"))</f>
        <v>AUGUST</v>
      </c>
      <c r="AJ475" s="19" t="str">
        <f aca="false">IF(C475="","",TEXT(C475,"rrrr"))</f>
        <v>CE5786CE5786</v>
      </c>
      <c r="AK475" s="10"/>
      <c r="AL475" s="11" t="n">
        <v>0</v>
      </c>
      <c r="AM475" s="10" t="s">
        <v>878</v>
      </c>
      <c r="AN475" s="10" t="s">
        <v>59</v>
      </c>
      <c r="AO475" s="10"/>
      <c r="AP475" s="10"/>
      <c r="AQ475" s="10"/>
      <c r="AR475" s="10" t="s">
        <v>66</v>
      </c>
      <c r="AS475" s="10"/>
      <c r="AT475" s="15" t="n">
        <v>1</v>
      </c>
    </row>
    <row r="476" customFormat="false" ht="28.5" hidden="false" customHeight="true" outlineLevel="0" collapsed="false">
      <c r="A476" s="12" t="n">
        <v>46255</v>
      </c>
      <c r="B476" s="12"/>
      <c r="C476" s="12" t="n">
        <v>46255</v>
      </c>
      <c r="D476" s="10" t="s">
        <v>54</v>
      </c>
      <c r="E476" s="10" t="s">
        <v>47</v>
      </c>
      <c r="F476" s="13" t="s">
        <v>879</v>
      </c>
      <c r="G476" s="14" t="s">
        <v>49</v>
      </c>
      <c r="H476" s="10" t="s">
        <v>50</v>
      </c>
      <c r="I476" s="15" t="n">
        <v>80</v>
      </c>
      <c r="J476" s="10" t="s">
        <v>51</v>
      </c>
      <c r="K476" s="15" t="n">
        <v>0</v>
      </c>
      <c r="L476" s="11" t="n">
        <v>0</v>
      </c>
      <c r="M476" s="11" t="n">
        <v>0</v>
      </c>
      <c r="N476" s="10" t="s">
        <v>52</v>
      </c>
      <c r="O476" s="10" t="s">
        <v>67</v>
      </c>
      <c r="P476" s="10" t="s">
        <v>53</v>
      </c>
      <c r="Q476" s="16" t="n">
        <v>10</v>
      </c>
      <c r="R476" s="10"/>
      <c r="S476" s="10"/>
      <c r="T476" s="10" t="n">
        <v>0</v>
      </c>
      <c r="U476" s="11" t="n">
        <f aca="false">IF(E476="TRANSPORT",IF(T476="","",T476*5),IF(AL476="","",AL476))</f>
        <v>0</v>
      </c>
      <c r="V476" s="10" t="s">
        <v>54</v>
      </c>
      <c r="W476" s="15" t="s">
        <v>655</v>
      </c>
      <c r="X476" s="15" t="s">
        <v>54</v>
      </c>
      <c r="Y476" s="17" t="n">
        <v>46258.4872685185</v>
      </c>
      <c r="Z476" s="18" t="n">
        <f aca="false">IF(I476="",0,IF(ISNUMBER(SEARCH("mp",LOWER(J476))),I476,IF(ISNUMBER(SEARCH("ton",LOWER(J476))),I476/0.33,IF(ISNUMBER(SEARCH("m3",LOWER(J476))),I476*4,I476))))</f>
        <v>80</v>
      </c>
      <c r="AA476" s="18" t="n">
        <f aca="false">IF(I476="",0,IF(ISNUMBER(SEARCH("mp",LOWER(J476))),I476*0.33,IF(ISNUMBER(SEARCH("ton",LOWER(J476))),I476,I476*0.33)))</f>
        <v>26.4</v>
      </c>
      <c r="AB476" s="18" t="n">
        <f aca="false">Tabela_dane[[#This Row],[Wolumen_t]]*8.5</f>
        <v>224.4</v>
      </c>
      <c r="AC476" s="18" t="n">
        <f aca="false">IF(G476&lt;&gt;"TAK",0,IF(OR(E476="ZAKUP",E476="PRODUKCJA"),Z476,IF(OR(E476="SPRZEDAŻ",E476="ZUŻYCIE"),-Z476,0)))</f>
        <v>80</v>
      </c>
      <c r="AD476" s="18" t="n">
        <f aca="false">IF(G476&lt;&gt;"TAK",0,IF(OR(E476="ZAKUP",E476="PRODUKCJA"),AA476,IF(OR(E476="SPRZEDAŻ",E476="ZUŻYCIE"),-AA476,0)))</f>
        <v>26.4</v>
      </c>
      <c r="AE476" s="19" t="n">
        <f aca="false">IF(E476="ZAKUP",IF(L476&lt;&gt;"",L476,IF(K476&lt;&gt;"",Z476*K476,0)),0)</f>
        <v>0</v>
      </c>
      <c r="AF476" s="19" t="n">
        <f aca="false">IF(E476="SPRZEDAŻ",IF(M476&lt;&gt;"",Z476*M476,0),0)</f>
        <v>0</v>
      </c>
      <c r="AG476" s="19" t="str">
        <f aca="false">IF(R476="","",IF(LOWER(R476)="brak","Brak",IF(OR(ISNUMBER(SEARCH("ric pl",LOWER(R476))),ISNUMBER(SEARCH("wojciechowski",LOWER(R476)))),"Własny","Zewnętrzny")))</f>
        <v/>
      </c>
      <c r="AH476" s="19" t="n">
        <f aca="false">Z476*Q476</f>
        <v>800</v>
      </c>
      <c r="AI476" s="19" t="str">
        <f aca="false">UPPER(TEXT(C476,"mmmm"))</f>
        <v>AUGUST</v>
      </c>
      <c r="AJ476" s="19" t="str">
        <f aca="false">IF(C476="","",TEXT(C476,"rrrr"))</f>
        <v>CE5786CE5786</v>
      </c>
      <c r="AK476" s="10"/>
      <c r="AL476" s="11" t="n">
        <v>0</v>
      </c>
      <c r="AM476" s="10" t="s">
        <v>880</v>
      </c>
      <c r="AN476" s="10" t="s">
        <v>59</v>
      </c>
      <c r="AO476" s="10"/>
      <c r="AP476" s="10"/>
      <c r="AQ476" s="10"/>
      <c r="AR476" s="10" t="s">
        <v>66</v>
      </c>
      <c r="AS476" s="10"/>
      <c r="AT476" s="15" t="n">
        <v>1</v>
      </c>
    </row>
    <row r="477" customFormat="false" ht="28.5" hidden="false" customHeight="true" outlineLevel="0" collapsed="false">
      <c r="A477" s="12" t="n">
        <v>46255</v>
      </c>
      <c r="B477" s="12"/>
      <c r="C477" s="12" t="n">
        <v>46255</v>
      </c>
      <c r="D477" s="10" t="s">
        <v>54</v>
      </c>
      <c r="E477" s="10" t="s">
        <v>79</v>
      </c>
      <c r="F477" s="13" t="s">
        <v>879</v>
      </c>
      <c r="G477" s="14" t="s">
        <v>49</v>
      </c>
      <c r="H477" s="10" t="s">
        <v>50</v>
      </c>
      <c r="I477" s="15" t="n">
        <v>80</v>
      </c>
      <c r="J477" s="10" t="s">
        <v>51</v>
      </c>
      <c r="K477" s="15" t="n">
        <v>0</v>
      </c>
      <c r="L477" s="11" t="n">
        <v>0</v>
      </c>
      <c r="M477" s="11" t="n">
        <v>0</v>
      </c>
      <c r="N477" s="10" t="s">
        <v>52</v>
      </c>
      <c r="O477" s="10" t="s">
        <v>67</v>
      </c>
      <c r="P477" s="10" t="s">
        <v>53</v>
      </c>
      <c r="Q477" s="16" t="n">
        <v>10</v>
      </c>
      <c r="R477" s="10"/>
      <c r="S477" s="10"/>
      <c r="T477" s="10" t="n">
        <v>0</v>
      </c>
      <c r="U477" s="11" t="n">
        <f aca="false">IF(E477="TRANSPORT",IF(T477="","",T477*5),IF(AL477="","",AL477))</f>
        <v>0</v>
      </c>
      <c r="V477" s="10" t="s">
        <v>54</v>
      </c>
      <c r="W477" s="15" t="s">
        <v>260</v>
      </c>
      <c r="X477" s="15" t="s">
        <v>54</v>
      </c>
      <c r="Y477" s="17" t="n">
        <v>46258.4872800926</v>
      </c>
      <c r="Z477" s="18" t="n">
        <f aca="false">IF(I477="",0,IF(ISNUMBER(SEARCH("mp",LOWER(J477))),I477,IF(ISNUMBER(SEARCH("ton",LOWER(J477))),I477/0.33,IF(ISNUMBER(SEARCH("m3",LOWER(J477))),I477*4,I477))))</f>
        <v>80</v>
      </c>
      <c r="AA477" s="18" t="n">
        <f aca="false">IF(I477="",0,IF(ISNUMBER(SEARCH("mp",LOWER(J477))),I477*0.33,IF(ISNUMBER(SEARCH("ton",LOWER(J477))),I477,I477*0.33)))</f>
        <v>26.4</v>
      </c>
      <c r="AB477" s="18" t="n">
        <f aca="false">Tabela_dane[[#This Row],[Wolumen_t]]*8.5</f>
        <v>224.4</v>
      </c>
      <c r="AC477" s="18" t="n">
        <f aca="false">IF(G477&lt;&gt;"TAK",0,IF(OR(E477="ZAKUP",E477="PRODUKCJA"),Z477,IF(OR(E477="SPRZEDAŻ",E477="ZUŻYCIE"),-Z477,0)))</f>
        <v>-80</v>
      </c>
      <c r="AD477" s="18" t="n">
        <f aca="false">IF(G477&lt;&gt;"TAK",0,IF(OR(E477="ZAKUP",E477="PRODUKCJA"),AA477,IF(OR(E477="SPRZEDAŻ",E477="ZUŻYCIE"),-AA477,0)))</f>
        <v>-26.4</v>
      </c>
      <c r="AE477" s="19" t="n">
        <f aca="false">IF(E477="ZAKUP",IF(L477&lt;&gt;"",L477,IF(K477&lt;&gt;"",Z477*K477,0)),0)</f>
        <v>0</v>
      </c>
      <c r="AF477" s="19" t="n">
        <f aca="false">IF(E477="SPRZEDAŻ",IF(M477&lt;&gt;"",Z477*M477,0),0)</f>
        <v>0</v>
      </c>
      <c r="AG477" s="19" t="str">
        <f aca="false">IF(R477="","",IF(LOWER(R477)="brak","Brak",IF(OR(ISNUMBER(SEARCH("ric pl",LOWER(R477))),ISNUMBER(SEARCH("wojciechowski",LOWER(R477)))),"Własny","Zewnętrzny")))</f>
        <v/>
      </c>
      <c r="AH477" s="19" t="n">
        <f aca="false">Z477*Q477</f>
        <v>800</v>
      </c>
      <c r="AI477" s="19" t="str">
        <f aca="false">UPPER(TEXT(C477,"mmmm"))</f>
        <v>AUGUST</v>
      </c>
      <c r="AJ477" s="19" t="str">
        <f aca="false">IF(C477="","",TEXT(C477,"rrrr"))</f>
        <v>CE5786CE5786</v>
      </c>
      <c r="AK477" s="10"/>
      <c r="AL477" s="11" t="n">
        <v>0</v>
      </c>
      <c r="AM477" s="10" t="s">
        <v>880</v>
      </c>
      <c r="AN477" s="10" t="s">
        <v>59</v>
      </c>
      <c r="AO477" s="10"/>
      <c r="AP477" s="10"/>
      <c r="AQ477" s="10"/>
      <c r="AR477" s="10" t="s">
        <v>81</v>
      </c>
      <c r="AS477" s="10"/>
      <c r="AT477" s="15" t="n">
        <v>1</v>
      </c>
    </row>
    <row r="478" customFormat="false" ht="28.5" hidden="false" customHeight="true" outlineLevel="0" collapsed="false">
      <c r="A478" s="12" t="n">
        <v>46255</v>
      </c>
      <c r="B478" s="12" t="s">
        <v>700</v>
      </c>
      <c r="C478" s="12" t="n">
        <v>46255</v>
      </c>
      <c r="D478" s="10" t="s">
        <v>54</v>
      </c>
      <c r="E478" s="10" t="s">
        <v>63</v>
      </c>
      <c r="F478" s="13" t="s">
        <v>879</v>
      </c>
      <c r="G478" s="14" t="s">
        <v>49</v>
      </c>
      <c r="H478" s="10" t="s">
        <v>50</v>
      </c>
      <c r="I478" s="15" t="n">
        <v>80</v>
      </c>
      <c r="J478" s="10" t="s">
        <v>51</v>
      </c>
      <c r="K478" s="15" t="n">
        <v>0</v>
      </c>
      <c r="L478" s="11" t="n">
        <v>0</v>
      </c>
      <c r="M478" s="11" t="n">
        <v>0</v>
      </c>
      <c r="N478" s="10" t="s">
        <v>52</v>
      </c>
      <c r="O478" s="10" t="s">
        <v>67</v>
      </c>
      <c r="P478" s="10"/>
      <c r="Q478" s="16" t="n">
        <v>0</v>
      </c>
      <c r="R478" s="10" t="s">
        <v>182</v>
      </c>
      <c r="S478" s="10" t="s">
        <v>509</v>
      </c>
      <c r="T478" s="10" t="n">
        <v>62</v>
      </c>
      <c r="U478" s="11" t="n">
        <f aca="false">IF(E478="TRANSPORT",IF(T478="","",T478*5),IF(AL478="","",AL478))</f>
        <v>310</v>
      </c>
      <c r="V478" s="10" t="s">
        <v>54</v>
      </c>
      <c r="W478" s="15" t="s">
        <v>629</v>
      </c>
      <c r="X478" s="15"/>
      <c r="Y478" s="17" t="n">
        <v>46258.4895949074</v>
      </c>
      <c r="Z478" s="18" t="n">
        <f aca="false">IF(I478="",0,IF(ISNUMBER(SEARCH("mp",LOWER(J478))),I478,IF(ISNUMBER(SEARCH("ton",LOWER(J478))),I478/0.33,IF(ISNUMBER(SEARCH("m3",LOWER(J478))),I478*4,I478))))</f>
        <v>80</v>
      </c>
      <c r="AA478" s="18" t="n">
        <f aca="false">IF(I478="",0,IF(ISNUMBER(SEARCH("mp",LOWER(J478))),I478*0.33,IF(ISNUMBER(SEARCH("ton",LOWER(J478))),I478,I478*0.33)))</f>
        <v>26.4</v>
      </c>
      <c r="AB478" s="18" t="n">
        <f aca="false">Tabela_dane[[#This Row],[Wolumen_t]]*8.5</f>
        <v>224.4</v>
      </c>
      <c r="AC478" s="18" t="n">
        <f aca="false">IF(G478&lt;&gt;"TAK",0,IF(OR(E478="ZAKUP",E478="PRODUKCJA"),Z478,IF(OR(E478="SPRZEDAŻ",E478="ZUŻYCIE"),-Z478,0)))</f>
        <v>80</v>
      </c>
      <c r="AD478" s="18" t="n">
        <f aca="false">IF(G478&lt;&gt;"TAK",0,IF(OR(E478="ZAKUP",E478="PRODUKCJA"),AA478,IF(OR(E478="SPRZEDAŻ",E478="ZUŻYCIE"),-AA478,0)))</f>
        <v>26.4</v>
      </c>
      <c r="AE478" s="19" t="n">
        <f aca="false">IF(E478="ZAKUP",IF(L478&lt;&gt;"",L478,IF(K478&lt;&gt;"",Z478*K478,0)),0)</f>
        <v>0</v>
      </c>
      <c r="AF478" s="19" t="n">
        <f aca="false">IF(E478="SPRZEDAŻ",IF(M478&lt;&gt;"",Z478*M478,0),0)</f>
        <v>0</v>
      </c>
      <c r="AG478" s="19" t="str">
        <f aca="false">IF(R478="","",IF(LOWER(R478)="brak","Brak",IF(OR(ISNUMBER(SEARCH("ric pl",LOWER(R478))),ISNUMBER(SEARCH("wojciechowski",LOWER(R478)))),"Własny","Zewnętrzny")))</f>
        <v>Zewnętrzny</v>
      </c>
      <c r="AH478" s="19" t="n">
        <f aca="false">Z478*Q478</f>
        <v>0</v>
      </c>
      <c r="AI478" s="19" t="str">
        <f aca="false">UPPER(TEXT(C478,"mmmm"))</f>
        <v>AUGUST</v>
      </c>
      <c r="AJ478" s="19" t="str">
        <f aca="false">IF(C478="","",TEXT(C478,"rrrr"))</f>
        <v>CE5786CE5786</v>
      </c>
      <c r="AK478" s="10"/>
      <c r="AL478" s="11" t="n">
        <v>310</v>
      </c>
      <c r="AM478" s="10" t="s">
        <v>881</v>
      </c>
      <c r="AN478" s="10" t="s">
        <v>49</v>
      </c>
      <c r="AO478" s="10"/>
      <c r="AP478" s="10"/>
      <c r="AQ478" s="10"/>
      <c r="AR478" s="10" t="s">
        <v>66</v>
      </c>
      <c r="AS478" s="10"/>
      <c r="AT478" s="15" t="n">
        <v>1</v>
      </c>
    </row>
    <row r="479" customFormat="false" ht="28.5" hidden="false" customHeight="true" outlineLevel="0" collapsed="false">
      <c r="A479" s="12" t="n">
        <v>46255</v>
      </c>
      <c r="B479" s="12"/>
      <c r="C479" s="12" t="n">
        <v>46255</v>
      </c>
      <c r="D479" s="10" t="s">
        <v>694</v>
      </c>
      <c r="E479" s="10" t="s">
        <v>63</v>
      </c>
      <c r="F479" s="46" t="s">
        <v>882</v>
      </c>
      <c r="G479" s="14" t="s">
        <v>49</v>
      </c>
      <c r="H479" s="10" t="s">
        <v>50</v>
      </c>
      <c r="I479" s="15" t="n">
        <v>12</v>
      </c>
      <c r="J479" s="10" t="s">
        <v>77</v>
      </c>
      <c r="K479" s="15" t="n">
        <v>112</v>
      </c>
      <c r="L479" s="11" t="n">
        <v>1344</v>
      </c>
      <c r="M479" s="11" t="n">
        <v>0</v>
      </c>
      <c r="N479" s="10" t="s">
        <v>64</v>
      </c>
      <c r="O479" s="10"/>
      <c r="P479" s="10"/>
      <c r="Q479" s="16" t="n">
        <v>0</v>
      </c>
      <c r="R479" s="10"/>
      <c r="S479" s="10"/>
      <c r="T479" s="10" t="n">
        <v>0</v>
      </c>
      <c r="U479" s="11" t="n">
        <f aca="false">IF(E479="TRANSPORT",IF(T479="","",T479*5),IF(AL479="","",AL479))</f>
        <v>0</v>
      </c>
      <c r="V479" s="10" t="s">
        <v>54</v>
      </c>
      <c r="W479" s="15" t="s">
        <v>883</v>
      </c>
      <c r="X479" s="15"/>
      <c r="Y479" s="17" t="n">
        <v>46258.4914583333</v>
      </c>
      <c r="Z479" s="18" t="n">
        <f aca="false">IF(I479="",0,IF(ISNUMBER(SEARCH("mp",LOWER(J479))),I479,IF(ISNUMBER(SEARCH("ton",LOWER(J479))),I479/0.33,IF(ISNUMBER(SEARCH("m3",LOWER(J479))),I479*4,I479))))</f>
        <v>48</v>
      </c>
      <c r="AA479" s="18" t="n">
        <f aca="false">IF(I479="",0,IF(ISNUMBER(SEARCH("mp",LOWER(J479))),I479*0.33,IF(ISNUMBER(SEARCH("ton",LOWER(J479))),I479,I479*0.33)))</f>
        <v>3.96</v>
      </c>
      <c r="AB479" s="18" t="n">
        <f aca="false">Tabela_dane[[#This Row],[Wolumen_t]]*8.5</f>
        <v>33.66</v>
      </c>
      <c r="AC479" s="18" t="n">
        <f aca="false">IF(G479&lt;&gt;"TAK",0,IF(OR(E479="ZAKUP",E479="PRODUKCJA"),Z479,IF(OR(E479="SPRZEDAŻ",E479="ZUŻYCIE"),-Z479,0)))</f>
        <v>48</v>
      </c>
      <c r="AD479" s="18" t="n">
        <f aca="false">IF(G479&lt;&gt;"TAK",0,IF(OR(E479="ZAKUP",E479="PRODUKCJA"),AA479,IF(OR(E479="SPRZEDAŻ",E479="ZUŻYCIE"),-AA479,0)))</f>
        <v>3.96</v>
      </c>
      <c r="AE479" s="19" t="n">
        <f aca="false">IF(E479="ZAKUP",IF(L479&lt;&gt;"",L479,IF(K479&lt;&gt;"",Z479*K479,0)),0)</f>
        <v>1344</v>
      </c>
      <c r="AF479" s="19" t="n">
        <f aca="false">IF(E479="SPRZEDAŻ",IF(M479&lt;&gt;"",Z479*M479,0),0)</f>
        <v>0</v>
      </c>
      <c r="AG479" s="19" t="str">
        <f aca="false">IF(R479="","",IF(LOWER(R479)="brak","Brak",IF(OR(ISNUMBER(SEARCH("ric pl",LOWER(R479))),ISNUMBER(SEARCH("wojciechowski",LOWER(R479)))),"Własny","Zewnętrzny")))</f>
        <v/>
      </c>
      <c r="AH479" s="19" t="n">
        <f aca="false">Z479*Q479</f>
        <v>0</v>
      </c>
      <c r="AI479" s="19" t="str">
        <f aca="false">UPPER(TEXT(C479,"mmmm"))</f>
        <v>AUGUST</v>
      </c>
      <c r="AJ479" s="19" t="str">
        <f aca="false">IF(C479="","",TEXT(C479,"rrrr"))</f>
        <v>CE5786CE5786</v>
      </c>
      <c r="AK479" s="10"/>
      <c r="AL479" s="11" t="n">
        <v>0</v>
      </c>
      <c r="AM479" s="10" t="s">
        <v>884</v>
      </c>
      <c r="AN479" s="10" t="s">
        <v>59</v>
      </c>
      <c r="AO479" s="10"/>
      <c r="AP479" s="10"/>
      <c r="AQ479" s="10"/>
      <c r="AR479" s="10" t="s">
        <v>66</v>
      </c>
      <c r="AS479" s="10"/>
      <c r="AT479" s="15" t="n">
        <v>1</v>
      </c>
    </row>
    <row r="480" customFormat="false" ht="28.5" hidden="false" customHeight="true" outlineLevel="0" collapsed="false">
      <c r="A480" s="12" t="n">
        <v>46255</v>
      </c>
      <c r="B480" s="12"/>
      <c r="C480" s="12" t="n">
        <v>46255</v>
      </c>
      <c r="D480" s="10" t="s">
        <v>54</v>
      </c>
      <c r="E480" s="10" t="s">
        <v>47</v>
      </c>
      <c r="F480" s="13" t="s">
        <v>885</v>
      </c>
      <c r="G480" s="14" t="s">
        <v>49</v>
      </c>
      <c r="H480" s="10" t="s">
        <v>50</v>
      </c>
      <c r="I480" s="15" t="n">
        <v>48</v>
      </c>
      <c r="J480" s="10" t="s">
        <v>51</v>
      </c>
      <c r="K480" s="15" t="n">
        <v>0</v>
      </c>
      <c r="L480" s="11" t="n">
        <v>0</v>
      </c>
      <c r="M480" s="11" t="n">
        <v>0</v>
      </c>
      <c r="N480" s="10" t="s">
        <v>52</v>
      </c>
      <c r="O480" s="10" t="s">
        <v>67</v>
      </c>
      <c r="P480" s="10" t="s">
        <v>53</v>
      </c>
      <c r="Q480" s="16" t="n">
        <v>10</v>
      </c>
      <c r="R480" s="10"/>
      <c r="S480" s="10"/>
      <c r="T480" s="10" t="n">
        <v>0</v>
      </c>
      <c r="U480" s="11" t="n">
        <f aca="false">IF(E480="TRANSPORT",IF(T480="","",T480*5),IF(AL480="","",AL480))</f>
        <v>0</v>
      </c>
      <c r="V480" s="10" t="s">
        <v>54</v>
      </c>
      <c r="W480" s="15" t="s">
        <v>655</v>
      </c>
      <c r="X480" s="15" t="s">
        <v>54</v>
      </c>
      <c r="Y480" s="17" t="n">
        <v>46258.4928819445</v>
      </c>
      <c r="Z480" s="18" t="n">
        <f aca="false">IF(I480="",0,IF(ISNUMBER(SEARCH("mp",LOWER(J480))),I480,IF(ISNUMBER(SEARCH("ton",LOWER(J480))),I480/0.33,IF(ISNUMBER(SEARCH("m3",LOWER(J480))),I480*4,I480))))</f>
        <v>48</v>
      </c>
      <c r="AA480" s="18" t="n">
        <f aca="false">IF(I480="",0,IF(ISNUMBER(SEARCH("mp",LOWER(J480))),I480*0.33,IF(ISNUMBER(SEARCH("ton",LOWER(J480))),I480,I480*0.33)))</f>
        <v>15.84</v>
      </c>
      <c r="AB480" s="18" t="n">
        <f aca="false">Tabela_dane[[#This Row],[Wolumen_t]]*8.5</f>
        <v>134.64</v>
      </c>
      <c r="AC480" s="18" t="n">
        <f aca="false">IF(G480&lt;&gt;"TAK",0,IF(OR(E480="ZAKUP",E480="PRODUKCJA"),Z480,IF(OR(E480="SPRZEDAŻ",E480="ZUŻYCIE"),-Z480,0)))</f>
        <v>48</v>
      </c>
      <c r="AD480" s="18" t="n">
        <f aca="false">IF(G480&lt;&gt;"TAK",0,IF(OR(E480="ZAKUP",E480="PRODUKCJA"),AA480,IF(OR(E480="SPRZEDAŻ",E480="ZUŻYCIE"),-AA480,0)))</f>
        <v>15.84</v>
      </c>
      <c r="AE480" s="19" t="n">
        <f aca="false">IF(E480="ZAKUP",IF(L480&lt;&gt;"",L480,IF(K480&lt;&gt;"",Z480*K480,0)),0)</f>
        <v>0</v>
      </c>
      <c r="AF480" s="19" t="n">
        <f aca="false">IF(E480="SPRZEDAŻ",IF(M480&lt;&gt;"",Z480*M480,0),0)</f>
        <v>0</v>
      </c>
      <c r="AG480" s="19" t="str">
        <f aca="false">IF(R480="","",IF(LOWER(R480)="brak","Brak",IF(OR(ISNUMBER(SEARCH("ric pl",LOWER(R480))),ISNUMBER(SEARCH("wojciechowski",LOWER(R480)))),"Własny","Zewnętrzny")))</f>
        <v/>
      </c>
      <c r="AH480" s="19" t="n">
        <f aca="false">Z480*Q480</f>
        <v>480</v>
      </c>
      <c r="AI480" s="19" t="str">
        <f aca="false">UPPER(TEXT(C480,"mmmm"))</f>
        <v>AUGUST</v>
      </c>
      <c r="AJ480" s="19" t="str">
        <f aca="false">IF(C480="","",TEXT(C480,"rrrr"))</f>
        <v>CE5786CE5786</v>
      </c>
      <c r="AK480" s="10"/>
      <c r="AL480" s="11" t="n">
        <v>0</v>
      </c>
      <c r="AM480" s="10" t="s">
        <v>886</v>
      </c>
      <c r="AN480" s="10" t="s">
        <v>59</v>
      </c>
      <c r="AO480" s="10"/>
      <c r="AP480" s="10"/>
      <c r="AQ480" s="10"/>
      <c r="AR480" s="10" t="s">
        <v>66</v>
      </c>
      <c r="AS480" s="10"/>
      <c r="AT480" s="15" t="n">
        <v>1</v>
      </c>
    </row>
    <row r="481" customFormat="false" ht="28.5" hidden="false" customHeight="true" outlineLevel="0" collapsed="false">
      <c r="A481" s="12" t="n">
        <v>46255</v>
      </c>
      <c r="B481" s="12"/>
      <c r="C481" s="12" t="n">
        <v>46255</v>
      </c>
      <c r="D481" s="10" t="s">
        <v>54</v>
      </c>
      <c r="E481" s="10" t="s">
        <v>79</v>
      </c>
      <c r="F481" s="13" t="s">
        <v>885</v>
      </c>
      <c r="G481" s="14" t="s">
        <v>49</v>
      </c>
      <c r="H481" s="10" t="s">
        <v>50</v>
      </c>
      <c r="I481" s="15" t="n">
        <v>48</v>
      </c>
      <c r="J481" s="10" t="s">
        <v>51</v>
      </c>
      <c r="K481" s="15" t="n">
        <v>0</v>
      </c>
      <c r="L481" s="11" t="n">
        <v>0</v>
      </c>
      <c r="M481" s="11" t="n">
        <v>0</v>
      </c>
      <c r="N481" s="10" t="s">
        <v>52</v>
      </c>
      <c r="O481" s="10" t="s">
        <v>67</v>
      </c>
      <c r="P481" s="10" t="s">
        <v>53</v>
      </c>
      <c r="Q481" s="16" t="n">
        <v>10</v>
      </c>
      <c r="R481" s="10"/>
      <c r="S481" s="10"/>
      <c r="T481" s="10" t="n">
        <v>0</v>
      </c>
      <c r="U481" s="11" t="n">
        <f aca="false">IF(E481="TRANSPORT",IF(T481="","",T481*5),IF(AL481="","",AL481))</f>
        <v>0</v>
      </c>
      <c r="V481" s="10" t="s">
        <v>54</v>
      </c>
      <c r="W481" s="15" t="s">
        <v>260</v>
      </c>
      <c r="X481" s="15" t="s">
        <v>54</v>
      </c>
      <c r="Y481" s="17" t="n">
        <v>46258.4928935185</v>
      </c>
      <c r="Z481" s="18" t="n">
        <f aca="false">IF(I481="",0,IF(ISNUMBER(SEARCH("mp",LOWER(J481))),I481,IF(ISNUMBER(SEARCH("ton",LOWER(J481))),I481/0.33,IF(ISNUMBER(SEARCH("m3",LOWER(J481))),I481*4,I481))))</f>
        <v>48</v>
      </c>
      <c r="AA481" s="18" t="n">
        <f aca="false">IF(I481="",0,IF(ISNUMBER(SEARCH("mp",LOWER(J481))),I481*0.33,IF(ISNUMBER(SEARCH("ton",LOWER(J481))),I481,I481*0.33)))</f>
        <v>15.84</v>
      </c>
      <c r="AB481" s="18" t="n">
        <f aca="false">Tabela_dane[[#This Row],[Wolumen_t]]*8.5</f>
        <v>134.64</v>
      </c>
      <c r="AC481" s="18" t="n">
        <f aca="false">IF(G481&lt;&gt;"TAK",0,IF(OR(E481="ZAKUP",E481="PRODUKCJA"),Z481,IF(OR(E481="SPRZEDAŻ",E481="ZUŻYCIE"),-Z481,0)))</f>
        <v>-48</v>
      </c>
      <c r="AD481" s="18" t="n">
        <f aca="false">IF(G481&lt;&gt;"TAK",0,IF(OR(E481="ZAKUP",E481="PRODUKCJA"),AA481,IF(OR(E481="SPRZEDAŻ",E481="ZUŻYCIE"),-AA481,0)))</f>
        <v>-15.84</v>
      </c>
      <c r="AE481" s="19" t="n">
        <f aca="false">IF(E481="ZAKUP",IF(L481&lt;&gt;"",L481,IF(K481&lt;&gt;"",Z481*K481,0)),0)</f>
        <v>0</v>
      </c>
      <c r="AF481" s="19" t="n">
        <f aca="false">IF(E481="SPRZEDAŻ",IF(M481&lt;&gt;"",Z481*M481,0),0)</f>
        <v>0</v>
      </c>
      <c r="AG481" s="19" t="str">
        <f aca="false">IF(R481="","",IF(LOWER(R481)="brak","Brak",IF(OR(ISNUMBER(SEARCH("ric pl",LOWER(R481))),ISNUMBER(SEARCH("wojciechowski",LOWER(R481)))),"Własny","Zewnętrzny")))</f>
        <v/>
      </c>
      <c r="AH481" s="19" t="n">
        <f aca="false">Z481*Q481</f>
        <v>480</v>
      </c>
      <c r="AI481" s="19" t="str">
        <f aca="false">UPPER(TEXT(C481,"mmmm"))</f>
        <v>AUGUST</v>
      </c>
      <c r="AJ481" s="19" t="str">
        <f aca="false">IF(C481="","",TEXT(C481,"rrrr"))</f>
        <v>CE5786CE5786</v>
      </c>
      <c r="AK481" s="10"/>
      <c r="AL481" s="11" t="n">
        <v>0</v>
      </c>
      <c r="AM481" s="10" t="s">
        <v>886</v>
      </c>
      <c r="AN481" s="10" t="s">
        <v>59</v>
      </c>
      <c r="AO481" s="10"/>
      <c r="AP481" s="10"/>
      <c r="AQ481" s="10"/>
      <c r="AR481" s="10" t="s">
        <v>81</v>
      </c>
      <c r="AS481" s="10"/>
      <c r="AT481" s="15" t="n">
        <v>1</v>
      </c>
    </row>
    <row r="482" customFormat="false" ht="28.5" hidden="false" customHeight="true" outlineLevel="0" collapsed="false">
      <c r="A482" s="12" t="n">
        <v>46255</v>
      </c>
      <c r="B482" s="12" t="s">
        <v>700</v>
      </c>
      <c r="C482" s="12" t="n">
        <v>46255</v>
      </c>
      <c r="D482" s="10" t="s">
        <v>54</v>
      </c>
      <c r="E482" s="10" t="s">
        <v>63</v>
      </c>
      <c r="F482" s="13" t="s">
        <v>885</v>
      </c>
      <c r="G482" s="14" t="s">
        <v>49</v>
      </c>
      <c r="H482" s="10" t="s">
        <v>50</v>
      </c>
      <c r="I482" s="15" t="n">
        <v>48</v>
      </c>
      <c r="J482" s="10" t="s">
        <v>51</v>
      </c>
      <c r="K482" s="15" t="n">
        <v>0</v>
      </c>
      <c r="L482" s="11" t="n">
        <v>0</v>
      </c>
      <c r="M482" s="11" t="n">
        <v>0</v>
      </c>
      <c r="N482" s="10" t="s">
        <v>52</v>
      </c>
      <c r="O482" s="10" t="s">
        <v>67</v>
      </c>
      <c r="P482" s="10"/>
      <c r="Q482" s="16" t="n">
        <v>0</v>
      </c>
      <c r="R482" s="10" t="s">
        <v>94</v>
      </c>
      <c r="S482" s="10" t="s">
        <v>95</v>
      </c>
      <c r="T482" s="10" t="n">
        <v>62</v>
      </c>
      <c r="U482" s="11" t="n">
        <f aca="false">IF(E482="TRANSPORT",IF(T482="","",T482*5),IF(AL482="","",AL482))</f>
        <v>310</v>
      </c>
      <c r="V482" s="10" t="s">
        <v>54</v>
      </c>
      <c r="W482" s="15" t="s">
        <v>629</v>
      </c>
      <c r="X482" s="15"/>
      <c r="Y482" s="17" t="n">
        <v>46258.4939583333</v>
      </c>
      <c r="Z482" s="18" t="n">
        <f aca="false">IF(I482="",0,IF(ISNUMBER(SEARCH("mp",LOWER(J482))),I482,IF(ISNUMBER(SEARCH("ton",LOWER(J482))),I482/0.33,IF(ISNUMBER(SEARCH("m3",LOWER(J482))),I482*4,I482))))</f>
        <v>48</v>
      </c>
      <c r="AA482" s="18" t="n">
        <f aca="false">IF(I482="",0,IF(ISNUMBER(SEARCH("mp",LOWER(J482))),I482*0.33,IF(ISNUMBER(SEARCH("ton",LOWER(J482))),I482,I482*0.33)))</f>
        <v>15.84</v>
      </c>
      <c r="AB482" s="18" t="n">
        <f aca="false">Tabela_dane[[#This Row],[Wolumen_t]]*8.5</f>
        <v>134.64</v>
      </c>
      <c r="AC482" s="18" t="n">
        <f aca="false">IF(G482&lt;&gt;"TAK",0,IF(OR(E482="ZAKUP",E482="PRODUKCJA"),Z482,IF(OR(E482="SPRZEDAŻ",E482="ZUŻYCIE"),-Z482,0)))</f>
        <v>48</v>
      </c>
      <c r="AD482" s="18" t="n">
        <f aca="false">IF(G482&lt;&gt;"TAK",0,IF(OR(E482="ZAKUP",E482="PRODUKCJA"),AA482,IF(OR(E482="SPRZEDAŻ",E482="ZUŻYCIE"),-AA482,0)))</f>
        <v>15.84</v>
      </c>
      <c r="AE482" s="19" t="n">
        <f aca="false">IF(E482="ZAKUP",IF(L482&lt;&gt;"",L482,IF(K482&lt;&gt;"",Z482*K482,0)),0)</f>
        <v>0</v>
      </c>
      <c r="AF482" s="19" t="n">
        <f aca="false">IF(E482="SPRZEDAŻ",IF(M482&lt;&gt;"",Z482*M482,0),0)</f>
        <v>0</v>
      </c>
      <c r="AG482" s="19" t="str">
        <f aca="false">IF(R482="","",IF(LOWER(R482)="brak","Brak",IF(OR(ISNUMBER(SEARCH("ric pl",LOWER(R482))),ISNUMBER(SEARCH("wojciechowski",LOWER(R482)))),"Własny","Zewnętrzny")))</f>
        <v>Zewnętrzny</v>
      </c>
      <c r="AH482" s="19" t="n">
        <f aca="false">Z482*Q482</f>
        <v>0</v>
      </c>
      <c r="AI482" s="19" t="str">
        <f aca="false">UPPER(TEXT(C482,"mmmm"))</f>
        <v>AUGUST</v>
      </c>
      <c r="AJ482" s="19" t="str">
        <f aca="false">IF(C482="","",TEXT(C482,"rrrr"))</f>
        <v>CE5786CE5786</v>
      </c>
      <c r="AK482" s="10"/>
      <c r="AL482" s="11" t="n">
        <v>310</v>
      </c>
      <c r="AM482" s="10" t="s">
        <v>887</v>
      </c>
      <c r="AN482" s="10" t="s">
        <v>49</v>
      </c>
      <c r="AO482" s="10"/>
      <c r="AP482" s="10"/>
      <c r="AQ482" s="10"/>
      <c r="AR482" s="10" t="s">
        <v>66</v>
      </c>
      <c r="AS482" s="10"/>
      <c r="AT482" s="15" t="n">
        <v>1</v>
      </c>
    </row>
    <row r="483" customFormat="false" ht="28.5" hidden="false" customHeight="true" outlineLevel="0" collapsed="false">
      <c r="A483" s="12" t="n">
        <v>46258</v>
      </c>
      <c r="B483" s="12"/>
      <c r="C483" s="12" t="n">
        <v>46258</v>
      </c>
      <c r="D483" s="10" t="s">
        <v>691</v>
      </c>
      <c r="E483" s="10" t="s">
        <v>63</v>
      </c>
      <c r="F483" s="13" t="s">
        <v>888</v>
      </c>
      <c r="G483" s="14" t="s">
        <v>49</v>
      </c>
      <c r="H483" s="10" t="s">
        <v>50</v>
      </c>
      <c r="I483" s="15" t="n">
        <v>92</v>
      </c>
      <c r="J483" s="10" t="s">
        <v>51</v>
      </c>
      <c r="K483" s="15" t="n">
        <v>117</v>
      </c>
      <c r="L483" s="11" t="n">
        <v>10764</v>
      </c>
      <c r="M483" s="11" t="n">
        <v>0</v>
      </c>
      <c r="N483" s="10" t="s">
        <v>104</v>
      </c>
      <c r="O483" s="10" t="s">
        <v>67</v>
      </c>
      <c r="P483" s="10"/>
      <c r="Q483" s="16" t="n">
        <v>0</v>
      </c>
      <c r="R483" s="10"/>
      <c r="S483" s="10"/>
      <c r="T483" s="10" t="n">
        <v>0</v>
      </c>
      <c r="U483" s="11" t="n">
        <f aca="false">IF(E483="TRANSPORT",IF(T483="","",T483*5),IF(AL483="","",AL483))</f>
        <v>0</v>
      </c>
      <c r="V483" s="10" t="s">
        <v>54</v>
      </c>
      <c r="W483" s="15" t="s">
        <v>889</v>
      </c>
      <c r="X483" s="15"/>
      <c r="Y483" s="17" t="n">
        <v>46258.4984953704</v>
      </c>
      <c r="Z483" s="18" t="n">
        <f aca="false">IF(I483="",0,IF(ISNUMBER(SEARCH("mp",LOWER(J483))),I483,IF(ISNUMBER(SEARCH("ton",LOWER(J483))),I483/0.33,IF(ISNUMBER(SEARCH("m3",LOWER(J483))),I483*4,I483))))</f>
        <v>92</v>
      </c>
      <c r="AA483" s="18" t="n">
        <f aca="false">IF(I483="",0,IF(ISNUMBER(SEARCH("mp",LOWER(J483))),I483*0.33,IF(ISNUMBER(SEARCH("ton",LOWER(J483))),I483,I483*0.33)))</f>
        <v>30.36</v>
      </c>
      <c r="AB483" s="18" t="n">
        <f aca="false">Tabela_dane[[#This Row],[Wolumen_t]]*8.5</f>
        <v>258.06</v>
      </c>
      <c r="AC483" s="18" t="n">
        <f aca="false">IF(G483&lt;&gt;"TAK",0,IF(OR(E483="ZAKUP",E483="PRODUKCJA"),Z483,IF(OR(E483="SPRZEDAŻ",E483="ZUŻYCIE"),-Z483,0)))</f>
        <v>92</v>
      </c>
      <c r="AD483" s="18" t="n">
        <f aca="false">IF(G483&lt;&gt;"TAK",0,IF(OR(E483="ZAKUP",E483="PRODUKCJA"),AA483,IF(OR(E483="SPRZEDAŻ",E483="ZUŻYCIE"),-AA483,0)))</f>
        <v>30.36</v>
      </c>
      <c r="AE483" s="19" t="n">
        <f aca="false">IF(E483="ZAKUP",IF(L483&lt;&gt;"",L483,IF(K483&lt;&gt;"",Z483*K483,0)),0)</f>
        <v>10764</v>
      </c>
      <c r="AF483" s="19" t="n">
        <f aca="false">IF(E483="SPRZEDAŻ",IF(M483&lt;&gt;"",Z483*M483,0),0)</f>
        <v>0</v>
      </c>
      <c r="AG483" s="19" t="str">
        <f aca="false">IF(R483="","",IF(LOWER(R483)="brak","Brak",IF(OR(ISNUMBER(SEARCH("ric pl",LOWER(R483))),ISNUMBER(SEARCH("wojciechowski",LOWER(R483)))),"Własny","Zewnętrzny")))</f>
        <v/>
      </c>
      <c r="AH483" s="19" t="n">
        <f aca="false">Z483*Q483</f>
        <v>0</v>
      </c>
      <c r="AI483" s="19" t="str">
        <f aca="false">UPPER(TEXT(C483,"mmmm"))</f>
        <v>AUGUST</v>
      </c>
      <c r="AJ483" s="19" t="str">
        <f aca="false">IF(C483="","",TEXT(C483,"rrrr"))</f>
        <v>CE5786CE5786</v>
      </c>
      <c r="AK483" s="10"/>
      <c r="AL483" s="11" t="n">
        <v>0</v>
      </c>
      <c r="AM483" s="10" t="s">
        <v>890</v>
      </c>
      <c r="AN483" s="10" t="s">
        <v>59</v>
      </c>
      <c r="AO483" s="10"/>
      <c r="AP483" s="10"/>
      <c r="AQ483" s="10"/>
      <c r="AR483" s="10" t="s">
        <v>66</v>
      </c>
      <c r="AS483" s="10"/>
      <c r="AT483" s="15" t="n">
        <v>1</v>
      </c>
    </row>
    <row r="484" customFormat="false" ht="28.5" hidden="false" customHeight="true" outlineLevel="0" collapsed="false">
      <c r="A484" s="12" t="n">
        <v>46258</v>
      </c>
      <c r="B484" s="12"/>
      <c r="C484" s="12" t="n">
        <v>46258</v>
      </c>
      <c r="D484" s="10" t="s">
        <v>650</v>
      </c>
      <c r="E484" s="10" t="s">
        <v>63</v>
      </c>
      <c r="F484" s="46" t="s">
        <v>891</v>
      </c>
      <c r="G484" s="14" t="s">
        <v>49</v>
      </c>
      <c r="H484" s="10" t="s">
        <v>50</v>
      </c>
      <c r="I484" s="15" t="n">
        <v>12</v>
      </c>
      <c r="J484" s="10" t="s">
        <v>77</v>
      </c>
      <c r="K484" s="15" t="n">
        <v>0</v>
      </c>
      <c r="L484" s="11" t="n">
        <v>0</v>
      </c>
      <c r="M484" s="11" t="n">
        <v>0</v>
      </c>
      <c r="N484" s="10" t="s">
        <v>64</v>
      </c>
      <c r="O484" s="10"/>
      <c r="P484" s="10"/>
      <c r="Q484" s="16" t="n">
        <v>0</v>
      </c>
      <c r="R484" s="10"/>
      <c r="S484" s="10"/>
      <c r="T484" s="10" t="n">
        <v>0</v>
      </c>
      <c r="U484" s="11" t="n">
        <f aca="false">IF(E484="TRANSPORT",IF(T484="","",T484*5),IF(AL484="","",AL484))</f>
        <v>0</v>
      </c>
      <c r="V484" s="10" t="s">
        <v>54</v>
      </c>
      <c r="W484" s="15" t="s">
        <v>65</v>
      </c>
      <c r="X484" s="15"/>
      <c r="Y484" s="17" t="n">
        <v>46264.9546875</v>
      </c>
      <c r="Z484" s="18" t="n">
        <f aca="false">IF(I484="",0,IF(ISNUMBER(SEARCH("mp",LOWER(J484))),I484,IF(ISNUMBER(SEARCH("ton",LOWER(J484))),I484/0.33,IF(ISNUMBER(SEARCH("m3",LOWER(J484))),I484*4,I484))))</f>
        <v>48</v>
      </c>
      <c r="AA484" s="18" t="n">
        <f aca="false">IF(I484="",0,IF(ISNUMBER(SEARCH("mp",LOWER(J484))),I484*0.33,IF(ISNUMBER(SEARCH("ton",LOWER(J484))),I484,I484*0.33)))</f>
        <v>3.96</v>
      </c>
      <c r="AB484" s="18" t="n">
        <f aca="false">Tabela_dane[[#This Row],[Wolumen_t]]*8.5</f>
        <v>33.66</v>
      </c>
      <c r="AC484" s="18" t="n">
        <f aca="false">IF(G484&lt;&gt;"TAK",0,IF(OR(E484="ZAKUP",E484="PRODUKCJA"),Z484,IF(OR(E484="SPRZEDAŻ",E484="ZUŻYCIE"),-Z484,0)))</f>
        <v>48</v>
      </c>
      <c r="AD484" s="18" t="n">
        <f aca="false">IF(G484&lt;&gt;"TAK",0,IF(OR(E484="ZAKUP",E484="PRODUKCJA"),AA484,IF(OR(E484="SPRZEDAŻ",E484="ZUŻYCIE"),-AA484,0)))</f>
        <v>3.96</v>
      </c>
      <c r="AE484" s="19" t="n">
        <f aca="false">IF(E484="ZAKUP",IF(L484&lt;&gt;"",L484,IF(K484&lt;&gt;"",Z484*K484,0)),0)</f>
        <v>0</v>
      </c>
      <c r="AF484" s="19" t="n">
        <f aca="false">IF(E484="SPRZEDAŻ",IF(M484&lt;&gt;"",Z484*M484,0),0)</f>
        <v>0</v>
      </c>
      <c r="AG484" s="19" t="str">
        <f aca="false">IF(R484="","",IF(LOWER(R484)="brak","Brak",IF(OR(ISNUMBER(SEARCH("ric pl",LOWER(R484))),ISNUMBER(SEARCH("wojciechowski",LOWER(R484)))),"Własny","Zewnętrzny")))</f>
        <v/>
      </c>
      <c r="AH484" s="19" t="n">
        <f aca="false">Z484*Q484</f>
        <v>0</v>
      </c>
      <c r="AI484" s="19" t="str">
        <f aca="false">UPPER(TEXT(C484,"mmmm"))</f>
        <v>AUGUST</v>
      </c>
      <c r="AJ484" s="19" t="str">
        <f aca="false">IF(C484="","",TEXT(C484,"rrrr"))</f>
        <v>CE5786CE5786</v>
      </c>
      <c r="AK484" s="10"/>
      <c r="AL484" s="11" t="n">
        <v>0</v>
      </c>
      <c r="AM484" s="10" t="s">
        <v>892</v>
      </c>
      <c r="AN484" s="10" t="s">
        <v>59</v>
      </c>
      <c r="AO484" s="10"/>
      <c r="AP484" s="10"/>
      <c r="AQ484" s="10"/>
      <c r="AR484" s="10" t="s">
        <v>66</v>
      </c>
      <c r="AS484" s="10"/>
      <c r="AT484" s="15" t="n">
        <v>1</v>
      </c>
    </row>
    <row r="485" customFormat="false" ht="28.5" hidden="false" customHeight="true" outlineLevel="0" collapsed="false">
      <c r="A485" s="12" t="n">
        <v>46258</v>
      </c>
      <c r="B485" s="12"/>
      <c r="C485" s="12" t="n">
        <v>46258</v>
      </c>
      <c r="D485" s="10" t="s">
        <v>54</v>
      </c>
      <c r="E485" s="10" t="s">
        <v>47</v>
      </c>
      <c r="F485" s="13" t="s">
        <v>893</v>
      </c>
      <c r="G485" s="14" t="s">
        <v>49</v>
      </c>
      <c r="H485" s="10" t="s">
        <v>50</v>
      </c>
      <c r="I485" s="15" t="n">
        <v>48</v>
      </c>
      <c r="J485" s="10" t="s">
        <v>51</v>
      </c>
      <c r="K485" s="15" t="n">
        <v>0</v>
      </c>
      <c r="L485" s="11" t="n">
        <v>0</v>
      </c>
      <c r="M485" s="11" t="n">
        <v>0</v>
      </c>
      <c r="N485" s="10" t="s">
        <v>52</v>
      </c>
      <c r="O485" s="10" t="s">
        <v>67</v>
      </c>
      <c r="P485" s="10" t="s">
        <v>53</v>
      </c>
      <c r="Q485" s="16" t="n">
        <v>10</v>
      </c>
      <c r="R485" s="10"/>
      <c r="S485" s="10"/>
      <c r="T485" s="10" t="n">
        <v>0</v>
      </c>
      <c r="U485" s="11" t="n">
        <f aca="false">IF(E485="TRANSPORT",IF(T485="","",T485*5),IF(AL485="","",AL485))</f>
        <v>0</v>
      </c>
      <c r="V485" s="10" t="s">
        <v>54</v>
      </c>
      <c r="W485" s="15" t="s">
        <v>65</v>
      </c>
      <c r="X485" s="15"/>
      <c r="Y485" s="17" t="n">
        <v>46264.9558564815</v>
      </c>
      <c r="Z485" s="18" t="n">
        <f aca="false">IF(I485="",0,IF(ISNUMBER(SEARCH("mp",LOWER(J485))),I485,IF(ISNUMBER(SEARCH("ton",LOWER(J485))),I485/0.33,IF(ISNUMBER(SEARCH("m3",LOWER(J485))),I485*4,I485))))</f>
        <v>48</v>
      </c>
      <c r="AA485" s="18" t="n">
        <f aca="false">IF(I485="",0,IF(ISNUMBER(SEARCH("mp",LOWER(J485))),I485*0.33,IF(ISNUMBER(SEARCH("ton",LOWER(J485))),I485,I485*0.33)))</f>
        <v>15.84</v>
      </c>
      <c r="AB485" s="18" t="n">
        <f aca="false">Tabela_dane[[#This Row],[Wolumen_t]]*8.5</f>
        <v>134.64</v>
      </c>
      <c r="AC485" s="18" t="n">
        <f aca="false">IF(G485&lt;&gt;"TAK",0,IF(OR(E485="ZAKUP",E485="PRODUKCJA"),Z485,IF(OR(E485="SPRZEDAŻ",E485="ZUŻYCIE"),-Z485,0)))</f>
        <v>48</v>
      </c>
      <c r="AD485" s="18" t="n">
        <f aca="false">IF(G485&lt;&gt;"TAK",0,IF(OR(E485="ZAKUP",E485="PRODUKCJA"),AA485,IF(OR(E485="SPRZEDAŻ",E485="ZUŻYCIE"),-AA485,0)))</f>
        <v>15.84</v>
      </c>
      <c r="AE485" s="19" t="n">
        <f aca="false">IF(E485="ZAKUP",IF(L485&lt;&gt;"",L485,IF(K485&lt;&gt;"",Z485*K485,0)),0)</f>
        <v>0</v>
      </c>
      <c r="AF485" s="19" t="n">
        <f aca="false">IF(E485="SPRZEDAŻ",IF(M485&lt;&gt;"",Z485*M485,0),0)</f>
        <v>0</v>
      </c>
      <c r="AG485" s="19" t="str">
        <f aca="false">IF(R485="","",IF(LOWER(R485)="brak","Brak",IF(OR(ISNUMBER(SEARCH("ric pl",LOWER(R485))),ISNUMBER(SEARCH("wojciechowski",LOWER(R485)))),"Własny","Zewnętrzny")))</f>
        <v/>
      </c>
      <c r="AH485" s="19" t="n">
        <f aca="false">Z485*Q485</f>
        <v>480</v>
      </c>
      <c r="AI485" s="19" t="str">
        <f aca="false">UPPER(TEXT(C485,"mmmm"))</f>
        <v>AUGUST</v>
      </c>
      <c r="AJ485" s="19" t="str">
        <f aca="false">IF(C485="","",TEXT(C485,"rrrr"))</f>
        <v>CE5786CE5786</v>
      </c>
      <c r="AK485" s="10"/>
      <c r="AL485" s="11" t="n">
        <v>0</v>
      </c>
      <c r="AM485" s="10" t="s">
        <v>894</v>
      </c>
      <c r="AN485" s="10" t="s">
        <v>59</v>
      </c>
      <c r="AO485" s="10"/>
      <c r="AP485" s="10"/>
      <c r="AQ485" s="10"/>
      <c r="AR485" s="10" t="s">
        <v>66</v>
      </c>
      <c r="AS485" s="10"/>
      <c r="AT485" s="15" t="n">
        <v>1</v>
      </c>
    </row>
    <row r="486" customFormat="false" ht="28.5" hidden="false" customHeight="true" outlineLevel="0" collapsed="false">
      <c r="A486" s="12" t="n">
        <v>46258</v>
      </c>
      <c r="B486" s="12"/>
      <c r="C486" s="12" t="n">
        <v>46258</v>
      </c>
      <c r="D486" s="10" t="s">
        <v>54</v>
      </c>
      <c r="E486" s="10" t="s">
        <v>79</v>
      </c>
      <c r="F486" s="13" t="s">
        <v>893</v>
      </c>
      <c r="G486" s="14" t="s">
        <v>49</v>
      </c>
      <c r="H486" s="10" t="s">
        <v>50</v>
      </c>
      <c r="I486" s="15" t="n">
        <v>48</v>
      </c>
      <c r="J486" s="10" t="s">
        <v>51</v>
      </c>
      <c r="K486" s="15" t="n">
        <v>0</v>
      </c>
      <c r="L486" s="11" t="n">
        <v>0</v>
      </c>
      <c r="M486" s="11" t="n">
        <v>0</v>
      </c>
      <c r="N486" s="10" t="s">
        <v>52</v>
      </c>
      <c r="O486" s="10" t="s">
        <v>67</v>
      </c>
      <c r="P486" s="10" t="s">
        <v>53</v>
      </c>
      <c r="Q486" s="16" t="n">
        <v>10</v>
      </c>
      <c r="R486" s="10"/>
      <c r="S486" s="10"/>
      <c r="T486" s="10" t="n">
        <v>0</v>
      </c>
      <c r="U486" s="11" t="n">
        <f aca="false">IF(E486="TRANSPORT",IF(T486="","",T486*5),IF(AL486="","",AL486))</f>
        <v>0</v>
      </c>
      <c r="V486" s="10" t="s">
        <v>54</v>
      </c>
      <c r="W486" s="15" t="s">
        <v>260</v>
      </c>
      <c r="X486" s="15"/>
      <c r="Y486" s="17" t="n">
        <v>46264.9558564815</v>
      </c>
      <c r="Z486" s="18" t="n">
        <f aca="false">IF(I486="",0,IF(ISNUMBER(SEARCH("mp",LOWER(J486))),I486,IF(ISNUMBER(SEARCH("ton",LOWER(J486))),I486/0.33,IF(ISNUMBER(SEARCH("m3",LOWER(J486))),I486*4,I486))))</f>
        <v>48</v>
      </c>
      <c r="AA486" s="18" t="n">
        <f aca="false">IF(I486="",0,IF(ISNUMBER(SEARCH("mp",LOWER(J486))),I486*0.33,IF(ISNUMBER(SEARCH("ton",LOWER(J486))),I486,I486*0.33)))</f>
        <v>15.84</v>
      </c>
      <c r="AB486" s="18" t="n">
        <f aca="false">Tabela_dane[[#This Row],[Wolumen_t]]*8.5</f>
        <v>134.64</v>
      </c>
      <c r="AC486" s="18" t="n">
        <f aca="false">IF(G486&lt;&gt;"TAK",0,IF(OR(E486="ZAKUP",E486="PRODUKCJA"),Z486,IF(OR(E486="SPRZEDAŻ",E486="ZUŻYCIE"),-Z486,0)))</f>
        <v>-48</v>
      </c>
      <c r="AD486" s="18" t="n">
        <f aca="false">IF(G486&lt;&gt;"TAK",0,IF(OR(E486="ZAKUP",E486="PRODUKCJA"),AA486,IF(OR(E486="SPRZEDAŻ",E486="ZUŻYCIE"),-AA486,0)))</f>
        <v>-15.84</v>
      </c>
      <c r="AE486" s="19" t="n">
        <f aca="false">IF(E486="ZAKUP",IF(L486&lt;&gt;"",L486,IF(K486&lt;&gt;"",Z486*K486,0)),0)</f>
        <v>0</v>
      </c>
      <c r="AF486" s="19" t="n">
        <f aca="false">IF(E486="SPRZEDAŻ",IF(M486&lt;&gt;"",Z486*M486,0),0)</f>
        <v>0</v>
      </c>
      <c r="AG486" s="19" t="str">
        <f aca="false">IF(R486="","",IF(LOWER(R486)="brak","Brak",IF(OR(ISNUMBER(SEARCH("ric pl",LOWER(R486))),ISNUMBER(SEARCH("wojciechowski",LOWER(R486)))),"Własny","Zewnętrzny")))</f>
        <v/>
      </c>
      <c r="AH486" s="19" t="n">
        <f aca="false">Z486*Q486</f>
        <v>480</v>
      </c>
      <c r="AI486" s="19" t="str">
        <f aca="false">UPPER(TEXT(C486,"mmmm"))</f>
        <v>AUGUST</v>
      </c>
      <c r="AJ486" s="19" t="str">
        <f aca="false">IF(C486="","",TEXT(C486,"rrrr"))</f>
        <v>CE5786CE5786</v>
      </c>
      <c r="AK486" s="10"/>
      <c r="AL486" s="11" t="n">
        <v>0</v>
      </c>
      <c r="AM486" s="10" t="s">
        <v>894</v>
      </c>
      <c r="AN486" s="10" t="s">
        <v>59</v>
      </c>
      <c r="AO486" s="10"/>
      <c r="AP486" s="10"/>
      <c r="AQ486" s="10"/>
      <c r="AR486" s="10" t="s">
        <v>81</v>
      </c>
      <c r="AS486" s="10"/>
      <c r="AT486" s="15" t="n">
        <v>1</v>
      </c>
    </row>
    <row r="487" customFormat="false" ht="28.5" hidden="false" customHeight="true" outlineLevel="0" collapsed="false">
      <c r="A487" s="12" t="n">
        <v>46258</v>
      </c>
      <c r="B487" s="12" t="s">
        <v>657</v>
      </c>
      <c r="C487" s="12" t="n">
        <v>46258</v>
      </c>
      <c r="D487" s="10" t="s">
        <v>54</v>
      </c>
      <c r="E487" s="10" t="s">
        <v>63</v>
      </c>
      <c r="F487" s="13" t="s">
        <v>893</v>
      </c>
      <c r="G487" s="14" t="s">
        <v>49</v>
      </c>
      <c r="H487" s="10" t="s">
        <v>50</v>
      </c>
      <c r="I487" s="15" t="n">
        <v>48</v>
      </c>
      <c r="J487" s="10" t="s">
        <v>51</v>
      </c>
      <c r="K487" s="15" t="n">
        <v>0</v>
      </c>
      <c r="L487" s="11" t="n">
        <v>0</v>
      </c>
      <c r="M487" s="11" t="n">
        <v>0</v>
      </c>
      <c r="N487" s="10" t="s">
        <v>52</v>
      </c>
      <c r="O487" s="10" t="s">
        <v>67</v>
      </c>
      <c r="P487" s="10"/>
      <c r="Q487" s="16" t="n">
        <v>0</v>
      </c>
      <c r="R487" s="10" t="s">
        <v>94</v>
      </c>
      <c r="S487" s="10" t="s">
        <v>95</v>
      </c>
      <c r="T487" s="10" t="n">
        <v>134</v>
      </c>
      <c r="U487" s="11" t="n">
        <f aca="false">IF(E487="TRANSPORT",IF(T487="","",T487*5),IF(AL487="","",AL487))</f>
        <v>670</v>
      </c>
      <c r="V487" s="10" t="s">
        <v>54</v>
      </c>
      <c r="W487" s="15" t="s">
        <v>70</v>
      </c>
      <c r="X487" s="15"/>
      <c r="Y487" s="17" t="n">
        <v>46264.9570023148</v>
      </c>
      <c r="Z487" s="18" t="n">
        <f aca="false">IF(I487="",0,IF(ISNUMBER(SEARCH("mp",LOWER(J487))),I487,IF(ISNUMBER(SEARCH("ton",LOWER(J487))),I487/0.33,IF(ISNUMBER(SEARCH("m3",LOWER(J487))),I487*4,I487))))</f>
        <v>48</v>
      </c>
      <c r="AA487" s="18" t="n">
        <f aca="false">IF(I487="",0,IF(ISNUMBER(SEARCH("mp",LOWER(J487))),I487*0.33,IF(ISNUMBER(SEARCH("ton",LOWER(J487))),I487,I487*0.33)))</f>
        <v>15.84</v>
      </c>
      <c r="AB487" s="18" t="n">
        <f aca="false">Tabela_dane[[#This Row],[Wolumen_t]]*8.5</f>
        <v>134.64</v>
      </c>
      <c r="AC487" s="18" t="n">
        <f aca="false">IF(G487&lt;&gt;"TAK",0,IF(OR(E487="ZAKUP",E487="PRODUKCJA"),Z487,IF(OR(E487="SPRZEDAŻ",E487="ZUŻYCIE"),-Z487,0)))</f>
        <v>48</v>
      </c>
      <c r="AD487" s="18" t="n">
        <f aca="false">IF(G487&lt;&gt;"TAK",0,IF(OR(E487="ZAKUP",E487="PRODUKCJA"),AA487,IF(OR(E487="SPRZEDAŻ",E487="ZUŻYCIE"),-AA487,0)))</f>
        <v>15.84</v>
      </c>
      <c r="AE487" s="19" t="n">
        <f aca="false">IF(E487="ZAKUP",IF(L487&lt;&gt;"",L487,IF(K487&lt;&gt;"",Z487*K487,0)),0)</f>
        <v>0</v>
      </c>
      <c r="AF487" s="19" t="n">
        <f aca="false">IF(E487="SPRZEDAŻ",IF(M487&lt;&gt;"",Z487*M487,0),0)</f>
        <v>0</v>
      </c>
      <c r="AG487" s="19" t="str">
        <f aca="false">IF(R487="","",IF(LOWER(R487)="brak","Brak",IF(OR(ISNUMBER(SEARCH("ric pl",LOWER(R487))),ISNUMBER(SEARCH("wojciechowski",LOWER(R487)))),"Własny","Zewnętrzny")))</f>
        <v>Zewnętrzny</v>
      </c>
      <c r="AH487" s="19" t="n">
        <f aca="false">Z487*Q487</f>
        <v>0</v>
      </c>
      <c r="AI487" s="19" t="str">
        <f aca="false">UPPER(TEXT(C487,"mmmm"))</f>
        <v>AUGUST</v>
      </c>
      <c r="AJ487" s="19" t="str">
        <f aca="false">IF(C487="","",TEXT(C487,"rrrr"))</f>
        <v>CE5786CE5786</v>
      </c>
      <c r="AK487" s="10"/>
      <c r="AL487" s="11" t="n">
        <v>670</v>
      </c>
      <c r="AM487" s="10" t="s">
        <v>895</v>
      </c>
      <c r="AN487" s="10" t="s">
        <v>49</v>
      </c>
      <c r="AO487" s="10"/>
      <c r="AP487" s="10"/>
      <c r="AQ487" s="10"/>
      <c r="AR487" s="10" t="s">
        <v>66</v>
      </c>
      <c r="AS487" s="10"/>
      <c r="AT487" s="15" t="n">
        <v>1</v>
      </c>
    </row>
    <row r="488" customFormat="false" ht="28.5" hidden="false" customHeight="true" outlineLevel="0" collapsed="false">
      <c r="A488" s="12" t="n">
        <v>46258</v>
      </c>
      <c r="B488" s="12"/>
      <c r="C488" s="12" t="n">
        <v>46258</v>
      </c>
      <c r="D488" s="10" t="s">
        <v>896</v>
      </c>
      <c r="E488" s="10" t="s">
        <v>63</v>
      </c>
      <c r="F488" s="46" t="s">
        <v>897</v>
      </c>
      <c r="G488" s="14" t="s">
        <v>49</v>
      </c>
      <c r="H488" s="10" t="s">
        <v>50</v>
      </c>
      <c r="I488" s="15" t="n">
        <v>16.22</v>
      </c>
      <c r="J488" s="10" t="s">
        <v>77</v>
      </c>
      <c r="K488" s="15" t="n">
        <v>0</v>
      </c>
      <c r="L488" s="11" t="n">
        <v>0</v>
      </c>
      <c r="M488" s="11" t="n">
        <v>0</v>
      </c>
      <c r="N488" s="10" t="s">
        <v>64</v>
      </c>
      <c r="O488" s="10"/>
      <c r="P488" s="10"/>
      <c r="Q488" s="16" t="n">
        <v>0</v>
      </c>
      <c r="R488" s="10"/>
      <c r="S488" s="10"/>
      <c r="T488" s="10" t="n">
        <v>0</v>
      </c>
      <c r="U488" s="11" t="n">
        <f aca="false">IF(E488="TRANSPORT",IF(T488="","",T488*5),IF(AL488="","",AL488))</f>
        <v>0</v>
      </c>
      <c r="V488" s="10" t="s">
        <v>54</v>
      </c>
      <c r="W488" s="15" t="s">
        <v>898</v>
      </c>
      <c r="X488" s="15"/>
      <c r="Y488" s="17" t="n">
        <v>46264.9611111111</v>
      </c>
      <c r="Z488" s="18" t="n">
        <f aca="false">IF(I488="",0,IF(ISNUMBER(SEARCH("mp",LOWER(J488))),I488,IF(ISNUMBER(SEARCH("ton",LOWER(J488))),I488/0.33,IF(ISNUMBER(SEARCH("m3",LOWER(J488))),I488*4,I488))))</f>
        <v>64.88</v>
      </c>
      <c r="AA488" s="18" t="n">
        <f aca="false">IF(I488="",0,IF(ISNUMBER(SEARCH("mp",LOWER(J488))),I488*0.33,IF(ISNUMBER(SEARCH("ton",LOWER(J488))),I488,I488*0.33)))</f>
        <v>5.3526</v>
      </c>
      <c r="AB488" s="18" t="n">
        <f aca="false">Tabela_dane[[#This Row],[Wolumen_t]]*8.5</f>
        <v>45.4971</v>
      </c>
      <c r="AC488" s="18" t="n">
        <f aca="false">IF(G488&lt;&gt;"TAK",0,IF(OR(E488="ZAKUP",E488="PRODUKCJA"),Z488,IF(OR(E488="SPRZEDAŻ",E488="ZUŻYCIE"),-Z488,0)))</f>
        <v>64.88</v>
      </c>
      <c r="AD488" s="18" t="n">
        <f aca="false">IF(G488&lt;&gt;"TAK",0,IF(OR(E488="ZAKUP",E488="PRODUKCJA"),AA488,IF(OR(E488="SPRZEDAŻ",E488="ZUŻYCIE"),-AA488,0)))</f>
        <v>5.3526</v>
      </c>
      <c r="AE488" s="19" t="n">
        <f aca="false">IF(E488="ZAKUP",IF(L488&lt;&gt;"",L488,IF(K488&lt;&gt;"",Z488*K488,0)),0)</f>
        <v>0</v>
      </c>
      <c r="AF488" s="19" t="n">
        <f aca="false">IF(E488="SPRZEDAŻ",IF(M488&lt;&gt;"",Z488*M488,0),0)</f>
        <v>0</v>
      </c>
      <c r="AG488" s="19" t="str">
        <f aca="false">IF(R488="","",IF(LOWER(R488)="brak","Brak",IF(OR(ISNUMBER(SEARCH("ric pl",LOWER(R488))),ISNUMBER(SEARCH("wojciechowski",LOWER(R488)))),"Własny","Zewnętrzny")))</f>
        <v/>
      </c>
      <c r="AH488" s="19" t="n">
        <f aca="false">Z488*Q488</f>
        <v>0</v>
      </c>
      <c r="AI488" s="19" t="str">
        <f aca="false">UPPER(TEXT(C488,"mmmm"))</f>
        <v>AUGUST</v>
      </c>
      <c r="AJ488" s="19" t="str">
        <f aca="false">IF(C488="","",TEXT(C488,"rrrr"))</f>
        <v>CE5786CE5786</v>
      </c>
      <c r="AK488" s="10"/>
      <c r="AL488" s="11" t="n">
        <v>0</v>
      </c>
      <c r="AM488" s="10" t="s">
        <v>899</v>
      </c>
      <c r="AN488" s="10" t="s">
        <v>59</v>
      </c>
      <c r="AO488" s="10"/>
      <c r="AP488" s="10"/>
      <c r="AQ488" s="10"/>
      <c r="AR488" s="10" t="s">
        <v>66</v>
      </c>
      <c r="AS488" s="10"/>
      <c r="AT488" s="15" t="n">
        <v>1</v>
      </c>
    </row>
    <row r="489" customFormat="false" ht="28.5" hidden="false" customHeight="true" outlineLevel="0" collapsed="false">
      <c r="A489" s="12" t="n">
        <v>46258</v>
      </c>
      <c r="B489" s="12"/>
      <c r="C489" s="12" t="n">
        <v>46258</v>
      </c>
      <c r="D489" s="10" t="s">
        <v>896</v>
      </c>
      <c r="E489" s="10" t="s">
        <v>47</v>
      </c>
      <c r="F489" s="13" t="s">
        <v>900</v>
      </c>
      <c r="G489" s="14" t="s">
        <v>49</v>
      </c>
      <c r="H489" s="10" t="s">
        <v>50</v>
      </c>
      <c r="I489" s="15" t="n">
        <v>64.88</v>
      </c>
      <c r="J489" s="10" t="s">
        <v>51</v>
      </c>
      <c r="K489" s="15" t="n">
        <v>0</v>
      </c>
      <c r="L489" s="11" t="n">
        <v>0</v>
      </c>
      <c r="M489" s="11" t="n">
        <v>0</v>
      </c>
      <c r="N489" s="10" t="s">
        <v>52</v>
      </c>
      <c r="O489" s="10" t="s">
        <v>67</v>
      </c>
      <c r="P489" s="10" t="s">
        <v>53</v>
      </c>
      <c r="Q489" s="16" t="n">
        <v>10</v>
      </c>
      <c r="R489" s="10"/>
      <c r="S489" s="10"/>
      <c r="T489" s="10" t="n">
        <v>0</v>
      </c>
      <c r="U489" s="11" t="n">
        <f aca="false">IF(E489="TRANSPORT",IF(T489="","",T489*5),IF(AL489="","",AL489))</f>
        <v>0</v>
      </c>
      <c r="V489" s="10" t="s">
        <v>54</v>
      </c>
      <c r="W489" s="15" t="s">
        <v>901</v>
      </c>
      <c r="X489" s="15"/>
      <c r="Y489" s="17" t="n">
        <v>46264.9639236111</v>
      </c>
      <c r="Z489" s="18" t="n">
        <f aca="false">IF(I489="",0,IF(ISNUMBER(SEARCH("mp",LOWER(J489))),I489,IF(ISNUMBER(SEARCH("ton",LOWER(J489))),I489/0.33,IF(ISNUMBER(SEARCH("m3",LOWER(J489))),I489*4,I489))))</f>
        <v>64.88</v>
      </c>
      <c r="AA489" s="18" t="n">
        <f aca="false">IF(I489="",0,IF(ISNUMBER(SEARCH("mp",LOWER(J489))),I489*0.33,IF(ISNUMBER(SEARCH("ton",LOWER(J489))),I489,I489*0.33)))</f>
        <v>21.4104</v>
      </c>
      <c r="AB489" s="18" t="n">
        <f aca="false">Tabela_dane[[#This Row],[Wolumen_t]]*8.5</f>
        <v>181.9884</v>
      </c>
      <c r="AC489" s="18" t="n">
        <f aca="false">IF(G489&lt;&gt;"TAK",0,IF(OR(E489="ZAKUP",E489="PRODUKCJA"),Z489,IF(OR(E489="SPRZEDAŻ",E489="ZUŻYCIE"),-Z489,0)))</f>
        <v>64.88</v>
      </c>
      <c r="AD489" s="18" t="n">
        <f aca="false">IF(G489&lt;&gt;"TAK",0,IF(OR(E489="ZAKUP",E489="PRODUKCJA"),AA489,IF(OR(E489="SPRZEDAŻ",E489="ZUŻYCIE"),-AA489,0)))</f>
        <v>21.4104</v>
      </c>
      <c r="AE489" s="19" t="n">
        <f aca="false">IF(E489="ZAKUP",IF(L489&lt;&gt;"",L489,IF(K489&lt;&gt;"",Z489*K489,0)),0)</f>
        <v>0</v>
      </c>
      <c r="AF489" s="19" t="n">
        <f aca="false">IF(E489="SPRZEDAŻ",IF(M489&lt;&gt;"",Z489*M489,0),0)</f>
        <v>0</v>
      </c>
      <c r="AG489" s="19" t="str">
        <f aca="false">IF(R489="","",IF(LOWER(R489)="brak","Brak",IF(OR(ISNUMBER(SEARCH("ric pl",LOWER(R489))),ISNUMBER(SEARCH("wojciechowski",LOWER(R489)))),"Własny","Zewnętrzny")))</f>
        <v/>
      </c>
      <c r="AH489" s="19" t="n">
        <f aca="false">Z489*Q489</f>
        <v>648.8</v>
      </c>
      <c r="AI489" s="19" t="str">
        <f aca="false">UPPER(TEXT(C489,"mmmm"))</f>
        <v>AUGUST</v>
      </c>
      <c r="AJ489" s="19" t="str">
        <f aca="false">IF(C489="","",TEXT(C489,"rrrr"))</f>
        <v>CE5786CE5786</v>
      </c>
      <c r="AK489" s="10"/>
      <c r="AL489" s="11" t="n">
        <v>0</v>
      </c>
      <c r="AM489" s="10" t="s">
        <v>902</v>
      </c>
      <c r="AN489" s="10" t="s">
        <v>59</v>
      </c>
      <c r="AO489" s="10"/>
      <c r="AP489" s="10"/>
      <c r="AQ489" s="10"/>
      <c r="AR489" s="10" t="s">
        <v>66</v>
      </c>
      <c r="AS489" s="10"/>
      <c r="AT489" s="15" t="n">
        <v>1</v>
      </c>
    </row>
    <row r="490" customFormat="false" ht="28.5" hidden="false" customHeight="true" outlineLevel="0" collapsed="false">
      <c r="A490" s="12" t="n">
        <v>46258</v>
      </c>
      <c r="B490" s="12"/>
      <c r="C490" s="12" t="n">
        <v>46258</v>
      </c>
      <c r="D490" s="10" t="s">
        <v>896</v>
      </c>
      <c r="E490" s="10" t="s">
        <v>79</v>
      </c>
      <c r="F490" s="13" t="s">
        <v>900</v>
      </c>
      <c r="G490" s="14" t="s">
        <v>49</v>
      </c>
      <c r="H490" s="10" t="s">
        <v>50</v>
      </c>
      <c r="I490" s="15" t="n">
        <v>64.88</v>
      </c>
      <c r="J490" s="10" t="s">
        <v>51</v>
      </c>
      <c r="K490" s="15" t="n">
        <v>0</v>
      </c>
      <c r="L490" s="11" t="n">
        <v>0</v>
      </c>
      <c r="M490" s="11" t="n">
        <v>0</v>
      </c>
      <c r="N490" s="10" t="s">
        <v>52</v>
      </c>
      <c r="O490" s="10" t="s">
        <v>67</v>
      </c>
      <c r="P490" s="10" t="s">
        <v>53</v>
      </c>
      <c r="Q490" s="16" t="n">
        <v>10</v>
      </c>
      <c r="R490" s="10"/>
      <c r="S490" s="10"/>
      <c r="T490" s="10" t="n">
        <v>0</v>
      </c>
      <c r="U490" s="11" t="n">
        <f aca="false">IF(E490="TRANSPORT",IF(T490="","",T490*5),IF(AL490="","",AL490))</f>
        <v>0</v>
      </c>
      <c r="V490" s="10" t="s">
        <v>54</v>
      </c>
      <c r="W490" s="15" t="s">
        <v>260</v>
      </c>
      <c r="X490" s="15"/>
      <c r="Y490" s="17" t="n">
        <v>46264.9639351852</v>
      </c>
      <c r="Z490" s="18" t="n">
        <f aca="false">IF(I490="",0,IF(ISNUMBER(SEARCH("mp",LOWER(J490))),I490,IF(ISNUMBER(SEARCH("ton",LOWER(J490))),I490/0.33,IF(ISNUMBER(SEARCH("m3",LOWER(J490))),I490*4,I490))))</f>
        <v>64.88</v>
      </c>
      <c r="AA490" s="18" t="n">
        <f aca="false">IF(I490="",0,IF(ISNUMBER(SEARCH("mp",LOWER(J490))),I490*0.33,IF(ISNUMBER(SEARCH("ton",LOWER(J490))),I490,I490*0.33)))</f>
        <v>21.4104</v>
      </c>
      <c r="AB490" s="18" t="n">
        <f aca="false">Tabela_dane[[#This Row],[Wolumen_t]]*8.5</f>
        <v>181.9884</v>
      </c>
      <c r="AC490" s="18" t="n">
        <f aca="false">IF(G490&lt;&gt;"TAK",0,IF(OR(E490="ZAKUP",E490="PRODUKCJA"),Z490,IF(OR(E490="SPRZEDAŻ",E490="ZUŻYCIE"),-Z490,0)))</f>
        <v>-64.88</v>
      </c>
      <c r="AD490" s="18" t="n">
        <f aca="false">IF(G490&lt;&gt;"TAK",0,IF(OR(E490="ZAKUP",E490="PRODUKCJA"),AA490,IF(OR(E490="SPRZEDAŻ",E490="ZUŻYCIE"),-AA490,0)))</f>
        <v>-21.4104</v>
      </c>
      <c r="AE490" s="19" t="n">
        <f aca="false">IF(E490="ZAKUP",IF(L490&lt;&gt;"",L490,IF(K490&lt;&gt;"",Z490*K490,0)),0)</f>
        <v>0</v>
      </c>
      <c r="AF490" s="19" t="n">
        <f aca="false">IF(E490="SPRZEDAŻ",IF(M490&lt;&gt;"",Z490*M490,0),0)</f>
        <v>0</v>
      </c>
      <c r="AG490" s="19" t="str">
        <f aca="false">IF(R490="","",IF(LOWER(R490)="brak","Brak",IF(OR(ISNUMBER(SEARCH("ric pl",LOWER(R490))),ISNUMBER(SEARCH("wojciechowski",LOWER(R490)))),"Własny","Zewnętrzny")))</f>
        <v/>
      </c>
      <c r="AH490" s="19" t="n">
        <f aca="false">Z490*Q490</f>
        <v>648.8</v>
      </c>
      <c r="AI490" s="19" t="str">
        <f aca="false">UPPER(TEXT(C490,"mmmm"))</f>
        <v>AUGUST</v>
      </c>
      <c r="AJ490" s="19" t="str">
        <f aca="false">IF(C490="","",TEXT(C490,"rrrr"))</f>
        <v>CE5786CE5786</v>
      </c>
      <c r="AK490" s="10"/>
      <c r="AL490" s="11" t="n">
        <v>0</v>
      </c>
      <c r="AM490" s="10" t="s">
        <v>902</v>
      </c>
      <c r="AN490" s="10" t="s">
        <v>59</v>
      </c>
      <c r="AO490" s="10"/>
      <c r="AP490" s="10"/>
      <c r="AQ490" s="10"/>
      <c r="AR490" s="10" t="s">
        <v>81</v>
      </c>
      <c r="AS490" s="10"/>
      <c r="AT490" s="15" t="n">
        <v>1</v>
      </c>
    </row>
    <row r="491" customFormat="false" ht="28.5" hidden="false" customHeight="true" outlineLevel="0" collapsed="false">
      <c r="A491" s="12" t="n">
        <v>46258</v>
      </c>
      <c r="B491" s="12" t="s">
        <v>903</v>
      </c>
      <c r="C491" s="12" t="n">
        <v>46258</v>
      </c>
      <c r="D491" s="10" t="s">
        <v>54</v>
      </c>
      <c r="E491" s="10" t="s">
        <v>63</v>
      </c>
      <c r="F491" s="13" t="s">
        <v>897</v>
      </c>
      <c r="G491" s="14" t="s">
        <v>49</v>
      </c>
      <c r="H491" s="10" t="s">
        <v>50</v>
      </c>
      <c r="I491" s="15" t="n">
        <v>64.88</v>
      </c>
      <c r="J491" s="10" t="s">
        <v>51</v>
      </c>
      <c r="K491" s="15" t="n">
        <v>0</v>
      </c>
      <c r="L491" s="11" t="n">
        <v>0</v>
      </c>
      <c r="M491" s="11" t="n">
        <v>0</v>
      </c>
      <c r="N491" s="10" t="s">
        <v>52</v>
      </c>
      <c r="O491" s="10" t="s">
        <v>67</v>
      </c>
      <c r="P491" s="10"/>
      <c r="Q491" s="16" t="n">
        <v>0</v>
      </c>
      <c r="R491" s="10" t="s">
        <v>68</v>
      </c>
      <c r="S491" s="10" t="s">
        <v>69</v>
      </c>
      <c r="T491" s="10" t="n">
        <v>150</v>
      </c>
      <c r="U491" s="11" t="n">
        <f aca="false">IF(E491="TRANSPORT",IF(T491="","",T491*5),IF(AL491="","",AL491))</f>
        <v>750</v>
      </c>
      <c r="V491" s="10" t="s">
        <v>54</v>
      </c>
      <c r="W491" s="15" t="s">
        <v>70</v>
      </c>
      <c r="X491" s="15"/>
      <c r="Y491" s="17" t="n">
        <v>46264.9658564815</v>
      </c>
      <c r="Z491" s="18" t="n">
        <f aca="false">IF(I491="",0,IF(ISNUMBER(SEARCH("mp",LOWER(J491))),I491,IF(ISNUMBER(SEARCH("ton",LOWER(J491))),I491/0.33,IF(ISNUMBER(SEARCH("m3",LOWER(J491))),I491*4,I491))))</f>
        <v>64.88</v>
      </c>
      <c r="AA491" s="18" t="n">
        <f aca="false">IF(I491="",0,IF(ISNUMBER(SEARCH("mp",LOWER(J491))),I491*0.33,IF(ISNUMBER(SEARCH("ton",LOWER(J491))),I491,I491*0.33)))</f>
        <v>21.4104</v>
      </c>
      <c r="AB491" s="18" t="n">
        <f aca="false">Tabela_dane[[#This Row],[Wolumen_t]]*8.5</f>
        <v>181.9884</v>
      </c>
      <c r="AC491" s="18" t="n">
        <f aca="false">IF(G491&lt;&gt;"TAK",0,IF(OR(E491="ZAKUP",E491="PRODUKCJA"),Z491,IF(OR(E491="SPRZEDAŻ",E491="ZUŻYCIE"),-Z491,0)))</f>
        <v>64.88</v>
      </c>
      <c r="AD491" s="18" t="n">
        <f aca="false">IF(G491&lt;&gt;"TAK",0,IF(OR(E491="ZAKUP",E491="PRODUKCJA"),AA491,IF(OR(E491="SPRZEDAŻ",E491="ZUŻYCIE"),-AA491,0)))</f>
        <v>21.4104</v>
      </c>
      <c r="AE491" s="19" t="n">
        <f aca="false">IF(E491="ZAKUP",IF(L491&lt;&gt;"",L491,IF(K491&lt;&gt;"",Z491*K491,0)),0)</f>
        <v>0</v>
      </c>
      <c r="AF491" s="19" t="n">
        <f aca="false">IF(E491="SPRZEDAŻ",IF(M491&lt;&gt;"",Z491*M491,0),0)</f>
        <v>0</v>
      </c>
      <c r="AG491" s="19" t="str">
        <f aca="false">IF(R491="","",IF(LOWER(R491)="brak","Brak",IF(OR(ISNUMBER(SEARCH("ric pl",LOWER(R491))),ISNUMBER(SEARCH("wojciechowski",LOWER(R491)))),"Własny","Zewnętrzny")))</f>
        <v>Zewnętrzny</v>
      </c>
      <c r="AH491" s="19" t="n">
        <f aca="false">Z491*Q491</f>
        <v>0</v>
      </c>
      <c r="AI491" s="19" t="str">
        <f aca="false">UPPER(TEXT(C491,"mmmm"))</f>
        <v>AUGUST</v>
      </c>
      <c r="AJ491" s="19" t="str">
        <f aca="false">IF(C491="","",TEXT(C491,"rrrr"))</f>
        <v>CE5786CE5786</v>
      </c>
      <c r="AK491" s="10"/>
      <c r="AL491" s="11" t="n">
        <v>750</v>
      </c>
      <c r="AM491" s="10" t="s">
        <v>904</v>
      </c>
      <c r="AN491" s="10" t="s">
        <v>49</v>
      </c>
      <c r="AO491" s="10"/>
      <c r="AP491" s="10"/>
      <c r="AQ491" s="10"/>
      <c r="AR491" s="10" t="s">
        <v>66</v>
      </c>
      <c r="AS491" s="10"/>
      <c r="AT491" s="15" t="n">
        <v>1</v>
      </c>
    </row>
    <row r="492" customFormat="false" ht="28.5" hidden="false" customHeight="true" outlineLevel="0" collapsed="false">
      <c r="A492" s="12" t="n">
        <v>46259</v>
      </c>
      <c r="B492" s="12"/>
      <c r="C492" s="12" t="n">
        <v>46259</v>
      </c>
      <c r="D492" s="10" t="s">
        <v>436</v>
      </c>
      <c r="E492" s="10" t="s">
        <v>63</v>
      </c>
      <c r="F492" s="46" t="s">
        <v>905</v>
      </c>
      <c r="G492" s="14" t="s">
        <v>49</v>
      </c>
      <c r="H492" s="10" t="s">
        <v>50</v>
      </c>
      <c r="I492" s="15" t="n">
        <v>21.1</v>
      </c>
      <c r="J492" s="10" t="s">
        <v>77</v>
      </c>
      <c r="K492" s="15" t="n">
        <v>0</v>
      </c>
      <c r="L492" s="11" t="n">
        <v>0</v>
      </c>
      <c r="M492" s="11" t="n">
        <v>0</v>
      </c>
      <c r="N492" s="10" t="s">
        <v>64</v>
      </c>
      <c r="O492" s="10"/>
      <c r="P492" s="10"/>
      <c r="Q492" s="16" t="n">
        <v>0</v>
      </c>
      <c r="R492" s="10"/>
      <c r="S492" s="10"/>
      <c r="T492" s="10" t="n">
        <v>0</v>
      </c>
      <c r="U492" s="11" t="n">
        <f aca="false">IF(E492="TRANSPORT",IF(T492="","",T492*5),IF(AL492="","",AL492))</f>
        <v>0</v>
      </c>
      <c r="V492" s="10" t="s">
        <v>54</v>
      </c>
      <c r="W492" s="15" t="s">
        <v>70</v>
      </c>
      <c r="X492" s="15"/>
      <c r="Y492" s="17" t="n">
        <v>46264.9674768519</v>
      </c>
      <c r="Z492" s="18" t="n">
        <f aca="false">IF(I492="",0,IF(ISNUMBER(SEARCH("mp",LOWER(J492))),I492,IF(ISNUMBER(SEARCH("ton",LOWER(J492))),I492/0.33,IF(ISNUMBER(SEARCH("m3",LOWER(J492))),I492*4,I492))))</f>
        <v>84.4</v>
      </c>
      <c r="AA492" s="18" t="n">
        <f aca="false">IF(I492="",0,IF(ISNUMBER(SEARCH("mp",LOWER(J492))),I492*0.33,IF(ISNUMBER(SEARCH("ton",LOWER(J492))),I492,I492*0.33)))</f>
        <v>6.963</v>
      </c>
      <c r="AB492" s="18" t="n">
        <f aca="false">Tabela_dane[[#This Row],[Wolumen_t]]*8.5</f>
        <v>59.1855</v>
      </c>
      <c r="AC492" s="18" t="n">
        <f aca="false">IF(G492&lt;&gt;"TAK",0,IF(OR(E492="ZAKUP",E492="PRODUKCJA"),Z492,IF(OR(E492="SPRZEDAŻ",E492="ZUŻYCIE"),-Z492,0)))</f>
        <v>84.4</v>
      </c>
      <c r="AD492" s="18" t="n">
        <f aca="false">IF(G492&lt;&gt;"TAK",0,IF(OR(E492="ZAKUP",E492="PRODUKCJA"),AA492,IF(OR(E492="SPRZEDAŻ",E492="ZUŻYCIE"),-AA492,0)))</f>
        <v>6.963</v>
      </c>
      <c r="AE492" s="19" t="n">
        <f aca="false">IF(E492="ZAKUP",IF(L492&lt;&gt;"",L492,IF(K492&lt;&gt;"",Z492*K492,0)),0)</f>
        <v>0</v>
      </c>
      <c r="AF492" s="19" t="n">
        <f aca="false">IF(E492="SPRZEDAŻ",IF(M492&lt;&gt;"",Z492*M492,0),0)</f>
        <v>0</v>
      </c>
      <c r="AG492" s="19" t="str">
        <f aca="false">IF(R492="","",IF(LOWER(R492)="brak","Brak",IF(OR(ISNUMBER(SEARCH("ric pl",LOWER(R492))),ISNUMBER(SEARCH("wojciechowski",LOWER(R492)))),"Własny","Zewnętrzny")))</f>
        <v/>
      </c>
      <c r="AH492" s="19" t="n">
        <f aca="false">Z492*Q492</f>
        <v>0</v>
      </c>
      <c r="AI492" s="19" t="str">
        <f aca="false">UPPER(TEXT(C492,"mmmm"))</f>
        <v>AUGUST</v>
      </c>
      <c r="AJ492" s="19" t="str">
        <f aca="false">IF(C492="","",TEXT(C492,"rrrr"))</f>
        <v>CE5786CE5786</v>
      </c>
      <c r="AK492" s="10"/>
      <c r="AL492" s="11" t="n">
        <v>0</v>
      </c>
      <c r="AM492" s="10" t="s">
        <v>906</v>
      </c>
      <c r="AN492" s="10" t="s">
        <v>59</v>
      </c>
      <c r="AO492" s="10"/>
      <c r="AP492" s="10"/>
      <c r="AQ492" s="10"/>
      <c r="AR492" s="10" t="s">
        <v>66</v>
      </c>
      <c r="AS492" s="10"/>
      <c r="AT492" s="15" t="n">
        <v>1</v>
      </c>
    </row>
    <row r="493" customFormat="false" ht="60.75" hidden="false" customHeight="true" outlineLevel="0" collapsed="false">
      <c r="A493" s="12" t="n">
        <v>46259</v>
      </c>
      <c r="B493" s="12"/>
      <c r="C493" s="12" t="n">
        <v>46259</v>
      </c>
      <c r="D493" s="10" t="s">
        <v>54</v>
      </c>
      <c r="E493" s="10" t="s">
        <v>47</v>
      </c>
      <c r="F493" s="13" t="s">
        <v>907</v>
      </c>
      <c r="G493" s="14" t="s">
        <v>49</v>
      </c>
      <c r="H493" s="10" t="s">
        <v>50</v>
      </c>
      <c r="I493" s="15" t="n">
        <v>84.4</v>
      </c>
      <c r="J493" s="10" t="s">
        <v>51</v>
      </c>
      <c r="K493" s="15" t="n">
        <v>0</v>
      </c>
      <c r="L493" s="11" t="n">
        <v>0</v>
      </c>
      <c r="M493" s="11" t="n">
        <v>0</v>
      </c>
      <c r="N493" s="10" t="s">
        <v>52</v>
      </c>
      <c r="O493" s="10" t="s">
        <v>67</v>
      </c>
      <c r="P493" s="10" t="s">
        <v>53</v>
      </c>
      <c r="Q493" s="16" t="n">
        <v>10</v>
      </c>
      <c r="R493" s="10"/>
      <c r="S493" s="10"/>
      <c r="T493" s="10" t="n">
        <v>0</v>
      </c>
      <c r="U493" s="11" t="n">
        <f aca="false">IF(E493="TRANSPORT",IF(T493="","",T493*5),IF(AL493="","",AL493))</f>
        <v>0</v>
      </c>
      <c r="V493" s="10" t="s">
        <v>54</v>
      </c>
      <c r="W493" s="15" t="s">
        <v>70</v>
      </c>
      <c r="X493" s="15"/>
      <c r="Y493" s="17" t="n">
        <v>46264.968275463</v>
      </c>
      <c r="Z493" s="18" t="n">
        <f aca="false">IF(I493="",0,IF(ISNUMBER(SEARCH("mp",LOWER(J493))),I493,IF(ISNUMBER(SEARCH("ton",LOWER(J493))),I493/0.33,IF(ISNUMBER(SEARCH("m3",LOWER(J493))),I493*4,I493))))</f>
        <v>84.4</v>
      </c>
      <c r="AA493" s="18" t="n">
        <f aca="false">IF(I493="",0,IF(ISNUMBER(SEARCH("mp",LOWER(J493))),I493*0.33,IF(ISNUMBER(SEARCH("ton",LOWER(J493))),I493,I493*0.33)))</f>
        <v>27.852</v>
      </c>
      <c r="AB493" s="18" t="n">
        <f aca="false">Tabela_dane[[#This Row],[Wolumen_t]]*8.5</f>
        <v>236.742</v>
      </c>
      <c r="AC493" s="18" t="n">
        <f aca="false">IF(G493&lt;&gt;"TAK",0,IF(OR(E493="ZAKUP",E493="PRODUKCJA"),Z493,IF(OR(E493="SPRZEDAŻ",E493="ZUŻYCIE"),-Z493,0)))</f>
        <v>84.4</v>
      </c>
      <c r="AD493" s="18" t="n">
        <f aca="false">IF(G493&lt;&gt;"TAK",0,IF(OR(E493="ZAKUP",E493="PRODUKCJA"),AA493,IF(OR(E493="SPRZEDAŻ",E493="ZUŻYCIE"),-AA493,0)))</f>
        <v>27.852</v>
      </c>
      <c r="AE493" s="19" t="n">
        <f aca="false">IF(E493="ZAKUP",IF(L493&lt;&gt;"",L493,IF(K493&lt;&gt;"",Z493*K493,0)),0)</f>
        <v>0</v>
      </c>
      <c r="AF493" s="19" t="n">
        <f aca="false">IF(E493="SPRZEDAŻ",IF(M493&lt;&gt;"",Z493*M493,0),0)</f>
        <v>0</v>
      </c>
      <c r="AG493" s="19" t="str">
        <f aca="false">IF(R493="","",IF(LOWER(R493)="brak","Brak",IF(OR(ISNUMBER(SEARCH("ric pl",LOWER(R493))),ISNUMBER(SEARCH("wojciechowski",LOWER(R493)))),"Własny","Zewnętrzny")))</f>
        <v/>
      </c>
      <c r="AH493" s="19" t="n">
        <f aca="false">Z493*Q493</f>
        <v>844</v>
      </c>
      <c r="AI493" s="19" t="str">
        <f aca="false">UPPER(TEXT(C493,"mmmm"))</f>
        <v>AUGUST</v>
      </c>
      <c r="AJ493" s="19" t="str">
        <f aca="false">IF(C493="","",TEXT(C493,"rrrr"))</f>
        <v>CE5786CE5786</v>
      </c>
      <c r="AK493" s="10"/>
      <c r="AL493" s="11" t="n">
        <v>0</v>
      </c>
      <c r="AM493" s="10" t="s">
        <v>908</v>
      </c>
      <c r="AN493" s="10" t="s">
        <v>59</v>
      </c>
      <c r="AO493" s="10"/>
      <c r="AP493" s="10"/>
      <c r="AQ493" s="10"/>
      <c r="AR493" s="10" t="s">
        <v>66</v>
      </c>
      <c r="AS493" s="10"/>
      <c r="AT493" s="15" t="n">
        <v>1</v>
      </c>
    </row>
    <row r="494" customFormat="false" ht="64.5" hidden="false" customHeight="true" outlineLevel="0" collapsed="false">
      <c r="A494" s="12" t="n">
        <v>46259</v>
      </c>
      <c r="B494" s="12"/>
      <c r="C494" s="12" t="n">
        <v>46259</v>
      </c>
      <c r="D494" s="10" t="s">
        <v>54</v>
      </c>
      <c r="E494" s="10" t="s">
        <v>79</v>
      </c>
      <c r="F494" s="13" t="s">
        <v>907</v>
      </c>
      <c r="G494" s="14" t="s">
        <v>49</v>
      </c>
      <c r="H494" s="10" t="s">
        <v>50</v>
      </c>
      <c r="I494" s="15" t="n">
        <v>84.4</v>
      </c>
      <c r="J494" s="10" t="s">
        <v>51</v>
      </c>
      <c r="K494" s="15" t="n">
        <v>0</v>
      </c>
      <c r="L494" s="11" t="n">
        <v>0</v>
      </c>
      <c r="M494" s="11" t="n">
        <v>0</v>
      </c>
      <c r="N494" s="10" t="s">
        <v>52</v>
      </c>
      <c r="O494" s="10" t="s">
        <v>67</v>
      </c>
      <c r="P494" s="10" t="s">
        <v>53</v>
      </c>
      <c r="Q494" s="16" t="n">
        <v>10</v>
      </c>
      <c r="R494" s="10"/>
      <c r="S494" s="10"/>
      <c r="T494" s="10" t="n">
        <v>0</v>
      </c>
      <c r="U494" s="11" t="n">
        <f aca="false">IF(E494="TRANSPORT",IF(T494="","",T494*5),IF(AL494="","",AL494))</f>
        <v>0</v>
      </c>
      <c r="V494" s="10" t="s">
        <v>54</v>
      </c>
      <c r="W494" s="15" t="s">
        <v>260</v>
      </c>
      <c r="X494" s="15"/>
      <c r="Y494" s="17" t="n">
        <v>46264.968275463</v>
      </c>
      <c r="Z494" s="18" t="n">
        <f aca="false">IF(I494="",0,IF(ISNUMBER(SEARCH("mp",LOWER(J494))),I494,IF(ISNUMBER(SEARCH("ton",LOWER(J494))),I494/0.33,IF(ISNUMBER(SEARCH("m3",LOWER(J494))),I494*4,I494))))</f>
        <v>84.4</v>
      </c>
      <c r="AA494" s="18" t="n">
        <f aca="false">IF(I494="",0,IF(ISNUMBER(SEARCH("mp",LOWER(J494))),I494*0.33,IF(ISNUMBER(SEARCH("ton",LOWER(J494))),I494,I494*0.33)))</f>
        <v>27.852</v>
      </c>
      <c r="AB494" s="18" t="n">
        <f aca="false">Tabela_dane[[#This Row],[Wolumen_t]]*8.5</f>
        <v>236.742</v>
      </c>
      <c r="AC494" s="18" t="n">
        <f aca="false">IF(G494&lt;&gt;"TAK",0,IF(OR(E494="ZAKUP",E494="PRODUKCJA"),Z494,IF(OR(E494="SPRZEDAŻ",E494="ZUŻYCIE"),-Z494,0)))</f>
        <v>-84.4</v>
      </c>
      <c r="AD494" s="18" t="n">
        <f aca="false">IF(G494&lt;&gt;"TAK",0,IF(OR(E494="ZAKUP",E494="PRODUKCJA"),AA494,IF(OR(E494="SPRZEDAŻ",E494="ZUŻYCIE"),-AA494,0)))</f>
        <v>-27.852</v>
      </c>
      <c r="AE494" s="19" t="n">
        <f aca="false">IF(E494="ZAKUP",IF(L494&lt;&gt;"",L494,IF(K494&lt;&gt;"",Z494*K494,0)),0)</f>
        <v>0</v>
      </c>
      <c r="AF494" s="19" t="n">
        <f aca="false">IF(E494="SPRZEDAŻ",IF(M494&lt;&gt;"",Z494*M494,0),0)</f>
        <v>0</v>
      </c>
      <c r="AG494" s="19" t="str">
        <f aca="false">IF(R494="","",IF(LOWER(R494)="brak","Brak",IF(OR(ISNUMBER(SEARCH("ric pl",LOWER(R494))),ISNUMBER(SEARCH("wojciechowski",LOWER(R494)))),"Własny","Zewnętrzny")))</f>
        <v/>
      </c>
      <c r="AH494" s="19" t="n">
        <f aca="false">Z494*Q494</f>
        <v>844</v>
      </c>
      <c r="AI494" s="19" t="str">
        <f aca="false">UPPER(TEXT(C494,"mmmm"))</f>
        <v>AUGUST</v>
      </c>
      <c r="AJ494" s="19" t="str">
        <f aca="false">IF(C494="","",TEXT(C494,"rrrr"))</f>
        <v>CE5786CE5786</v>
      </c>
      <c r="AK494" s="10"/>
      <c r="AL494" s="11" t="n">
        <v>0</v>
      </c>
      <c r="AM494" s="10" t="s">
        <v>908</v>
      </c>
      <c r="AN494" s="10" t="s">
        <v>59</v>
      </c>
      <c r="AO494" s="10"/>
      <c r="AP494" s="10"/>
      <c r="AQ494" s="10"/>
      <c r="AR494" s="10" t="s">
        <v>81</v>
      </c>
      <c r="AS494" s="10"/>
      <c r="AT494" s="15" t="n">
        <v>1</v>
      </c>
    </row>
    <row r="495" customFormat="false" ht="28.5" hidden="false" customHeight="true" outlineLevel="0" collapsed="false">
      <c r="A495" s="12" t="n">
        <v>46259</v>
      </c>
      <c r="B495" s="12" t="s">
        <v>440</v>
      </c>
      <c r="C495" s="12" t="n">
        <v>46259</v>
      </c>
      <c r="D495" s="10" t="s">
        <v>54</v>
      </c>
      <c r="E495" s="10" t="s">
        <v>63</v>
      </c>
      <c r="F495" s="13" t="s">
        <v>907</v>
      </c>
      <c r="G495" s="14" t="s">
        <v>49</v>
      </c>
      <c r="H495" s="10" t="s">
        <v>50</v>
      </c>
      <c r="I495" s="15" t="n">
        <v>84.4</v>
      </c>
      <c r="J495" s="10" t="s">
        <v>51</v>
      </c>
      <c r="K495" s="15" t="n">
        <v>0</v>
      </c>
      <c r="L495" s="11" t="n">
        <v>0</v>
      </c>
      <c r="M495" s="11" t="n">
        <v>0</v>
      </c>
      <c r="N495" s="10" t="s">
        <v>52</v>
      </c>
      <c r="O495" s="10" t="s">
        <v>67</v>
      </c>
      <c r="P495" s="10"/>
      <c r="Q495" s="16" t="n">
        <v>0</v>
      </c>
      <c r="R495" s="10" t="s">
        <v>68</v>
      </c>
      <c r="S495" s="10" t="s">
        <v>69</v>
      </c>
      <c r="T495" s="10" t="n">
        <v>200</v>
      </c>
      <c r="U495" s="11" t="n">
        <f aca="false">IF(E495="TRANSPORT",IF(T495="","",T495*5),IF(AL495="","",AL495))</f>
        <v>1000</v>
      </c>
      <c r="V495" s="10" t="s">
        <v>54</v>
      </c>
      <c r="W495" s="15" t="s">
        <v>70</v>
      </c>
      <c r="X495" s="15"/>
      <c r="Y495" s="17" t="n">
        <v>46264.9706712963</v>
      </c>
      <c r="Z495" s="18" t="n">
        <f aca="false">IF(I495="",0,IF(ISNUMBER(SEARCH("mp",LOWER(J495))),I495,IF(ISNUMBER(SEARCH("ton",LOWER(J495))),I495/0.33,IF(ISNUMBER(SEARCH("m3",LOWER(J495))),I495*4,I495))))</f>
        <v>84.4</v>
      </c>
      <c r="AA495" s="18" t="n">
        <f aca="false">IF(I495="",0,IF(ISNUMBER(SEARCH("mp",LOWER(J495))),I495*0.33,IF(ISNUMBER(SEARCH("ton",LOWER(J495))),I495,I495*0.33)))</f>
        <v>27.852</v>
      </c>
      <c r="AB495" s="18" t="n">
        <f aca="false">Tabela_dane[[#This Row],[Wolumen_t]]*8.5</f>
        <v>236.742</v>
      </c>
      <c r="AC495" s="18" t="n">
        <f aca="false">IF(G495&lt;&gt;"TAK",0,IF(OR(E495="ZAKUP",E495="PRODUKCJA"),Z495,IF(OR(E495="SPRZEDAŻ",E495="ZUŻYCIE"),-Z495,0)))</f>
        <v>84.4</v>
      </c>
      <c r="AD495" s="18" t="n">
        <f aca="false">IF(G495&lt;&gt;"TAK",0,IF(OR(E495="ZAKUP",E495="PRODUKCJA"),AA495,IF(OR(E495="SPRZEDAŻ",E495="ZUŻYCIE"),-AA495,0)))</f>
        <v>27.852</v>
      </c>
      <c r="AE495" s="19" t="n">
        <f aca="false">IF(E495="ZAKUP",IF(L495&lt;&gt;"",L495,IF(K495&lt;&gt;"",Z495*K495,0)),0)</f>
        <v>0</v>
      </c>
      <c r="AF495" s="19" t="n">
        <f aca="false">IF(E495="SPRZEDAŻ",IF(M495&lt;&gt;"",Z495*M495,0),0)</f>
        <v>0</v>
      </c>
      <c r="AG495" s="19" t="str">
        <f aca="false">IF(R495="","",IF(LOWER(R495)="brak","Brak",IF(OR(ISNUMBER(SEARCH("ric pl",LOWER(R495))),ISNUMBER(SEARCH("wojciechowski",LOWER(R495)))),"Własny","Zewnętrzny")))</f>
        <v>Zewnętrzny</v>
      </c>
      <c r="AH495" s="19" t="n">
        <f aca="false">Z495*Q495</f>
        <v>0</v>
      </c>
      <c r="AI495" s="19" t="str">
        <f aca="false">UPPER(TEXT(C495,"mmmm"))</f>
        <v>AUGUST</v>
      </c>
      <c r="AJ495" s="19" t="str">
        <f aca="false">IF(C495="","",TEXT(C495,"rrrr"))</f>
        <v>CE5786CE5786</v>
      </c>
      <c r="AK495" s="10"/>
      <c r="AL495" s="11" t="n">
        <v>1000</v>
      </c>
      <c r="AM495" s="10" t="s">
        <v>909</v>
      </c>
      <c r="AN495" s="10" t="s">
        <v>49</v>
      </c>
      <c r="AO495" s="10"/>
      <c r="AP495" s="10"/>
      <c r="AQ495" s="10"/>
      <c r="AR495" s="10" t="s">
        <v>66</v>
      </c>
      <c r="AS495" s="10"/>
      <c r="AT495" s="15" t="n">
        <v>1</v>
      </c>
    </row>
    <row r="496" customFormat="false" ht="28.5" hidden="false" customHeight="true" outlineLevel="0" collapsed="false">
      <c r="A496" s="12" t="n">
        <v>46259</v>
      </c>
      <c r="B496" s="12" t="s">
        <v>641</v>
      </c>
      <c r="C496" s="12" t="n">
        <v>46259</v>
      </c>
      <c r="D496" s="10" t="s">
        <v>641</v>
      </c>
      <c r="E496" s="10" t="s">
        <v>107</v>
      </c>
      <c r="F496" s="22" t="s">
        <v>910</v>
      </c>
      <c r="G496" s="14" t="s">
        <v>49</v>
      </c>
      <c r="H496" s="10"/>
      <c r="I496" s="15" t="n">
        <v>88</v>
      </c>
      <c r="J496" s="10" t="s">
        <v>51</v>
      </c>
      <c r="K496" s="15" t="n">
        <v>0</v>
      </c>
      <c r="L496" s="11" t="n">
        <v>0</v>
      </c>
      <c r="M496" s="11" t="n">
        <v>0</v>
      </c>
      <c r="N496" s="10" t="s">
        <v>643</v>
      </c>
      <c r="O496" s="10"/>
      <c r="P496" s="10"/>
      <c r="Q496" s="16" t="n">
        <v>0</v>
      </c>
      <c r="R496" s="10" t="s">
        <v>182</v>
      </c>
      <c r="S496" s="10" t="s">
        <v>509</v>
      </c>
      <c r="T496" s="10" t="n">
        <v>160</v>
      </c>
      <c r="U496" s="11" t="n">
        <f aca="false">IF(E496="TRANSPORT",IF(T496="","",T496*5),IF(AL496="","",AL496))</f>
        <v>800</v>
      </c>
      <c r="V496" s="10" t="s">
        <v>54</v>
      </c>
      <c r="W496" s="15" t="s">
        <v>911</v>
      </c>
      <c r="X496" s="15" t="s">
        <v>641</v>
      </c>
      <c r="Y496" s="17" t="n">
        <v>46265.3544791667</v>
      </c>
      <c r="Z496" s="18" t="n">
        <f aca="false">IF(I496="",0,IF(ISNUMBER(SEARCH("mp",LOWER(J496))),I496,IF(ISNUMBER(SEARCH("ton",LOWER(J496))),I496/0.33,IF(ISNUMBER(SEARCH("m3",LOWER(J496))),I496*4,I496))))</f>
        <v>88</v>
      </c>
      <c r="AA496" s="18" t="n">
        <f aca="false">IF(I496="",0,IF(ISNUMBER(SEARCH("mp",LOWER(J496))),I496*0.33,IF(ISNUMBER(SEARCH("ton",LOWER(J496))),I496,I496*0.33)))</f>
        <v>29.04</v>
      </c>
      <c r="AB496" s="18" t="n">
        <f aca="false">Tabela_dane[[#This Row],[Wolumen_t]]*8.5</f>
        <v>246.84</v>
      </c>
      <c r="AC496" s="18" t="n">
        <f aca="false">IF(G496&lt;&gt;"TAK",0,IF(OR(E496="ZAKUP",E496="PRODUKCJA"),Z496,IF(OR(E496="SPRZEDAŻ",E496="ZUŻYCIE"),-Z496,0)))</f>
        <v>0</v>
      </c>
      <c r="AD496" s="18" t="n">
        <f aca="false">IF(G496&lt;&gt;"TAK",0,IF(OR(E496="ZAKUP",E496="PRODUKCJA"),AA496,IF(OR(E496="SPRZEDAŻ",E496="ZUŻYCIE"),-AA496,0)))</f>
        <v>0</v>
      </c>
      <c r="AE496" s="19" t="n">
        <f aca="false">IF(E496="ZAKUP",IF(L496&lt;&gt;"",L496,IF(K496&lt;&gt;"",Z496*K496,0)),0)</f>
        <v>0</v>
      </c>
      <c r="AF496" s="19" t="n">
        <f aca="false">IF(E496="SPRZEDAŻ",IF(M496&lt;&gt;"",Z496*M496,0),0)</f>
        <v>0</v>
      </c>
      <c r="AG496" s="19" t="str">
        <f aca="false">IF(R496="","",IF(LOWER(R496)="brak","Brak",IF(OR(ISNUMBER(SEARCH("ric pl",LOWER(R496))),ISNUMBER(SEARCH("wojciechowski",LOWER(R496)))),"Własny","Zewnętrzny")))</f>
        <v>Zewnętrzny</v>
      </c>
      <c r="AH496" s="19" t="n">
        <f aca="false">Z496*Q496</f>
        <v>0</v>
      </c>
      <c r="AI496" s="19" t="str">
        <f aca="false">UPPER(TEXT(C496,"mmmm"))</f>
        <v>AUGUST</v>
      </c>
      <c r="AJ496" s="19" t="str">
        <f aca="false">IF(C496="","",TEXT(C496,"rrrr"))</f>
        <v>CE5786CE5786</v>
      </c>
      <c r="AK496" s="10"/>
      <c r="AL496" s="11" t="n">
        <v>800</v>
      </c>
      <c r="AM496" s="10" t="s">
        <v>912</v>
      </c>
      <c r="AN496" s="10" t="s">
        <v>49</v>
      </c>
      <c r="AO496" s="10"/>
      <c r="AP496" s="10"/>
      <c r="AQ496" s="10"/>
      <c r="AR496" s="10" t="s">
        <v>66</v>
      </c>
      <c r="AS496" s="10"/>
      <c r="AT496" s="15" t="n">
        <v>1</v>
      </c>
    </row>
    <row r="497" customFormat="false" ht="28.5" hidden="false" customHeight="true" outlineLevel="0" collapsed="false">
      <c r="A497" s="12" t="n">
        <v>46259</v>
      </c>
      <c r="B497" s="12"/>
      <c r="C497" s="12" t="n">
        <v>46259</v>
      </c>
      <c r="D497" s="10" t="s">
        <v>436</v>
      </c>
      <c r="E497" s="10" t="s">
        <v>63</v>
      </c>
      <c r="F497" s="46" t="s">
        <v>913</v>
      </c>
      <c r="G497" s="14" t="s">
        <v>49</v>
      </c>
      <c r="H497" s="10" t="s">
        <v>50</v>
      </c>
      <c r="I497" s="15" t="n">
        <v>21.1</v>
      </c>
      <c r="J497" s="10" t="s">
        <v>77</v>
      </c>
      <c r="K497" s="15" t="n">
        <v>0</v>
      </c>
      <c r="L497" s="11" t="n">
        <v>0</v>
      </c>
      <c r="M497" s="11" t="n">
        <v>0</v>
      </c>
      <c r="N497" s="10" t="s">
        <v>64</v>
      </c>
      <c r="O497" s="10"/>
      <c r="P497" s="10"/>
      <c r="Q497" s="16" t="n">
        <v>0</v>
      </c>
      <c r="R497" s="10"/>
      <c r="S497" s="10"/>
      <c r="T497" s="10" t="n">
        <v>0</v>
      </c>
      <c r="U497" s="11" t="n">
        <f aca="false">IF(E497="TRANSPORT",IF(T497="","",T497*5),IF(AL497="","",AL497))</f>
        <v>0</v>
      </c>
      <c r="V497" s="10" t="s">
        <v>54</v>
      </c>
      <c r="W497" s="15" t="s">
        <v>65</v>
      </c>
      <c r="X497" s="15"/>
      <c r="Y497" s="17" t="n">
        <v>46265.358587963</v>
      </c>
      <c r="Z497" s="18" t="n">
        <f aca="false">IF(I497="",0,IF(ISNUMBER(SEARCH("mp",LOWER(J497))),I497,IF(ISNUMBER(SEARCH("ton",LOWER(J497))),I497/0.33,IF(ISNUMBER(SEARCH("m3",LOWER(J497))),I497*4,I497))))</f>
        <v>84.4</v>
      </c>
      <c r="AA497" s="18" t="n">
        <f aca="false">IF(I497="",0,IF(ISNUMBER(SEARCH("mp",LOWER(J497))),I497*0.33,IF(ISNUMBER(SEARCH("ton",LOWER(J497))),I497,I497*0.33)))</f>
        <v>6.963</v>
      </c>
      <c r="AB497" s="18" t="n">
        <f aca="false">Tabela_dane[[#This Row],[Wolumen_t]]*8.5</f>
        <v>59.1855</v>
      </c>
      <c r="AC497" s="18" t="n">
        <f aca="false">IF(G497&lt;&gt;"TAK",0,IF(OR(E497="ZAKUP",E497="PRODUKCJA"),Z497,IF(OR(E497="SPRZEDAŻ",E497="ZUŻYCIE"),-Z497,0)))</f>
        <v>84.4</v>
      </c>
      <c r="AD497" s="18" t="n">
        <f aca="false">IF(G497&lt;&gt;"TAK",0,IF(OR(E497="ZAKUP",E497="PRODUKCJA"),AA497,IF(OR(E497="SPRZEDAŻ",E497="ZUŻYCIE"),-AA497,0)))</f>
        <v>6.963</v>
      </c>
      <c r="AE497" s="19" t="n">
        <f aca="false">IF(E497="ZAKUP",IF(L497&lt;&gt;"",L497,IF(K497&lt;&gt;"",Z497*K497,0)),0)</f>
        <v>0</v>
      </c>
      <c r="AF497" s="19" t="n">
        <f aca="false">IF(E497="SPRZEDAŻ",IF(M497&lt;&gt;"",Z497*M497,0),0)</f>
        <v>0</v>
      </c>
      <c r="AG497" s="19" t="str">
        <f aca="false">IF(R497="","",IF(LOWER(R497)="brak","Brak",IF(OR(ISNUMBER(SEARCH("ric pl",LOWER(R497))),ISNUMBER(SEARCH("wojciechowski",LOWER(R497)))),"Własny","Zewnętrzny")))</f>
        <v/>
      </c>
      <c r="AH497" s="19" t="n">
        <f aca="false">Z497*Q497</f>
        <v>0</v>
      </c>
      <c r="AI497" s="19" t="str">
        <f aca="false">UPPER(TEXT(C497,"mmmm"))</f>
        <v>AUGUST</v>
      </c>
      <c r="AJ497" s="19" t="str">
        <f aca="false">IF(C497="","",TEXT(C497,"rrrr"))</f>
        <v>CE5786CE5786</v>
      </c>
      <c r="AK497" s="10"/>
      <c r="AL497" s="11" t="n">
        <v>0</v>
      </c>
      <c r="AM497" s="10" t="s">
        <v>914</v>
      </c>
      <c r="AN497" s="10" t="s">
        <v>59</v>
      </c>
      <c r="AO497" s="10"/>
      <c r="AP497" s="10"/>
      <c r="AQ497" s="10"/>
      <c r="AR497" s="10" t="s">
        <v>66</v>
      </c>
      <c r="AS497" s="10"/>
      <c r="AT497" s="15" t="n">
        <v>1</v>
      </c>
    </row>
    <row r="498" customFormat="false" ht="28.5" hidden="false" customHeight="true" outlineLevel="0" collapsed="false">
      <c r="A498" s="12" t="n">
        <v>46259</v>
      </c>
      <c r="B498" s="12"/>
      <c r="C498" s="12" t="n">
        <v>46259</v>
      </c>
      <c r="D498" s="10" t="s">
        <v>54</v>
      </c>
      <c r="E498" s="10" t="s">
        <v>47</v>
      </c>
      <c r="F498" s="13" t="s">
        <v>915</v>
      </c>
      <c r="G498" s="14" t="s">
        <v>49</v>
      </c>
      <c r="H498" s="10" t="s">
        <v>50</v>
      </c>
      <c r="I498" s="15" t="n">
        <v>84.4</v>
      </c>
      <c r="J498" s="10" t="s">
        <v>51</v>
      </c>
      <c r="K498" s="15" t="n">
        <v>0</v>
      </c>
      <c r="L498" s="11" t="n">
        <v>0</v>
      </c>
      <c r="M498" s="11" t="n">
        <v>0</v>
      </c>
      <c r="N498" s="10" t="s">
        <v>52</v>
      </c>
      <c r="O498" s="10" t="s">
        <v>67</v>
      </c>
      <c r="P498" s="10" t="s">
        <v>53</v>
      </c>
      <c r="Q498" s="16" t="n">
        <v>10</v>
      </c>
      <c r="R498" s="10"/>
      <c r="S498" s="10"/>
      <c r="T498" s="10" t="n">
        <v>0</v>
      </c>
      <c r="U498" s="11" t="n">
        <f aca="false">IF(E498="TRANSPORT",IF(T498="","",T498*5),IF(AL498="","",AL498))</f>
        <v>0</v>
      </c>
      <c r="V498" s="10" t="s">
        <v>54</v>
      </c>
      <c r="W498" s="15" t="s">
        <v>65</v>
      </c>
      <c r="X498" s="15"/>
      <c r="Y498" s="17" t="n">
        <v>46265.3593171296</v>
      </c>
      <c r="Z498" s="18" t="n">
        <f aca="false">IF(I498="",0,IF(ISNUMBER(SEARCH("mp",LOWER(J498))),I498,IF(ISNUMBER(SEARCH("ton",LOWER(J498))),I498/0.33,IF(ISNUMBER(SEARCH("m3",LOWER(J498))),I498*4,I498))))</f>
        <v>84.4</v>
      </c>
      <c r="AA498" s="18" t="n">
        <f aca="false">IF(I498="",0,IF(ISNUMBER(SEARCH("mp",LOWER(J498))),I498*0.33,IF(ISNUMBER(SEARCH("ton",LOWER(J498))),I498,I498*0.33)))</f>
        <v>27.852</v>
      </c>
      <c r="AB498" s="18" t="n">
        <f aca="false">Tabela_dane[[#This Row],[Wolumen_t]]*8.5</f>
        <v>236.742</v>
      </c>
      <c r="AC498" s="18" t="n">
        <f aca="false">IF(G498&lt;&gt;"TAK",0,IF(OR(E498="ZAKUP",E498="PRODUKCJA"),Z498,IF(OR(E498="SPRZEDAŻ",E498="ZUŻYCIE"),-Z498,0)))</f>
        <v>84.4</v>
      </c>
      <c r="AD498" s="18" t="n">
        <f aca="false">IF(G498&lt;&gt;"TAK",0,IF(OR(E498="ZAKUP",E498="PRODUKCJA"),AA498,IF(OR(E498="SPRZEDAŻ",E498="ZUŻYCIE"),-AA498,0)))</f>
        <v>27.852</v>
      </c>
      <c r="AE498" s="19" t="n">
        <f aca="false">IF(E498="ZAKUP",IF(L498&lt;&gt;"",L498,IF(K498&lt;&gt;"",Z498*K498,0)),0)</f>
        <v>0</v>
      </c>
      <c r="AF498" s="19" t="n">
        <f aca="false">IF(E498="SPRZEDAŻ",IF(M498&lt;&gt;"",Z498*M498,0),0)</f>
        <v>0</v>
      </c>
      <c r="AG498" s="19" t="str">
        <f aca="false">IF(R498="","",IF(LOWER(R498)="brak","Brak",IF(OR(ISNUMBER(SEARCH("ric pl",LOWER(R498))),ISNUMBER(SEARCH("wojciechowski",LOWER(R498)))),"Własny","Zewnętrzny")))</f>
        <v/>
      </c>
      <c r="AH498" s="19" t="n">
        <f aca="false">Z498*Q498</f>
        <v>844</v>
      </c>
      <c r="AI498" s="19" t="str">
        <f aca="false">UPPER(TEXT(C498,"mmmm"))</f>
        <v>AUGUST</v>
      </c>
      <c r="AJ498" s="19" t="str">
        <f aca="false">IF(C498="","",TEXT(C498,"rrrr"))</f>
        <v>CE5786CE5786</v>
      </c>
      <c r="AK498" s="10"/>
      <c r="AL498" s="11" t="n">
        <v>0</v>
      </c>
      <c r="AM498" s="10" t="s">
        <v>916</v>
      </c>
      <c r="AN498" s="10" t="s">
        <v>59</v>
      </c>
      <c r="AO498" s="10"/>
      <c r="AP498" s="10"/>
      <c r="AQ498" s="10"/>
      <c r="AR498" s="10" t="s">
        <v>66</v>
      </c>
      <c r="AS498" s="10"/>
      <c r="AT498" s="15" t="n">
        <v>1</v>
      </c>
    </row>
    <row r="499" customFormat="false" ht="28.5" hidden="false" customHeight="true" outlineLevel="0" collapsed="false">
      <c r="A499" s="12" t="n">
        <v>46259</v>
      </c>
      <c r="B499" s="12"/>
      <c r="C499" s="12" t="n">
        <v>46259</v>
      </c>
      <c r="D499" s="10" t="s">
        <v>54</v>
      </c>
      <c r="E499" s="10" t="s">
        <v>79</v>
      </c>
      <c r="F499" s="13" t="s">
        <v>915</v>
      </c>
      <c r="G499" s="14" t="s">
        <v>49</v>
      </c>
      <c r="H499" s="10" t="s">
        <v>50</v>
      </c>
      <c r="I499" s="15" t="n">
        <v>84.4</v>
      </c>
      <c r="J499" s="10" t="s">
        <v>51</v>
      </c>
      <c r="K499" s="15" t="n">
        <v>0</v>
      </c>
      <c r="L499" s="11" t="n">
        <v>0</v>
      </c>
      <c r="M499" s="11" t="n">
        <v>0</v>
      </c>
      <c r="N499" s="10" t="s">
        <v>52</v>
      </c>
      <c r="O499" s="10" t="s">
        <v>67</v>
      </c>
      <c r="P499" s="10" t="s">
        <v>53</v>
      </c>
      <c r="Q499" s="16" t="n">
        <v>10</v>
      </c>
      <c r="R499" s="10"/>
      <c r="S499" s="10"/>
      <c r="T499" s="10" t="n">
        <v>0</v>
      </c>
      <c r="U499" s="11" t="n">
        <f aca="false">IF(E499="TRANSPORT",IF(T499="","",T499*5),IF(AL499="","",AL499))</f>
        <v>0</v>
      </c>
      <c r="V499" s="10" t="s">
        <v>54</v>
      </c>
      <c r="W499" s="15" t="s">
        <v>260</v>
      </c>
      <c r="X499" s="15"/>
      <c r="Y499" s="17" t="n">
        <v>46265.3593171296</v>
      </c>
      <c r="Z499" s="18" t="n">
        <f aca="false">IF(I499="",0,IF(ISNUMBER(SEARCH("mp",LOWER(J499))),I499,IF(ISNUMBER(SEARCH("ton",LOWER(J499))),I499/0.33,IF(ISNUMBER(SEARCH("m3",LOWER(J499))),I499*4,I499))))</f>
        <v>84.4</v>
      </c>
      <c r="AA499" s="18" t="n">
        <f aca="false">IF(I499="",0,IF(ISNUMBER(SEARCH("mp",LOWER(J499))),I499*0.33,IF(ISNUMBER(SEARCH("ton",LOWER(J499))),I499,I499*0.33)))</f>
        <v>27.852</v>
      </c>
      <c r="AB499" s="18" t="n">
        <f aca="false">Tabela_dane[[#This Row],[Wolumen_t]]*8.5</f>
        <v>236.742</v>
      </c>
      <c r="AC499" s="18" t="n">
        <f aca="false">IF(G499&lt;&gt;"TAK",0,IF(OR(E499="ZAKUP",E499="PRODUKCJA"),Z499,IF(OR(E499="SPRZEDAŻ",E499="ZUŻYCIE"),-Z499,0)))</f>
        <v>-84.4</v>
      </c>
      <c r="AD499" s="18" t="n">
        <f aca="false">IF(G499&lt;&gt;"TAK",0,IF(OR(E499="ZAKUP",E499="PRODUKCJA"),AA499,IF(OR(E499="SPRZEDAŻ",E499="ZUŻYCIE"),-AA499,0)))</f>
        <v>-27.852</v>
      </c>
      <c r="AE499" s="19" t="n">
        <f aca="false">IF(E499="ZAKUP",IF(L499&lt;&gt;"",L499,IF(K499&lt;&gt;"",Z499*K499,0)),0)</f>
        <v>0</v>
      </c>
      <c r="AF499" s="19" t="n">
        <f aca="false">IF(E499="SPRZEDAŻ",IF(M499&lt;&gt;"",Z499*M499,0),0)</f>
        <v>0</v>
      </c>
      <c r="AG499" s="19" t="str">
        <f aca="false">IF(R499="","",IF(LOWER(R499)="brak","Brak",IF(OR(ISNUMBER(SEARCH("ric pl",LOWER(R499))),ISNUMBER(SEARCH("wojciechowski",LOWER(R499)))),"Własny","Zewnętrzny")))</f>
        <v/>
      </c>
      <c r="AH499" s="19" t="n">
        <f aca="false">Z499*Q499</f>
        <v>844</v>
      </c>
      <c r="AI499" s="19" t="str">
        <f aca="false">UPPER(TEXT(C499,"mmmm"))</f>
        <v>AUGUST</v>
      </c>
      <c r="AJ499" s="19" t="str">
        <f aca="false">IF(C499="","",TEXT(C499,"rrrr"))</f>
        <v>CE5786CE5786</v>
      </c>
      <c r="AK499" s="10"/>
      <c r="AL499" s="11" t="n">
        <v>0</v>
      </c>
      <c r="AM499" s="10" t="s">
        <v>916</v>
      </c>
      <c r="AN499" s="10" t="s">
        <v>59</v>
      </c>
      <c r="AO499" s="10"/>
      <c r="AP499" s="10"/>
      <c r="AQ499" s="10"/>
      <c r="AR499" s="10" t="s">
        <v>81</v>
      </c>
      <c r="AS499" s="10"/>
      <c r="AT499" s="15" t="n">
        <v>1</v>
      </c>
    </row>
    <row r="500" customFormat="false" ht="28.5" hidden="false" customHeight="true" outlineLevel="0" collapsed="false">
      <c r="A500" s="12" t="n">
        <v>46259</v>
      </c>
      <c r="B500" s="12" t="s">
        <v>440</v>
      </c>
      <c r="C500" s="12" t="n">
        <v>46259</v>
      </c>
      <c r="D500" s="10" t="s">
        <v>54</v>
      </c>
      <c r="E500" s="10" t="s">
        <v>63</v>
      </c>
      <c r="F500" s="13" t="s">
        <v>915</v>
      </c>
      <c r="G500" s="14" t="s">
        <v>49</v>
      </c>
      <c r="H500" s="10" t="s">
        <v>50</v>
      </c>
      <c r="I500" s="15" t="n">
        <v>84.4</v>
      </c>
      <c r="J500" s="10" t="s">
        <v>51</v>
      </c>
      <c r="K500" s="15" t="n">
        <v>0</v>
      </c>
      <c r="L500" s="11" t="n">
        <v>0</v>
      </c>
      <c r="M500" s="11" t="n">
        <v>0</v>
      </c>
      <c r="N500" s="10" t="s">
        <v>52</v>
      </c>
      <c r="O500" s="10" t="s">
        <v>67</v>
      </c>
      <c r="P500" s="10"/>
      <c r="Q500" s="16" t="n">
        <v>0</v>
      </c>
      <c r="R500" s="10" t="s">
        <v>94</v>
      </c>
      <c r="S500" s="10" t="s">
        <v>95</v>
      </c>
      <c r="T500" s="10" t="n">
        <v>200</v>
      </c>
      <c r="U500" s="11" t="n">
        <f aca="false">IF(E500="TRANSPORT",IF(T500="","",T500*5),IF(AL500="","",AL500))</f>
        <v>1000</v>
      </c>
      <c r="V500" s="10" t="s">
        <v>54</v>
      </c>
      <c r="W500" s="15" t="s">
        <v>70</v>
      </c>
      <c r="X500" s="15"/>
      <c r="Y500" s="17" t="n">
        <v>46265.3605208333</v>
      </c>
      <c r="Z500" s="18" t="n">
        <f aca="false">IF(I500="",0,IF(ISNUMBER(SEARCH("mp",LOWER(J500))),I500,IF(ISNUMBER(SEARCH("ton",LOWER(J500))),I500/0.33,IF(ISNUMBER(SEARCH("m3",LOWER(J500))),I500*4,I500))))</f>
        <v>84.4</v>
      </c>
      <c r="AA500" s="18" t="n">
        <f aca="false">IF(I500="",0,IF(ISNUMBER(SEARCH("mp",LOWER(J500))),I500*0.33,IF(ISNUMBER(SEARCH("ton",LOWER(J500))),I500,I500*0.33)))</f>
        <v>27.852</v>
      </c>
      <c r="AB500" s="18" t="n">
        <f aca="false">Tabela_dane[[#This Row],[Wolumen_t]]*8.5</f>
        <v>236.742</v>
      </c>
      <c r="AC500" s="18" t="n">
        <f aca="false">IF(G500&lt;&gt;"TAK",0,IF(OR(E500="ZAKUP",E500="PRODUKCJA"),Z500,IF(OR(E500="SPRZEDAŻ",E500="ZUŻYCIE"),-Z500,0)))</f>
        <v>84.4</v>
      </c>
      <c r="AD500" s="18" t="n">
        <f aca="false">IF(G500&lt;&gt;"TAK",0,IF(OR(E500="ZAKUP",E500="PRODUKCJA"),AA500,IF(OR(E500="SPRZEDAŻ",E500="ZUŻYCIE"),-AA500,0)))</f>
        <v>27.852</v>
      </c>
      <c r="AE500" s="19" t="n">
        <f aca="false">IF(E500="ZAKUP",IF(L500&lt;&gt;"",L500,IF(K500&lt;&gt;"",Z500*K500,0)),0)</f>
        <v>0</v>
      </c>
      <c r="AF500" s="19" t="n">
        <f aca="false">IF(E500="SPRZEDAŻ",IF(M500&lt;&gt;"",Z500*M500,0),0)</f>
        <v>0</v>
      </c>
      <c r="AG500" s="19" t="str">
        <f aca="false">IF(R500="","",IF(LOWER(R500)="brak","Brak",IF(OR(ISNUMBER(SEARCH("ric pl",LOWER(R500))),ISNUMBER(SEARCH("wojciechowski",LOWER(R500)))),"Własny","Zewnętrzny")))</f>
        <v>Zewnętrzny</v>
      </c>
      <c r="AH500" s="19" t="n">
        <f aca="false">Z500*Q500</f>
        <v>0</v>
      </c>
      <c r="AI500" s="19" t="str">
        <f aca="false">UPPER(TEXT(C500,"mmmm"))</f>
        <v>AUGUST</v>
      </c>
      <c r="AJ500" s="19" t="str">
        <f aca="false">IF(C500="","",TEXT(C500,"rrrr"))</f>
        <v>CE5786CE5786</v>
      </c>
      <c r="AK500" s="10"/>
      <c r="AL500" s="11" t="n">
        <v>1000</v>
      </c>
      <c r="AM500" s="10" t="s">
        <v>917</v>
      </c>
      <c r="AN500" s="10" t="s">
        <v>49</v>
      </c>
      <c r="AO500" s="10"/>
      <c r="AP500" s="10"/>
      <c r="AQ500" s="10"/>
      <c r="AR500" s="10" t="s">
        <v>66</v>
      </c>
      <c r="AS500" s="10"/>
      <c r="AT500" s="15" t="n">
        <v>1</v>
      </c>
    </row>
    <row r="501" customFormat="false" ht="28.5" hidden="false" customHeight="true" outlineLevel="0" collapsed="false">
      <c r="A501" s="12" t="n">
        <v>46259</v>
      </c>
      <c r="B501" s="12"/>
      <c r="C501" s="12" t="n">
        <v>46259</v>
      </c>
      <c r="D501" s="10" t="s">
        <v>436</v>
      </c>
      <c r="E501" s="10" t="s">
        <v>63</v>
      </c>
      <c r="F501" s="46" t="s">
        <v>918</v>
      </c>
      <c r="G501" s="14" t="s">
        <v>49</v>
      </c>
      <c r="H501" s="10" t="s">
        <v>50</v>
      </c>
      <c r="I501" s="15" t="n">
        <v>21.1</v>
      </c>
      <c r="J501" s="10" t="s">
        <v>77</v>
      </c>
      <c r="K501" s="15" t="n">
        <v>0</v>
      </c>
      <c r="L501" s="11" t="n">
        <v>0</v>
      </c>
      <c r="M501" s="11" t="n">
        <v>0</v>
      </c>
      <c r="N501" s="10" t="s">
        <v>64</v>
      </c>
      <c r="O501" s="10"/>
      <c r="P501" s="10"/>
      <c r="Q501" s="16" t="n">
        <v>0</v>
      </c>
      <c r="R501" s="10"/>
      <c r="S501" s="10"/>
      <c r="T501" s="10" t="n">
        <v>0</v>
      </c>
      <c r="U501" s="11" t="n">
        <f aca="false">IF(E501="TRANSPORT",IF(T501="","",T501*5),IF(AL501="","",AL501))</f>
        <v>0</v>
      </c>
      <c r="V501" s="10" t="s">
        <v>54</v>
      </c>
      <c r="W501" s="15" t="s">
        <v>65</v>
      </c>
      <c r="X501" s="15"/>
      <c r="Y501" s="17" t="n">
        <v>46265.3671527778</v>
      </c>
      <c r="Z501" s="18" t="n">
        <f aca="false">IF(I501="",0,IF(ISNUMBER(SEARCH("mp",LOWER(J501))),I501,IF(ISNUMBER(SEARCH("ton",LOWER(J501))),I501/0.33,IF(ISNUMBER(SEARCH("m3",LOWER(J501))),I501*4,I501))))</f>
        <v>84.4</v>
      </c>
      <c r="AA501" s="18" t="n">
        <f aca="false">IF(I501="",0,IF(ISNUMBER(SEARCH("mp",LOWER(J501))),I501*0.33,IF(ISNUMBER(SEARCH("ton",LOWER(J501))),I501,I501*0.33)))</f>
        <v>6.963</v>
      </c>
      <c r="AB501" s="18" t="n">
        <f aca="false">Tabela_dane[[#This Row],[Wolumen_t]]*8.5</f>
        <v>59.1855</v>
      </c>
      <c r="AC501" s="18" t="n">
        <f aca="false">IF(G501&lt;&gt;"TAK",0,IF(OR(E501="ZAKUP",E501="PRODUKCJA"),Z501,IF(OR(E501="SPRZEDAŻ",E501="ZUŻYCIE"),-Z501,0)))</f>
        <v>84.4</v>
      </c>
      <c r="AD501" s="18" t="n">
        <f aca="false">IF(G501&lt;&gt;"TAK",0,IF(OR(E501="ZAKUP",E501="PRODUKCJA"),AA501,IF(OR(E501="SPRZEDAŻ",E501="ZUŻYCIE"),-AA501,0)))</f>
        <v>6.963</v>
      </c>
      <c r="AE501" s="19" t="n">
        <f aca="false">IF(E501="ZAKUP",IF(L501&lt;&gt;"",L501,IF(K501&lt;&gt;"",Z501*K501,0)),0)</f>
        <v>0</v>
      </c>
      <c r="AF501" s="19" t="n">
        <f aca="false">IF(E501="SPRZEDAŻ",IF(M501&lt;&gt;"",Z501*M501,0),0)</f>
        <v>0</v>
      </c>
      <c r="AG501" s="19" t="str">
        <f aca="false">IF(R501="","",IF(LOWER(R501)="brak","Brak",IF(OR(ISNUMBER(SEARCH("ric pl",LOWER(R501))),ISNUMBER(SEARCH("wojciechowski",LOWER(R501)))),"Własny","Zewnętrzny")))</f>
        <v/>
      </c>
      <c r="AH501" s="19" t="n">
        <f aca="false">Z501*Q501</f>
        <v>0</v>
      </c>
      <c r="AI501" s="19" t="str">
        <f aca="false">UPPER(TEXT(C501,"mmmm"))</f>
        <v>AUGUST</v>
      </c>
      <c r="AJ501" s="19" t="str">
        <f aca="false">IF(C501="","",TEXT(C501,"rrrr"))</f>
        <v>CE5786CE5786</v>
      </c>
      <c r="AK501" s="10"/>
      <c r="AL501" s="11" t="n">
        <v>0</v>
      </c>
      <c r="AM501" s="10" t="s">
        <v>919</v>
      </c>
      <c r="AN501" s="10" t="s">
        <v>59</v>
      </c>
      <c r="AO501" s="10"/>
      <c r="AP501" s="10"/>
      <c r="AQ501" s="10"/>
      <c r="AR501" s="10" t="s">
        <v>66</v>
      </c>
      <c r="AS501" s="10"/>
      <c r="AT501" s="15" t="n">
        <v>1</v>
      </c>
    </row>
    <row r="502" customFormat="false" ht="28.5" hidden="false" customHeight="true" outlineLevel="0" collapsed="false">
      <c r="A502" s="12" t="n">
        <v>46259</v>
      </c>
      <c r="B502" s="12"/>
      <c r="C502" s="12" t="n">
        <v>46259</v>
      </c>
      <c r="D502" s="10" t="s">
        <v>54</v>
      </c>
      <c r="E502" s="10" t="s">
        <v>47</v>
      </c>
      <c r="F502" s="13" t="s">
        <v>920</v>
      </c>
      <c r="G502" s="14" t="s">
        <v>49</v>
      </c>
      <c r="H502" s="10" t="s">
        <v>50</v>
      </c>
      <c r="I502" s="15" t="n">
        <v>84.4</v>
      </c>
      <c r="J502" s="10" t="s">
        <v>51</v>
      </c>
      <c r="K502" s="15" t="n">
        <v>0</v>
      </c>
      <c r="L502" s="11" t="n">
        <v>0</v>
      </c>
      <c r="M502" s="11" t="n">
        <v>0</v>
      </c>
      <c r="N502" s="10" t="s">
        <v>52</v>
      </c>
      <c r="O502" s="10" t="s">
        <v>67</v>
      </c>
      <c r="P502" s="10" t="s">
        <v>53</v>
      </c>
      <c r="Q502" s="16" t="n">
        <v>10</v>
      </c>
      <c r="R502" s="10"/>
      <c r="S502" s="10"/>
      <c r="T502" s="10" t="n">
        <v>0</v>
      </c>
      <c r="U502" s="11" t="n">
        <f aca="false">IF(E502="TRANSPORT",IF(T502="","",T502*5),IF(AL502="","",AL502))</f>
        <v>0</v>
      </c>
      <c r="V502" s="10" t="s">
        <v>54</v>
      </c>
      <c r="W502" s="15" t="s">
        <v>65</v>
      </c>
      <c r="X502" s="15"/>
      <c r="Y502" s="17" t="n">
        <v>46265.3678240741</v>
      </c>
      <c r="Z502" s="18" t="n">
        <f aca="false">IF(I502="",0,IF(ISNUMBER(SEARCH("mp",LOWER(J502))),I502,IF(ISNUMBER(SEARCH("ton",LOWER(J502))),I502/0.33,IF(ISNUMBER(SEARCH("m3",LOWER(J502))),I502*4,I502))))</f>
        <v>84.4</v>
      </c>
      <c r="AA502" s="18" t="n">
        <f aca="false">IF(I502="",0,IF(ISNUMBER(SEARCH("mp",LOWER(J502))),I502*0.33,IF(ISNUMBER(SEARCH("ton",LOWER(J502))),I502,I502*0.33)))</f>
        <v>27.852</v>
      </c>
      <c r="AB502" s="18" t="n">
        <f aca="false">Tabela_dane[[#This Row],[Wolumen_t]]*8.5</f>
        <v>236.742</v>
      </c>
      <c r="AC502" s="18" t="n">
        <f aca="false">IF(G502&lt;&gt;"TAK",0,IF(OR(E502="ZAKUP",E502="PRODUKCJA"),Z502,IF(OR(E502="SPRZEDAŻ",E502="ZUŻYCIE"),-Z502,0)))</f>
        <v>84.4</v>
      </c>
      <c r="AD502" s="18" t="n">
        <f aca="false">IF(G502&lt;&gt;"TAK",0,IF(OR(E502="ZAKUP",E502="PRODUKCJA"),AA502,IF(OR(E502="SPRZEDAŻ",E502="ZUŻYCIE"),-AA502,0)))</f>
        <v>27.852</v>
      </c>
      <c r="AE502" s="19" t="n">
        <f aca="false">IF(E502="ZAKUP",IF(L502&lt;&gt;"",L502,IF(K502&lt;&gt;"",Z502*K502,0)),0)</f>
        <v>0</v>
      </c>
      <c r="AF502" s="19" t="n">
        <f aca="false">IF(E502="SPRZEDAŻ",IF(M502&lt;&gt;"",Z502*M502,0),0)</f>
        <v>0</v>
      </c>
      <c r="AG502" s="19" t="str">
        <f aca="false">IF(R502="","",IF(LOWER(R502)="brak","Brak",IF(OR(ISNUMBER(SEARCH("ric pl",LOWER(R502))),ISNUMBER(SEARCH("wojciechowski",LOWER(R502)))),"Własny","Zewnętrzny")))</f>
        <v/>
      </c>
      <c r="AH502" s="19" t="n">
        <f aca="false">Z502*Q502</f>
        <v>844</v>
      </c>
      <c r="AI502" s="19" t="str">
        <f aca="false">UPPER(TEXT(C502,"mmmm"))</f>
        <v>AUGUST</v>
      </c>
      <c r="AJ502" s="19" t="str">
        <f aca="false">IF(C502="","",TEXT(C502,"rrrr"))</f>
        <v>CE5786CE5786</v>
      </c>
      <c r="AK502" s="10"/>
      <c r="AL502" s="11" t="n">
        <v>0</v>
      </c>
      <c r="AM502" s="10" t="s">
        <v>921</v>
      </c>
      <c r="AN502" s="10" t="s">
        <v>59</v>
      </c>
      <c r="AO502" s="10"/>
      <c r="AP502" s="10"/>
      <c r="AQ502" s="10"/>
      <c r="AR502" s="10" t="s">
        <v>66</v>
      </c>
      <c r="AS502" s="10"/>
      <c r="AT502" s="15" t="n">
        <v>1</v>
      </c>
    </row>
    <row r="503" customFormat="false" ht="28.5" hidden="false" customHeight="true" outlineLevel="0" collapsed="false">
      <c r="A503" s="12" t="n">
        <v>46259</v>
      </c>
      <c r="B503" s="12"/>
      <c r="C503" s="12" t="n">
        <v>46259</v>
      </c>
      <c r="D503" s="10" t="s">
        <v>54</v>
      </c>
      <c r="E503" s="10" t="s">
        <v>79</v>
      </c>
      <c r="F503" s="13" t="s">
        <v>920</v>
      </c>
      <c r="G503" s="14" t="s">
        <v>49</v>
      </c>
      <c r="H503" s="10" t="s">
        <v>50</v>
      </c>
      <c r="I503" s="15" t="n">
        <v>84.4</v>
      </c>
      <c r="J503" s="10" t="s">
        <v>51</v>
      </c>
      <c r="K503" s="15" t="n">
        <v>0</v>
      </c>
      <c r="L503" s="11" t="n">
        <v>0</v>
      </c>
      <c r="M503" s="11" t="n">
        <v>0</v>
      </c>
      <c r="N503" s="10" t="s">
        <v>52</v>
      </c>
      <c r="O503" s="10" t="s">
        <v>67</v>
      </c>
      <c r="P503" s="10" t="s">
        <v>53</v>
      </c>
      <c r="Q503" s="16" t="n">
        <v>10</v>
      </c>
      <c r="R503" s="10"/>
      <c r="S503" s="10"/>
      <c r="T503" s="10" t="n">
        <v>0</v>
      </c>
      <c r="U503" s="11" t="n">
        <f aca="false">IF(E503="TRANSPORT",IF(T503="","",T503*5),IF(AL503="","",AL503))</f>
        <v>0</v>
      </c>
      <c r="V503" s="10" t="s">
        <v>54</v>
      </c>
      <c r="W503" s="15" t="s">
        <v>260</v>
      </c>
      <c r="X503" s="15"/>
      <c r="Y503" s="17" t="n">
        <v>46265.3678240741</v>
      </c>
      <c r="Z503" s="18" t="n">
        <f aca="false">IF(I503="",0,IF(ISNUMBER(SEARCH("mp",LOWER(J503))),I503,IF(ISNUMBER(SEARCH("ton",LOWER(J503))),I503/0.33,IF(ISNUMBER(SEARCH("m3",LOWER(J503))),I503*4,I503))))</f>
        <v>84.4</v>
      </c>
      <c r="AA503" s="18" t="n">
        <f aca="false">IF(I503="",0,IF(ISNUMBER(SEARCH("mp",LOWER(J503))),I503*0.33,IF(ISNUMBER(SEARCH("ton",LOWER(J503))),I503,I503*0.33)))</f>
        <v>27.852</v>
      </c>
      <c r="AB503" s="18" t="n">
        <f aca="false">Tabela_dane[[#This Row],[Wolumen_t]]*8.5</f>
        <v>236.742</v>
      </c>
      <c r="AC503" s="18" t="n">
        <f aca="false">IF(G503&lt;&gt;"TAK",0,IF(OR(E503="ZAKUP",E503="PRODUKCJA"),Z503,IF(OR(E503="SPRZEDAŻ",E503="ZUŻYCIE"),-Z503,0)))</f>
        <v>-84.4</v>
      </c>
      <c r="AD503" s="18" t="n">
        <f aca="false">IF(G503&lt;&gt;"TAK",0,IF(OR(E503="ZAKUP",E503="PRODUKCJA"),AA503,IF(OR(E503="SPRZEDAŻ",E503="ZUŻYCIE"),-AA503,0)))</f>
        <v>-27.852</v>
      </c>
      <c r="AE503" s="19" t="n">
        <f aca="false">IF(E503="ZAKUP",IF(L503&lt;&gt;"",L503,IF(K503&lt;&gt;"",Z503*K503,0)),0)</f>
        <v>0</v>
      </c>
      <c r="AF503" s="19" t="n">
        <f aca="false">IF(E503="SPRZEDAŻ",IF(M503&lt;&gt;"",Z503*M503,0),0)</f>
        <v>0</v>
      </c>
      <c r="AG503" s="19" t="str">
        <f aca="false">IF(R503="","",IF(LOWER(R503)="brak","Brak",IF(OR(ISNUMBER(SEARCH("ric pl",LOWER(R503))),ISNUMBER(SEARCH("wojciechowski",LOWER(R503)))),"Własny","Zewnętrzny")))</f>
        <v/>
      </c>
      <c r="AH503" s="19" t="n">
        <f aca="false">Z503*Q503</f>
        <v>844</v>
      </c>
      <c r="AI503" s="19" t="str">
        <f aca="false">UPPER(TEXT(C503,"mmmm"))</f>
        <v>AUGUST</v>
      </c>
      <c r="AJ503" s="19" t="str">
        <f aca="false">IF(C503="","",TEXT(C503,"rrrr"))</f>
        <v>CE5786CE5786</v>
      </c>
      <c r="AK503" s="10"/>
      <c r="AL503" s="11" t="n">
        <v>0</v>
      </c>
      <c r="AM503" s="10" t="s">
        <v>921</v>
      </c>
      <c r="AN503" s="10" t="s">
        <v>59</v>
      </c>
      <c r="AO503" s="10"/>
      <c r="AP503" s="10"/>
      <c r="AQ503" s="10"/>
      <c r="AR503" s="10" t="s">
        <v>81</v>
      </c>
      <c r="AS503" s="10"/>
      <c r="AT503" s="15" t="n">
        <v>1</v>
      </c>
    </row>
    <row r="504" customFormat="false" ht="28.5" hidden="false" customHeight="true" outlineLevel="0" collapsed="false">
      <c r="A504" s="12" t="n">
        <v>46259</v>
      </c>
      <c r="B504" s="12" t="s">
        <v>440</v>
      </c>
      <c r="C504" s="12" t="n">
        <v>46259</v>
      </c>
      <c r="D504" s="10" t="s">
        <v>54</v>
      </c>
      <c r="E504" s="10" t="s">
        <v>63</v>
      </c>
      <c r="F504" s="13" t="s">
        <v>920</v>
      </c>
      <c r="G504" s="14" t="s">
        <v>49</v>
      </c>
      <c r="H504" s="10" t="s">
        <v>50</v>
      </c>
      <c r="I504" s="15" t="n">
        <v>84.4</v>
      </c>
      <c r="J504" s="10" t="s">
        <v>51</v>
      </c>
      <c r="K504" s="15" t="n">
        <v>0</v>
      </c>
      <c r="L504" s="11" t="n">
        <v>0</v>
      </c>
      <c r="M504" s="11" t="n">
        <v>0</v>
      </c>
      <c r="N504" s="10" t="s">
        <v>52</v>
      </c>
      <c r="O504" s="10" t="s">
        <v>67</v>
      </c>
      <c r="P504" s="10"/>
      <c r="Q504" s="16" t="n">
        <v>0</v>
      </c>
      <c r="R504" s="10" t="s">
        <v>182</v>
      </c>
      <c r="S504" s="10" t="s">
        <v>509</v>
      </c>
      <c r="T504" s="10" t="n">
        <v>200</v>
      </c>
      <c r="U504" s="11" t="n">
        <f aca="false">IF(E504="TRANSPORT",IF(T504="","",T504*5),IF(AL504="","",AL504))</f>
        <v>1000</v>
      </c>
      <c r="V504" s="10" t="s">
        <v>54</v>
      </c>
      <c r="W504" s="15" t="s">
        <v>65</v>
      </c>
      <c r="X504" s="15"/>
      <c r="Y504" s="17" t="n">
        <v>46265.3685069445</v>
      </c>
      <c r="Z504" s="18" t="n">
        <f aca="false">IF(I504="",0,IF(ISNUMBER(SEARCH("mp",LOWER(J504))),I504,IF(ISNUMBER(SEARCH("ton",LOWER(J504))),I504/0.33,IF(ISNUMBER(SEARCH("m3",LOWER(J504))),I504*4,I504))))</f>
        <v>84.4</v>
      </c>
      <c r="AA504" s="18" t="n">
        <f aca="false">IF(I504="",0,IF(ISNUMBER(SEARCH("mp",LOWER(J504))),I504*0.33,IF(ISNUMBER(SEARCH("ton",LOWER(J504))),I504,I504*0.33)))</f>
        <v>27.852</v>
      </c>
      <c r="AB504" s="18" t="n">
        <f aca="false">Tabela_dane[[#This Row],[Wolumen_t]]*8.5</f>
        <v>236.742</v>
      </c>
      <c r="AC504" s="18" t="n">
        <f aca="false">IF(G504&lt;&gt;"TAK",0,IF(OR(E504="ZAKUP",E504="PRODUKCJA"),Z504,IF(OR(E504="SPRZEDAŻ",E504="ZUŻYCIE"),-Z504,0)))</f>
        <v>84.4</v>
      </c>
      <c r="AD504" s="18" t="n">
        <f aca="false">IF(G504&lt;&gt;"TAK",0,IF(OR(E504="ZAKUP",E504="PRODUKCJA"),AA504,IF(OR(E504="SPRZEDAŻ",E504="ZUŻYCIE"),-AA504,0)))</f>
        <v>27.852</v>
      </c>
      <c r="AE504" s="19" t="n">
        <f aca="false">IF(E504="ZAKUP",IF(L504&lt;&gt;"",L504,IF(K504&lt;&gt;"",Z504*K504,0)),0)</f>
        <v>0</v>
      </c>
      <c r="AF504" s="19" t="n">
        <f aca="false">IF(E504="SPRZEDAŻ",IF(M504&lt;&gt;"",Z504*M504,0),0)</f>
        <v>0</v>
      </c>
      <c r="AG504" s="19" t="str">
        <f aca="false">IF(R504="","",IF(LOWER(R504)="brak","Brak",IF(OR(ISNUMBER(SEARCH("ric pl",LOWER(R504))),ISNUMBER(SEARCH("wojciechowski",LOWER(R504)))),"Własny","Zewnętrzny")))</f>
        <v>Zewnętrzny</v>
      </c>
      <c r="AH504" s="19" t="n">
        <f aca="false">Z504*Q504</f>
        <v>0</v>
      </c>
      <c r="AI504" s="19" t="str">
        <f aca="false">UPPER(TEXT(C504,"mmmm"))</f>
        <v>AUGUST</v>
      </c>
      <c r="AJ504" s="19" t="str">
        <f aca="false">IF(C504="","",TEXT(C504,"rrrr"))</f>
        <v>CE5786CE5786</v>
      </c>
      <c r="AK504" s="10"/>
      <c r="AL504" s="11" t="n">
        <v>1000</v>
      </c>
      <c r="AM504" s="10" t="s">
        <v>922</v>
      </c>
      <c r="AN504" s="10" t="s">
        <v>49</v>
      </c>
      <c r="AO504" s="10"/>
      <c r="AP504" s="10"/>
      <c r="AQ504" s="10"/>
      <c r="AR504" s="10" t="s">
        <v>66</v>
      </c>
      <c r="AS504" s="10"/>
      <c r="AT504" s="15" t="n">
        <v>1</v>
      </c>
    </row>
    <row r="505" customFormat="false" ht="28.5" hidden="false" customHeight="true" outlineLevel="0" collapsed="false">
      <c r="A505" s="12" t="n">
        <v>46259</v>
      </c>
      <c r="B505" s="12"/>
      <c r="C505" s="12" t="n">
        <v>46259</v>
      </c>
      <c r="D505" s="10" t="s">
        <v>436</v>
      </c>
      <c r="E505" s="10" t="s">
        <v>63</v>
      </c>
      <c r="F505" s="46" t="s">
        <v>923</v>
      </c>
      <c r="G505" s="14" t="s">
        <v>49</v>
      </c>
      <c r="H505" s="10" t="s">
        <v>50</v>
      </c>
      <c r="I505" s="15" t="n">
        <v>21.1</v>
      </c>
      <c r="J505" s="10" t="s">
        <v>77</v>
      </c>
      <c r="K505" s="15" t="n">
        <v>0</v>
      </c>
      <c r="L505" s="11" t="n">
        <v>0</v>
      </c>
      <c r="M505" s="11" t="n">
        <v>0</v>
      </c>
      <c r="N505" s="10" t="s">
        <v>64</v>
      </c>
      <c r="O505" s="10"/>
      <c r="P505" s="10"/>
      <c r="Q505" s="16" t="n">
        <v>0</v>
      </c>
      <c r="R505" s="10"/>
      <c r="S505" s="10"/>
      <c r="T505" s="10" t="n">
        <v>0</v>
      </c>
      <c r="U505" s="11" t="n">
        <f aca="false">IF(E505="TRANSPORT",IF(T505="","",T505*5),IF(AL505="","",AL505))</f>
        <v>0</v>
      </c>
      <c r="V505" s="10" t="s">
        <v>54</v>
      </c>
      <c r="W505" s="15" t="s">
        <v>65</v>
      </c>
      <c r="X505" s="15"/>
      <c r="Y505" s="17" t="n">
        <v>46265.3753703704</v>
      </c>
      <c r="Z505" s="18" t="n">
        <f aca="false">IF(I505="",0,IF(ISNUMBER(SEARCH("mp",LOWER(J505))),I505,IF(ISNUMBER(SEARCH("ton",LOWER(J505))),I505/0.33,IF(ISNUMBER(SEARCH("m3",LOWER(J505))),I505*4,I505))))</f>
        <v>84.4</v>
      </c>
      <c r="AA505" s="18" t="n">
        <f aca="false">IF(I505="",0,IF(ISNUMBER(SEARCH("mp",LOWER(J505))),I505*0.33,IF(ISNUMBER(SEARCH("ton",LOWER(J505))),I505,I505*0.33)))</f>
        <v>6.963</v>
      </c>
      <c r="AB505" s="18" t="n">
        <f aca="false">Tabela_dane[[#This Row],[Wolumen_t]]*8.5</f>
        <v>59.1855</v>
      </c>
      <c r="AC505" s="18" t="n">
        <f aca="false">IF(G505&lt;&gt;"TAK",0,IF(OR(E505="ZAKUP",E505="PRODUKCJA"),Z505,IF(OR(E505="SPRZEDAŻ",E505="ZUŻYCIE"),-Z505,0)))</f>
        <v>84.4</v>
      </c>
      <c r="AD505" s="18" t="n">
        <f aca="false">IF(G505&lt;&gt;"TAK",0,IF(OR(E505="ZAKUP",E505="PRODUKCJA"),AA505,IF(OR(E505="SPRZEDAŻ",E505="ZUŻYCIE"),-AA505,0)))</f>
        <v>6.963</v>
      </c>
      <c r="AE505" s="19" t="n">
        <f aca="false">IF(E505="ZAKUP",IF(L505&lt;&gt;"",L505,IF(K505&lt;&gt;"",Z505*K505,0)),0)</f>
        <v>0</v>
      </c>
      <c r="AF505" s="19" t="n">
        <f aca="false">IF(E505="SPRZEDAŻ",IF(M505&lt;&gt;"",Z505*M505,0),0)</f>
        <v>0</v>
      </c>
      <c r="AG505" s="19" t="str">
        <f aca="false">IF(R505="","",IF(LOWER(R505)="brak","Brak",IF(OR(ISNUMBER(SEARCH("ric pl",LOWER(R505))),ISNUMBER(SEARCH("wojciechowski",LOWER(R505)))),"Własny","Zewnętrzny")))</f>
        <v/>
      </c>
      <c r="AH505" s="19" t="n">
        <f aca="false">Z505*Q505</f>
        <v>0</v>
      </c>
      <c r="AI505" s="19" t="str">
        <f aca="false">UPPER(TEXT(C505,"mmmm"))</f>
        <v>AUGUST</v>
      </c>
      <c r="AJ505" s="19" t="str">
        <f aca="false">IF(C505="","",TEXT(C505,"rrrr"))</f>
        <v>CE5786CE5786</v>
      </c>
      <c r="AK505" s="10"/>
      <c r="AL505" s="11" t="n">
        <v>0</v>
      </c>
      <c r="AM505" s="10" t="s">
        <v>924</v>
      </c>
      <c r="AN505" s="10" t="s">
        <v>59</v>
      </c>
      <c r="AO505" s="10"/>
      <c r="AP505" s="10"/>
      <c r="AQ505" s="10"/>
      <c r="AR505" s="10" t="s">
        <v>66</v>
      </c>
      <c r="AS505" s="10"/>
      <c r="AT505" s="15" t="n">
        <v>1</v>
      </c>
    </row>
    <row r="506" customFormat="false" ht="28.5" hidden="false" customHeight="true" outlineLevel="0" collapsed="false">
      <c r="A506" s="12" t="n">
        <v>46259</v>
      </c>
      <c r="B506" s="12"/>
      <c r="C506" s="12" t="n">
        <v>46259</v>
      </c>
      <c r="D506" s="10" t="s">
        <v>54</v>
      </c>
      <c r="E506" s="10" t="s">
        <v>47</v>
      </c>
      <c r="F506" s="13" t="s">
        <v>925</v>
      </c>
      <c r="G506" s="14" t="s">
        <v>49</v>
      </c>
      <c r="H506" s="10" t="s">
        <v>50</v>
      </c>
      <c r="I506" s="15" t="n">
        <v>84.4</v>
      </c>
      <c r="J506" s="10" t="s">
        <v>51</v>
      </c>
      <c r="K506" s="15" t="n">
        <v>0</v>
      </c>
      <c r="L506" s="11" t="n">
        <v>0</v>
      </c>
      <c r="M506" s="11" t="n">
        <v>0</v>
      </c>
      <c r="N506" s="10" t="s">
        <v>52</v>
      </c>
      <c r="O506" s="10" t="s">
        <v>67</v>
      </c>
      <c r="P506" s="10" t="s">
        <v>53</v>
      </c>
      <c r="Q506" s="16" t="n">
        <v>10</v>
      </c>
      <c r="R506" s="10"/>
      <c r="S506" s="10"/>
      <c r="T506" s="10" t="n">
        <v>0</v>
      </c>
      <c r="U506" s="11" t="n">
        <f aca="false">IF(E506="TRANSPORT",IF(T506="","",T506*5),IF(AL506="","",AL506))</f>
        <v>0</v>
      </c>
      <c r="V506" s="10" t="s">
        <v>54</v>
      </c>
      <c r="W506" s="15" t="s">
        <v>70</v>
      </c>
      <c r="X506" s="15"/>
      <c r="Y506" s="17" t="n">
        <v>46265.376099537</v>
      </c>
      <c r="Z506" s="18" t="n">
        <f aca="false">IF(I506="",0,IF(ISNUMBER(SEARCH("mp",LOWER(J506))),I506,IF(ISNUMBER(SEARCH("ton",LOWER(J506))),I506/0.33,IF(ISNUMBER(SEARCH("m3",LOWER(J506))),I506*4,I506))))</f>
        <v>84.4</v>
      </c>
      <c r="AA506" s="18" t="n">
        <f aca="false">IF(I506="",0,IF(ISNUMBER(SEARCH("mp",LOWER(J506))),I506*0.33,IF(ISNUMBER(SEARCH("ton",LOWER(J506))),I506,I506*0.33)))</f>
        <v>27.852</v>
      </c>
      <c r="AB506" s="18" t="n">
        <f aca="false">Tabela_dane[[#This Row],[Wolumen_t]]*8.5</f>
        <v>236.742</v>
      </c>
      <c r="AC506" s="18" t="n">
        <f aca="false">IF(G506&lt;&gt;"TAK",0,IF(OR(E506="ZAKUP",E506="PRODUKCJA"),Z506,IF(OR(E506="SPRZEDAŻ",E506="ZUŻYCIE"),-Z506,0)))</f>
        <v>84.4</v>
      </c>
      <c r="AD506" s="18" t="n">
        <f aca="false">IF(G506&lt;&gt;"TAK",0,IF(OR(E506="ZAKUP",E506="PRODUKCJA"),AA506,IF(OR(E506="SPRZEDAŻ",E506="ZUŻYCIE"),-AA506,0)))</f>
        <v>27.852</v>
      </c>
      <c r="AE506" s="19" t="n">
        <f aca="false">IF(E506="ZAKUP",IF(L506&lt;&gt;"",L506,IF(K506&lt;&gt;"",Z506*K506,0)),0)</f>
        <v>0</v>
      </c>
      <c r="AF506" s="19" t="n">
        <f aca="false">IF(E506="SPRZEDAŻ",IF(M506&lt;&gt;"",Z506*M506,0),0)</f>
        <v>0</v>
      </c>
      <c r="AG506" s="19" t="str">
        <f aca="false">IF(R506="","",IF(LOWER(R506)="brak","Brak",IF(OR(ISNUMBER(SEARCH("ric pl",LOWER(R506))),ISNUMBER(SEARCH("wojciechowski",LOWER(R506)))),"Własny","Zewnętrzny")))</f>
        <v/>
      </c>
      <c r="AH506" s="19" t="n">
        <f aca="false">Z506*Q506</f>
        <v>844</v>
      </c>
      <c r="AI506" s="19" t="str">
        <f aca="false">UPPER(TEXT(C506,"mmmm"))</f>
        <v>AUGUST</v>
      </c>
      <c r="AJ506" s="19" t="str">
        <f aca="false">IF(C506="","",TEXT(C506,"rrrr"))</f>
        <v>CE5786CE5786</v>
      </c>
      <c r="AK506" s="10"/>
      <c r="AL506" s="11" t="n">
        <v>0</v>
      </c>
      <c r="AM506" s="10" t="s">
        <v>926</v>
      </c>
      <c r="AN506" s="10" t="s">
        <v>59</v>
      </c>
      <c r="AO506" s="10"/>
      <c r="AP506" s="10"/>
      <c r="AQ506" s="10"/>
      <c r="AR506" s="10" t="s">
        <v>66</v>
      </c>
      <c r="AS506" s="10"/>
      <c r="AT506" s="15" t="n">
        <v>1</v>
      </c>
    </row>
    <row r="507" customFormat="false" ht="28.5" hidden="false" customHeight="true" outlineLevel="0" collapsed="false">
      <c r="A507" s="12" t="n">
        <v>46259</v>
      </c>
      <c r="B507" s="12"/>
      <c r="C507" s="12" t="n">
        <v>46259</v>
      </c>
      <c r="D507" s="10" t="s">
        <v>54</v>
      </c>
      <c r="E507" s="10" t="s">
        <v>79</v>
      </c>
      <c r="F507" s="13" t="s">
        <v>925</v>
      </c>
      <c r="G507" s="14" t="s">
        <v>49</v>
      </c>
      <c r="H507" s="10" t="s">
        <v>50</v>
      </c>
      <c r="I507" s="15" t="n">
        <v>84.4</v>
      </c>
      <c r="J507" s="10" t="s">
        <v>51</v>
      </c>
      <c r="K507" s="15" t="n">
        <v>0</v>
      </c>
      <c r="L507" s="11" t="n">
        <v>0</v>
      </c>
      <c r="M507" s="11" t="n">
        <v>0</v>
      </c>
      <c r="N507" s="10" t="s">
        <v>52</v>
      </c>
      <c r="O507" s="10" t="s">
        <v>67</v>
      </c>
      <c r="P507" s="10" t="s">
        <v>53</v>
      </c>
      <c r="Q507" s="16" t="n">
        <v>10</v>
      </c>
      <c r="R507" s="10"/>
      <c r="S507" s="10"/>
      <c r="T507" s="10" t="n">
        <v>0</v>
      </c>
      <c r="U507" s="11" t="n">
        <f aca="false">IF(E507="TRANSPORT",IF(T507="","",T507*5),IF(AL507="","",AL507))</f>
        <v>0</v>
      </c>
      <c r="V507" s="10" t="s">
        <v>54</v>
      </c>
      <c r="W507" s="15" t="s">
        <v>260</v>
      </c>
      <c r="X507" s="15"/>
      <c r="Y507" s="17" t="n">
        <v>46265.376099537</v>
      </c>
      <c r="Z507" s="18" t="n">
        <f aca="false">IF(I507="",0,IF(ISNUMBER(SEARCH("mp",LOWER(J507))),I507,IF(ISNUMBER(SEARCH("ton",LOWER(J507))),I507/0.33,IF(ISNUMBER(SEARCH("m3",LOWER(J507))),I507*4,I507))))</f>
        <v>84.4</v>
      </c>
      <c r="AA507" s="18" t="n">
        <f aca="false">IF(I507="",0,IF(ISNUMBER(SEARCH("mp",LOWER(J507))),I507*0.33,IF(ISNUMBER(SEARCH("ton",LOWER(J507))),I507,I507*0.33)))</f>
        <v>27.852</v>
      </c>
      <c r="AB507" s="18" t="n">
        <f aca="false">Tabela_dane[[#This Row],[Wolumen_t]]*8.5</f>
        <v>236.742</v>
      </c>
      <c r="AC507" s="18" t="n">
        <f aca="false">IF(G507&lt;&gt;"TAK",0,IF(OR(E507="ZAKUP",E507="PRODUKCJA"),Z507,IF(OR(E507="SPRZEDAŻ",E507="ZUŻYCIE"),-Z507,0)))</f>
        <v>-84.4</v>
      </c>
      <c r="AD507" s="18" t="n">
        <f aca="false">IF(G507&lt;&gt;"TAK",0,IF(OR(E507="ZAKUP",E507="PRODUKCJA"),AA507,IF(OR(E507="SPRZEDAŻ",E507="ZUŻYCIE"),-AA507,0)))</f>
        <v>-27.852</v>
      </c>
      <c r="AE507" s="19" t="n">
        <f aca="false">IF(E507="ZAKUP",IF(L507&lt;&gt;"",L507,IF(K507&lt;&gt;"",Z507*K507,0)),0)</f>
        <v>0</v>
      </c>
      <c r="AF507" s="19" t="n">
        <f aca="false">IF(E507="SPRZEDAŻ",IF(M507&lt;&gt;"",Z507*M507,0),0)</f>
        <v>0</v>
      </c>
      <c r="AG507" s="19" t="str">
        <f aca="false">IF(R507="","",IF(LOWER(R507)="brak","Brak",IF(OR(ISNUMBER(SEARCH("ric pl",LOWER(R507))),ISNUMBER(SEARCH("wojciechowski",LOWER(R507)))),"Własny","Zewnętrzny")))</f>
        <v/>
      </c>
      <c r="AH507" s="19" t="n">
        <f aca="false">Z507*Q507</f>
        <v>844</v>
      </c>
      <c r="AI507" s="19" t="str">
        <f aca="false">UPPER(TEXT(C507,"mmmm"))</f>
        <v>AUGUST</v>
      </c>
      <c r="AJ507" s="19" t="str">
        <f aca="false">IF(C507="","",TEXT(C507,"rrrr"))</f>
        <v>CE5786CE5786</v>
      </c>
      <c r="AK507" s="10"/>
      <c r="AL507" s="11" t="n">
        <v>0</v>
      </c>
      <c r="AM507" s="10" t="s">
        <v>926</v>
      </c>
      <c r="AN507" s="10" t="s">
        <v>59</v>
      </c>
      <c r="AO507" s="10"/>
      <c r="AP507" s="10"/>
      <c r="AQ507" s="10"/>
      <c r="AR507" s="10" t="s">
        <v>81</v>
      </c>
      <c r="AS507" s="10"/>
      <c r="AT507" s="15" t="n">
        <v>1</v>
      </c>
    </row>
    <row r="508" customFormat="false" ht="28.5" hidden="false" customHeight="true" outlineLevel="0" collapsed="false">
      <c r="A508" s="12" t="n">
        <v>46259</v>
      </c>
      <c r="B508" s="12" t="s">
        <v>440</v>
      </c>
      <c r="C508" s="12" t="n">
        <v>46259</v>
      </c>
      <c r="D508" s="10" t="s">
        <v>54</v>
      </c>
      <c r="E508" s="10" t="s">
        <v>63</v>
      </c>
      <c r="F508" s="13" t="s">
        <v>925</v>
      </c>
      <c r="G508" s="14" t="s">
        <v>49</v>
      </c>
      <c r="H508" s="10" t="s">
        <v>50</v>
      </c>
      <c r="I508" s="15" t="n">
        <v>84.4</v>
      </c>
      <c r="J508" s="10" t="s">
        <v>51</v>
      </c>
      <c r="K508" s="15" t="n">
        <v>0</v>
      </c>
      <c r="L508" s="11" t="n">
        <v>0</v>
      </c>
      <c r="M508" s="11" t="n">
        <v>0</v>
      </c>
      <c r="N508" s="10" t="s">
        <v>52</v>
      </c>
      <c r="O508" s="10" t="s">
        <v>67</v>
      </c>
      <c r="P508" s="10"/>
      <c r="Q508" s="16" t="n">
        <v>0</v>
      </c>
      <c r="R508" s="10" t="s">
        <v>68</v>
      </c>
      <c r="S508" s="10" t="s">
        <v>69</v>
      </c>
      <c r="T508" s="10" t="n">
        <v>200</v>
      </c>
      <c r="U508" s="11" t="n">
        <f aca="false">IF(E508="TRANSPORT",IF(T508="","",T508*5),IF(AL508="","",AL508))</f>
        <v>1000</v>
      </c>
      <c r="V508" s="10" t="s">
        <v>54</v>
      </c>
      <c r="W508" s="15" t="s">
        <v>70</v>
      </c>
      <c r="X508" s="15"/>
      <c r="Y508" s="17" t="n">
        <v>46265.3769907407</v>
      </c>
      <c r="Z508" s="18" t="n">
        <f aca="false">IF(I508="",0,IF(ISNUMBER(SEARCH("mp",LOWER(J508))),I508,IF(ISNUMBER(SEARCH("ton",LOWER(J508))),I508/0.33,IF(ISNUMBER(SEARCH("m3",LOWER(J508))),I508*4,I508))))</f>
        <v>84.4</v>
      </c>
      <c r="AA508" s="18" t="n">
        <f aca="false">IF(I508="",0,IF(ISNUMBER(SEARCH("mp",LOWER(J508))),I508*0.33,IF(ISNUMBER(SEARCH("ton",LOWER(J508))),I508,I508*0.33)))</f>
        <v>27.852</v>
      </c>
      <c r="AB508" s="18" t="n">
        <f aca="false">Tabela_dane[[#This Row],[Wolumen_t]]*8.5</f>
        <v>236.742</v>
      </c>
      <c r="AC508" s="18" t="n">
        <f aca="false">IF(G508&lt;&gt;"TAK",0,IF(OR(E508="ZAKUP",E508="PRODUKCJA"),Z508,IF(OR(E508="SPRZEDAŻ",E508="ZUŻYCIE"),-Z508,0)))</f>
        <v>84.4</v>
      </c>
      <c r="AD508" s="18" t="n">
        <f aca="false">IF(G508&lt;&gt;"TAK",0,IF(OR(E508="ZAKUP",E508="PRODUKCJA"),AA508,IF(OR(E508="SPRZEDAŻ",E508="ZUŻYCIE"),-AA508,0)))</f>
        <v>27.852</v>
      </c>
      <c r="AE508" s="19" t="n">
        <f aca="false">IF(E508="ZAKUP",IF(L508&lt;&gt;"",L508,IF(K508&lt;&gt;"",Z508*K508,0)),0)</f>
        <v>0</v>
      </c>
      <c r="AF508" s="19" t="n">
        <f aca="false">IF(E508="SPRZEDAŻ",IF(M508&lt;&gt;"",Z508*M508,0),0)</f>
        <v>0</v>
      </c>
      <c r="AG508" s="19" t="str">
        <f aca="false">IF(R508="","",IF(LOWER(R508)="brak","Brak",IF(OR(ISNUMBER(SEARCH("ric pl",LOWER(R508))),ISNUMBER(SEARCH("wojciechowski",LOWER(R508)))),"Własny","Zewnętrzny")))</f>
        <v>Zewnętrzny</v>
      </c>
      <c r="AH508" s="19" t="n">
        <f aca="false">Z508*Q508</f>
        <v>0</v>
      </c>
      <c r="AI508" s="19" t="str">
        <f aca="false">UPPER(TEXT(C508,"mmmm"))</f>
        <v>AUGUST</v>
      </c>
      <c r="AJ508" s="19" t="str">
        <f aca="false">IF(C508="","",TEXT(C508,"rrrr"))</f>
        <v>CE5786CE5786</v>
      </c>
      <c r="AK508" s="10"/>
      <c r="AL508" s="11" t="n">
        <v>1000</v>
      </c>
      <c r="AM508" s="10" t="s">
        <v>927</v>
      </c>
      <c r="AN508" s="10" t="s">
        <v>49</v>
      </c>
      <c r="AO508" s="10"/>
      <c r="AP508" s="10"/>
      <c r="AQ508" s="10"/>
      <c r="AR508" s="10" t="s">
        <v>66</v>
      </c>
      <c r="AS508" s="10"/>
      <c r="AT508" s="15" t="n">
        <v>1</v>
      </c>
    </row>
    <row r="509" customFormat="false" ht="28.5" hidden="false" customHeight="true" outlineLevel="0" collapsed="false">
      <c r="A509" s="12" t="n">
        <v>46260</v>
      </c>
      <c r="B509" s="12" t="s">
        <v>54</v>
      </c>
      <c r="C509" s="12" t="n">
        <v>46260</v>
      </c>
      <c r="D509" s="10" t="s">
        <v>54</v>
      </c>
      <c r="E509" s="10" t="s">
        <v>559</v>
      </c>
      <c r="F509" s="52" t="s">
        <v>928</v>
      </c>
      <c r="G509" s="14" t="s">
        <v>49</v>
      </c>
      <c r="H509" s="10" t="s">
        <v>76</v>
      </c>
      <c r="I509" s="15" t="n">
        <v>90</v>
      </c>
      <c r="J509" s="10" t="s">
        <v>51</v>
      </c>
      <c r="K509" s="15" t="n">
        <v>0</v>
      </c>
      <c r="L509" s="11" t="n">
        <v>0</v>
      </c>
      <c r="M509" s="11" t="n">
        <v>0</v>
      </c>
      <c r="N509" s="10" t="s">
        <v>52</v>
      </c>
      <c r="O509" s="10" t="s">
        <v>67</v>
      </c>
      <c r="P509" s="10"/>
      <c r="Q509" s="16" t="n">
        <v>0</v>
      </c>
      <c r="R509" s="10" t="s">
        <v>68</v>
      </c>
      <c r="S509" s="10" t="s">
        <v>95</v>
      </c>
      <c r="T509" s="10" t="n">
        <v>107</v>
      </c>
      <c r="U509" s="11" t="n">
        <f aca="false">IF(E509="TRANSPORT",IF(T509="","",T509*5),IF(AL509="","",AL509))</f>
        <v>535</v>
      </c>
      <c r="V509" s="10" t="s">
        <v>561</v>
      </c>
      <c r="W509" s="15" t="s">
        <v>70</v>
      </c>
      <c r="X509" s="15"/>
      <c r="Y509" s="17" t="n">
        <v>46262.406400463</v>
      </c>
      <c r="Z509" s="18" t="n">
        <f aca="false">IF(I509="",0,IF(ISNUMBER(SEARCH("mp",LOWER(J509))),I509,IF(ISNUMBER(SEARCH("ton",LOWER(J509))),I509/0.33,IF(ISNUMBER(SEARCH("m3",LOWER(J509))),I509*4,I509))))</f>
        <v>90</v>
      </c>
      <c r="AA509" s="18" t="n">
        <f aca="false">IF(I509="",0,IF(ISNUMBER(SEARCH("mp",LOWER(J509))),I509*0.33,IF(ISNUMBER(SEARCH("ton",LOWER(J509))),I509,I509*0.33)))</f>
        <v>29.7</v>
      </c>
      <c r="AB509" s="18" t="n">
        <f aca="false">Tabela_dane[[#This Row],[Wolumen_t]]*8.5</f>
        <v>252.45</v>
      </c>
      <c r="AC509" s="18" t="n">
        <f aca="false">IF(G509&lt;&gt;"TAK",0,IF(OR(E509="ZAKUP",E509="PRODUKCJA"),Z509,IF(OR(E509="SPRZEDAŻ",E509="ZUŻYCIE"),-Z509,0)))</f>
        <v>-90</v>
      </c>
      <c r="AD509" s="18" t="n">
        <f aca="false">IF(G509&lt;&gt;"TAK",0,IF(OR(E509="ZAKUP",E509="PRODUKCJA"),AA509,IF(OR(E509="SPRZEDAŻ",E509="ZUŻYCIE"),-AA509,0)))</f>
        <v>-29.7</v>
      </c>
      <c r="AE509" s="19" t="n">
        <f aca="false">IF(E509="ZAKUP",IF(L509&lt;&gt;"",L509,IF(K509&lt;&gt;"",Z509*K509,0)),0)</f>
        <v>0</v>
      </c>
      <c r="AF509" s="19" t="n">
        <f aca="false">IF(E509="SPRZEDAŻ",IF(M509&lt;&gt;"",Z509*M509,0),0)</f>
        <v>0</v>
      </c>
      <c r="AG509" s="19" t="str">
        <f aca="false">IF(R509="","",IF(LOWER(R509)="brak","Brak",IF(OR(ISNUMBER(SEARCH("ric pl",LOWER(R509))),ISNUMBER(SEARCH("wojciechowski",LOWER(R509)))),"Własny","Zewnętrzny")))</f>
        <v>Zewnętrzny</v>
      </c>
      <c r="AH509" s="19" t="n">
        <f aca="false">Z509*Q509</f>
        <v>0</v>
      </c>
      <c r="AI509" s="19" t="str">
        <f aca="false">UPPER(TEXT(C509,"mmmm"))</f>
        <v>AUGUST</v>
      </c>
      <c r="AJ509" s="19" t="str">
        <f aca="false">IF(C509="","",TEXT(C509,"rrrr"))</f>
        <v>CE5786CE5786</v>
      </c>
      <c r="AK509" s="10"/>
      <c r="AL509" s="11" t="n">
        <v>535</v>
      </c>
      <c r="AM509" s="10" t="s">
        <v>929</v>
      </c>
      <c r="AN509" s="10" t="s">
        <v>49</v>
      </c>
      <c r="AO509" s="10"/>
      <c r="AP509" s="10"/>
      <c r="AQ509" s="10"/>
      <c r="AR509" s="10" t="s">
        <v>66</v>
      </c>
      <c r="AS509" s="10"/>
      <c r="AT509" s="15" t="n">
        <v>1</v>
      </c>
    </row>
    <row r="510" customFormat="false" ht="28.5" hidden="false" customHeight="true" outlineLevel="0" collapsed="false">
      <c r="A510" s="12" t="n">
        <v>46260</v>
      </c>
      <c r="B510" s="12" t="s">
        <v>54</v>
      </c>
      <c r="C510" s="12" t="n">
        <v>46260</v>
      </c>
      <c r="D510" s="10" t="s">
        <v>54</v>
      </c>
      <c r="E510" s="10" t="s">
        <v>559</v>
      </c>
      <c r="F510" s="52" t="s">
        <v>930</v>
      </c>
      <c r="G510" s="14" t="s">
        <v>49</v>
      </c>
      <c r="H510" s="10" t="s">
        <v>76</v>
      </c>
      <c r="I510" s="15" t="n">
        <v>90</v>
      </c>
      <c r="J510" s="10" t="s">
        <v>51</v>
      </c>
      <c r="K510" s="15" t="n">
        <v>0</v>
      </c>
      <c r="L510" s="11" t="n">
        <v>0</v>
      </c>
      <c r="M510" s="11" t="n">
        <v>0</v>
      </c>
      <c r="N510" s="10" t="s">
        <v>52</v>
      </c>
      <c r="O510" s="10" t="s">
        <v>67</v>
      </c>
      <c r="P510" s="10"/>
      <c r="Q510" s="16" t="n">
        <v>0</v>
      </c>
      <c r="R510" s="10" t="s">
        <v>182</v>
      </c>
      <c r="S510" s="10" t="s">
        <v>509</v>
      </c>
      <c r="T510" s="10" t="n">
        <v>107</v>
      </c>
      <c r="U510" s="11" t="n">
        <f aca="false">IF(E510="TRANSPORT",IF(T510="","",T510*5),IF(AL510="","",AL510))</f>
        <v>535</v>
      </c>
      <c r="V510" s="10" t="s">
        <v>561</v>
      </c>
      <c r="W510" s="15" t="s">
        <v>70</v>
      </c>
      <c r="X510" s="15"/>
      <c r="Y510" s="17" t="n">
        <v>46262.4071759259</v>
      </c>
      <c r="Z510" s="18" t="n">
        <f aca="false">IF(I510="",0,IF(ISNUMBER(SEARCH("mp",LOWER(J510))),I510,IF(ISNUMBER(SEARCH("ton",LOWER(J510))),I510/0.33,IF(ISNUMBER(SEARCH("m3",LOWER(J510))),I510*4,I510))))</f>
        <v>90</v>
      </c>
      <c r="AA510" s="18" t="n">
        <f aca="false">IF(I510="",0,IF(ISNUMBER(SEARCH("mp",LOWER(J510))),I510*0.33,IF(ISNUMBER(SEARCH("ton",LOWER(J510))),I510,I510*0.33)))</f>
        <v>29.7</v>
      </c>
      <c r="AB510" s="18" t="n">
        <f aca="false">Tabela_dane[[#This Row],[Wolumen_t]]*8.5</f>
        <v>252.45</v>
      </c>
      <c r="AC510" s="18" t="n">
        <f aca="false">IF(G510&lt;&gt;"TAK",0,IF(OR(E510="ZAKUP",E510="PRODUKCJA"),Z510,IF(OR(E510="SPRZEDAŻ",E510="ZUŻYCIE"),-Z510,0)))</f>
        <v>-90</v>
      </c>
      <c r="AD510" s="18" t="n">
        <f aca="false">IF(G510&lt;&gt;"TAK",0,IF(OR(E510="ZAKUP",E510="PRODUKCJA"),AA510,IF(OR(E510="SPRZEDAŻ",E510="ZUŻYCIE"),-AA510,0)))</f>
        <v>-29.7</v>
      </c>
      <c r="AE510" s="19" t="n">
        <f aca="false">IF(E510="ZAKUP",IF(L510&lt;&gt;"",L510,IF(K510&lt;&gt;"",Z510*K510,0)),0)</f>
        <v>0</v>
      </c>
      <c r="AF510" s="19" t="n">
        <f aca="false">IF(E510="SPRZEDAŻ",IF(M510&lt;&gt;"",Z510*M510,0),0)</f>
        <v>0</v>
      </c>
      <c r="AG510" s="19" t="str">
        <f aca="false">IF(R510="","",IF(LOWER(R510)="brak","Brak",IF(OR(ISNUMBER(SEARCH("ric pl",LOWER(R510))),ISNUMBER(SEARCH("wojciechowski",LOWER(R510)))),"Własny","Zewnętrzny")))</f>
        <v>Zewnętrzny</v>
      </c>
      <c r="AH510" s="19" t="n">
        <f aca="false">Z510*Q510</f>
        <v>0</v>
      </c>
      <c r="AI510" s="19" t="str">
        <f aca="false">UPPER(TEXT(C510,"mmmm"))</f>
        <v>AUGUST</v>
      </c>
      <c r="AJ510" s="19" t="str">
        <f aca="false">IF(C510="","",TEXT(C510,"rrrr"))</f>
        <v>CE5786CE5786</v>
      </c>
      <c r="AK510" s="10"/>
      <c r="AL510" s="11" t="n">
        <v>535</v>
      </c>
      <c r="AM510" s="10" t="s">
        <v>931</v>
      </c>
      <c r="AN510" s="10" t="s">
        <v>49</v>
      </c>
      <c r="AO510" s="10"/>
      <c r="AP510" s="10"/>
      <c r="AQ510" s="10"/>
      <c r="AR510" s="10" t="s">
        <v>66</v>
      </c>
      <c r="AS510" s="10"/>
      <c r="AT510" s="15" t="n">
        <v>1</v>
      </c>
    </row>
    <row r="511" customFormat="false" ht="28.5" hidden="false" customHeight="true" outlineLevel="0" collapsed="false">
      <c r="A511" s="53" t="n">
        <v>46260</v>
      </c>
      <c r="B511" s="12"/>
      <c r="C511" s="12" t="n">
        <v>46260</v>
      </c>
      <c r="D511" s="10" t="s">
        <v>124</v>
      </c>
      <c r="E511" s="10" t="s">
        <v>63</v>
      </c>
      <c r="F511" s="13" t="s">
        <v>932</v>
      </c>
      <c r="G511" s="14" t="s">
        <v>49</v>
      </c>
      <c r="H511" s="10" t="s">
        <v>76</v>
      </c>
      <c r="I511" s="34" t="n">
        <v>92</v>
      </c>
      <c r="J511" s="10" t="s">
        <v>51</v>
      </c>
      <c r="K511" s="34" t="n">
        <v>105</v>
      </c>
      <c r="L511" s="11" t="n">
        <v>9660</v>
      </c>
      <c r="M511" s="11" t="n">
        <v>0</v>
      </c>
      <c r="N511" s="10" t="s">
        <v>104</v>
      </c>
      <c r="O511" s="10"/>
      <c r="P511" s="10"/>
      <c r="Q511" s="16" t="n">
        <v>0</v>
      </c>
      <c r="R511" s="10"/>
      <c r="S511" s="10"/>
      <c r="T511" s="10" t="n">
        <v>0</v>
      </c>
      <c r="U511" s="11" t="n">
        <f aca="false">IF(E511="TRANSPORT",IF(T511="","",T511*5),IF(AL511="","",AL511))</f>
        <v>0</v>
      </c>
      <c r="V511" s="10" t="s">
        <v>54</v>
      </c>
      <c r="W511" s="15" t="s">
        <v>933</v>
      </c>
      <c r="X511" s="15"/>
      <c r="Y511" s="17" t="n">
        <v>46262.4102314815</v>
      </c>
      <c r="Z511" s="18" t="n">
        <f aca="false">IF(I511="",0,IF(ISNUMBER(SEARCH("mp",LOWER(J511))),I511,IF(ISNUMBER(SEARCH("ton",LOWER(J511))),I511/0.33,IF(ISNUMBER(SEARCH("m3",LOWER(J511))),I511*4,I511))))</f>
        <v>92</v>
      </c>
      <c r="AA511" s="18" t="n">
        <f aca="false">IF(I511="",0,IF(ISNUMBER(SEARCH("mp",LOWER(J511))),I511*0.33,IF(ISNUMBER(SEARCH("ton",LOWER(J511))),I511,I511*0.33)))</f>
        <v>30.36</v>
      </c>
      <c r="AB511" s="18" t="n">
        <f aca="false">Tabela_dane[[#This Row],[Wolumen_t]]*8.5</f>
        <v>258.06</v>
      </c>
      <c r="AC511" s="18" t="n">
        <f aca="false">IF(G511&lt;&gt;"TAK",0,IF(OR(E511="ZAKUP",E511="PRODUKCJA"),Z511,IF(OR(E511="SPRZEDAŻ",E511="ZUŻYCIE"),-Z511,0)))</f>
        <v>92</v>
      </c>
      <c r="AD511" s="18" t="n">
        <f aca="false">IF(G511&lt;&gt;"TAK",0,IF(OR(E511="ZAKUP",E511="PRODUKCJA"),AA511,IF(OR(E511="SPRZEDAŻ",E511="ZUŻYCIE"),-AA511,0)))</f>
        <v>30.36</v>
      </c>
      <c r="AE511" s="19" t="n">
        <f aca="false">IF(E511="ZAKUP",IF(L511&lt;&gt;"",L511,IF(K511&lt;&gt;"",Z511*K511,0)),0)</f>
        <v>9660</v>
      </c>
      <c r="AF511" s="19" t="n">
        <f aca="false">IF(E511="SPRZEDAŻ",IF(M511&lt;&gt;"",Z511*M511,0),0)</f>
        <v>0</v>
      </c>
      <c r="AG511" s="19" t="str">
        <f aca="false">IF(R511="","",IF(LOWER(R511)="brak","Brak",IF(OR(ISNUMBER(SEARCH("ric pl",LOWER(R511))),ISNUMBER(SEARCH("wojciechowski",LOWER(R511)))),"Własny","Zewnętrzny")))</f>
        <v/>
      </c>
      <c r="AH511" s="19" t="n">
        <f aca="false">Z511*Q511</f>
        <v>0</v>
      </c>
      <c r="AI511" s="19" t="str">
        <f aca="false">UPPER(TEXT(C511,"mmmm"))</f>
        <v>AUGUST</v>
      </c>
      <c r="AJ511" s="19" t="str">
        <f aca="false">IF(C511="","",TEXT(C511,"rrrr"))</f>
        <v>CE5786CE5786</v>
      </c>
      <c r="AK511" s="10"/>
      <c r="AL511" s="11" t="n">
        <v>0</v>
      </c>
      <c r="AM511" s="10" t="s">
        <v>934</v>
      </c>
      <c r="AN511" s="10" t="s">
        <v>59</v>
      </c>
      <c r="AO511" s="10"/>
      <c r="AP511" s="10"/>
      <c r="AQ511" s="10"/>
      <c r="AR511" s="10" t="s">
        <v>66</v>
      </c>
      <c r="AS511" s="10"/>
      <c r="AT511" s="15" t="n">
        <v>1</v>
      </c>
    </row>
    <row r="512" customFormat="false" ht="28.5" hidden="false" customHeight="true" outlineLevel="0" collapsed="false">
      <c r="A512" s="53" t="n">
        <v>46260</v>
      </c>
      <c r="B512" s="12"/>
      <c r="C512" s="12" t="n">
        <v>46260</v>
      </c>
      <c r="D512" s="10" t="s">
        <v>124</v>
      </c>
      <c r="E512" s="10" t="s">
        <v>63</v>
      </c>
      <c r="F512" s="13" t="s">
        <v>935</v>
      </c>
      <c r="G512" s="14" t="s">
        <v>49</v>
      </c>
      <c r="H512" s="10" t="s">
        <v>76</v>
      </c>
      <c r="I512" s="34" t="n">
        <v>92</v>
      </c>
      <c r="J512" s="10" t="s">
        <v>51</v>
      </c>
      <c r="K512" s="34" t="n">
        <v>105</v>
      </c>
      <c r="L512" s="11" t="n">
        <v>9660</v>
      </c>
      <c r="M512" s="11" t="n">
        <v>0</v>
      </c>
      <c r="N512" s="10" t="s">
        <v>104</v>
      </c>
      <c r="O512" s="10"/>
      <c r="P512" s="10"/>
      <c r="Q512" s="16" t="n">
        <v>0</v>
      </c>
      <c r="R512" s="10"/>
      <c r="S512" s="10"/>
      <c r="T512" s="10" t="n">
        <v>0</v>
      </c>
      <c r="U512" s="11" t="n">
        <f aca="false">IF(E512="TRANSPORT",IF(T512="","",T512*5),IF(AL512="","",AL512))</f>
        <v>0</v>
      </c>
      <c r="V512" s="10" t="s">
        <v>54</v>
      </c>
      <c r="W512" s="15" t="s">
        <v>936</v>
      </c>
      <c r="X512" s="15"/>
      <c r="Y512" s="17" t="n">
        <v>46262.4110648148</v>
      </c>
      <c r="Z512" s="18" t="n">
        <f aca="false">IF(I512="",0,IF(ISNUMBER(SEARCH("mp",LOWER(J512))),I512,IF(ISNUMBER(SEARCH("ton",LOWER(J512))),I512/0.33,IF(ISNUMBER(SEARCH("m3",LOWER(J512))),I512*4,I512))))</f>
        <v>92</v>
      </c>
      <c r="AA512" s="18" t="n">
        <f aca="false">IF(I512="",0,IF(ISNUMBER(SEARCH("mp",LOWER(J512))),I512*0.33,IF(ISNUMBER(SEARCH("ton",LOWER(J512))),I512,I512*0.33)))</f>
        <v>30.36</v>
      </c>
      <c r="AB512" s="18" t="n">
        <f aca="false">Tabela_dane[[#This Row],[Wolumen_t]]*8.5</f>
        <v>258.06</v>
      </c>
      <c r="AC512" s="18" t="n">
        <f aca="false">IF(G512&lt;&gt;"TAK",0,IF(OR(E512="ZAKUP",E512="PRODUKCJA"),Z512,IF(OR(E512="SPRZEDAŻ",E512="ZUŻYCIE"),-Z512,0)))</f>
        <v>92</v>
      </c>
      <c r="AD512" s="18" t="n">
        <f aca="false">IF(G512&lt;&gt;"TAK",0,IF(OR(E512="ZAKUP",E512="PRODUKCJA"),AA512,IF(OR(E512="SPRZEDAŻ",E512="ZUŻYCIE"),-AA512,0)))</f>
        <v>30.36</v>
      </c>
      <c r="AE512" s="19" t="n">
        <f aca="false">IF(E512="ZAKUP",IF(L512&lt;&gt;"",L512,IF(K512&lt;&gt;"",Z512*K512,0)),0)</f>
        <v>9660</v>
      </c>
      <c r="AF512" s="19" t="n">
        <f aca="false">IF(E512="SPRZEDAŻ",IF(M512&lt;&gt;"",Z512*M512,0),0)</f>
        <v>0</v>
      </c>
      <c r="AG512" s="19" t="str">
        <f aca="false">IF(R512="","",IF(LOWER(R512)="brak","Brak",IF(OR(ISNUMBER(SEARCH("ric pl",LOWER(R512))),ISNUMBER(SEARCH("wojciechowski",LOWER(R512)))),"Własny","Zewnętrzny")))</f>
        <v/>
      </c>
      <c r="AH512" s="19" t="n">
        <f aca="false">Z512*Q512</f>
        <v>0</v>
      </c>
      <c r="AI512" s="19" t="str">
        <f aca="false">UPPER(TEXT(C512,"mmmm"))</f>
        <v>AUGUST</v>
      </c>
      <c r="AJ512" s="19" t="str">
        <f aca="false">IF(C512="","",TEXT(C512,"rrrr"))</f>
        <v>CE5786CE5786</v>
      </c>
      <c r="AK512" s="10"/>
      <c r="AL512" s="11" t="n">
        <v>0</v>
      </c>
      <c r="AM512" s="10" t="s">
        <v>937</v>
      </c>
      <c r="AN512" s="10" t="s">
        <v>59</v>
      </c>
      <c r="AO512" s="10"/>
      <c r="AP512" s="10"/>
      <c r="AQ512" s="10"/>
      <c r="AR512" s="10" t="s">
        <v>66</v>
      </c>
      <c r="AS512" s="10"/>
      <c r="AT512" s="15" t="n">
        <v>1</v>
      </c>
    </row>
    <row r="513" customFormat="false" ht="28.5" hidden="false" customHeight="true" outlineLevel="0" collapsed="false">
      <c r="A513" s="53" t="n">
        <v>46260</v>
      </c>
      <c r="B513" s="12"/>
      <c r="C513" s="12" t="n">
        <v>46260</v>
      </c>
      <c r="D513" s="10" t="s">
        <v>124</v>
      </c>
      <c r="E513" s="10" t="s">
        <v>63</v>
      </c>
      <c r="F513" s="54" t="s">
        <v>938</v>
      </c>
      <c r="G513" s="14" t="s">
        <v>49</v>
      </c>
      <c r="H513" s="10" t="s">
        <v>76</v>
      </c>
      <c r="I513" s="34" t="n">
        <v>92</v>
      </c>
      <c r="J513" s="10" t="s">
        <v>51</v>
      </c>
      <c r="K513" s="34" t="n">
        <v>105</v>
      </c>
      <c r="L513" s="11" t="n">
        <v>9660</v>
      </c>
      <c r="M513" s="11" t="n">
        <v>0</v>
      </c>
      <c r="N513" s="10" t="s">
        <v>104</v>
      </c>
      <c r="O513" s="10"/>
      <c r="P513" s="10"/>
      <c r="Q513" s="16" t="n">
        <v>0</v>
      </c>
      <c r="R513" s="10"/>
      <c r="S513" s="10"/>
      <c r="T513" s="10" t="n">
        <v>0</v>
      </c>
      <c r="U513" s="11" t="n">
        <f aca="false">IF(E513="TRANSPORT",IF(T513="","",T513*5),IF(AL513="","",AL513))</f>
        <v>0</v>
      </c>
      <c r="V513" s="10" t="s">
        <v>54</v>
      </c>
      <c r="W513" s="15" t="s">
        <v>939</v>
      </c>
      <c r="X513" s="15"/>
      <c r="Y513" s="17" t="n">
        <v>46262.436875</v>
      </c>
      <c r="Z513" s="18" t="n">
        <f aca="false">IF(I513="",0,IF(ISNUMBER(SEARCH("mp",LOWER(J513))),I513,IF(ISNUMBER(SEARCH("ton",LOWER(J513))),I513/0.33,IF(ISNUMBER(SEARCH("m3",LOWER(J513))),I513*4,I513))))</f>
        <v>92</v>
      </c>
      <c r="AA513" s="18" t="n">
        <f aca="false">IF(I513="",0,IF(ISNUMBER(SEARCH("mp",LOWER(J513))),I513*0.33,IF(ISNUMBER(SEARCH("ton",LOWER(J513))),I513,I513*0.33)))</f>
        <v>30.36</v>
      </c>
      <c r="AB513" s="18" t="n">
        <f aca="false">Tabela_dane[[#This Row],[Wolumen_t]]*8.5</f>
        <v>258.06</v>
      </c>
      <c r="AC513" s="18" t="n">
        <f aca="false">IF(G513&lt;&gt;"TAK",0,IF(OR(E513="ZAKUP",E513="PRODUKCJA"),Z513,IF(OR(E513="SPRZEDAŻ",E513="ZUŻYCIE"),-Z513,0)))</f>
        <v>92</v>
      </c>
      <c r="AD513" s="18" t="n">
        <f aca="false">IF(G513&lt;&gt;"TAK",0,IF(OR(E513="ZAKUP",E513="PRODUKCJA"),AA513,IF(OR(E513="SPRZEDAŻ",E513="ZUŻYCIE"),-AA513,0)))</f>
        <v>30.36</v>
      </c>
      <c r="AE513" s="19" t="n">
        <f aca="false">IF(E513="ZAKUP",IF(L513&lt;&gt;"",L513,IF(K513&lt;&gt;"",Z513*K513,0)),0)</f>
        <v>9660</v>
      </c>
      <c r="AF513" s="19" t="n">
        <f aca="false">IF(E513="SPRZEDAŻ",IF(M513&lt;&gt;"",Z513*M513,0),0)</f>
        <v>0</v>
      </c>
      <c r="AG513" s="19" t="str">
        <f aca="false">IF(R513="","",IF(LOWER(R513)="brak","Brak",IF(OR(ISNUMBER(SEARCH("ric pl",LOWER(R513))),ISNUMBER(SEARCH("wojciechowski",LOWER(R513)))),"Własny","Zewnętrzny")))</f>
        <v/>
      </c>
      <c r="AH513" s="19" t="n">
        <f aca="false">Z513*Q513</f>
        <v>0</v>
      </c>
      <c r="AI513" s="19" t="str">
        <f aca="false">UPPER(TEXT(C513,"mmmm"))</f>
        <v>AUGUST</v>
      </c>
      <c r="AJ513" s="19" t="str">
        <f aca="false">IF(C513="","",TEXT(C513,"rrrr"))</f>
        <v>CE5786CE5786</v>
      </c>
      <c r="AK513" s="10"/>
      <c r="AL513" s="11" t="n">
        <v>0</v>
      </c>
      <c r="AM513" s="10" t="s">
        <v>940</v>
      </c>
      <c r="AN513" s="10" t="s">
        <v>59</v>
      </c>
      <c r="AO513" s="10"/>
      <c r="AP513" s="10"/>
      <c r="AQ513" s="10"/>
      <c r="AR513" s="10" t="s">
        <v>66</v>
      </c>
      <c r="AS513" s="10"/>
      <c r="AT513" s="15" t="n">
        <v>1</v>
      </c>
    </row>
    <row r="514" customFormat="false" ht="28.5" hidden="false" customHeight="true" outlineLevel="0" collapsed="false">
      <c r="A514" s="53" t="n">
        <v>46260</v>
      </c>
      <c r="B514" s="12"/>
      <c r="C514" s="12" t="n">
        <v>46260</v>
      </c>
      <c r="D514" s="10" t="s">
        <v>124</v>
      </c>
      <c r="E514" s="10" t="s">
        <v>63</v>
      </c>
      <c r="F514" s="54" t="s">
        <v>941</v>
      </c>
      <c r="G514" s="14" t="s">
        <v>49</v>
      </c>
      <c r="H514" s="10" t="s">
        <v>76</v>
      </c>
      <c r="I514" s="34" t="n">
        <v>92</v>
      </c>
      <c r="J514" s="10" t="s">
        <v>51</v>
      </c>
      <c r="K514" s="34" t="n">
        <v>105</v>
      </c>
      <c r="L514" s="11" t="n">
        <v>9660</v>
      </c>
      <c r="M514" s="11" t="n">
        <v>0</v>
      </c>
      <c r="N514" s="10" t="s">
        <v>104</v>
      </c>
      <c r="O514" s="10"/>
      <c r="P514" s="10"/>
      <c r="Q514" s="16" t="n">
        <v>0</v>
      </c>
      <c r="R514" s="10"/>
      <c r="S514" s="10"/>
      <c r="T514" s="10" t="n">
        <v>0</v>
      </c>
      <c r="U514" s="11" t="n">
        <f aca="false">IF(E514="TRANSPORT",IF(T514="","",T514*5),IF(AL514="","",AL514))</f>
        <v>0</v>
      </c>
      <c r="V514" s="10" t="s">
        <v>54</v>
      </c>
      <c r="W514" s="15" t="s">
        <v>942</v>
      </c>
      <c r="X514" s="15"/>
      <c r="Y514" s="17" t="n">
        <v>46262.4374537037</v>
      </c>
      <c r="Z514" s="18" t="n">
        <f aca="false">IF(I514="",0,IF(ISNUMBER(SEARCH("mp",LOWER(J514))),I514,IF(ISNUMBER(SEARCH("ton",LOWER(J514))),I514/0.33,IF(ISNUMBER(SEARCH("m3",LOWER(J514))),I514*4,I514))))</f>
        <v>92</v>
      </c>
      <c r="AA514" s="18" t="n">
        <f aca="false">IF(I514="",0,IF(ISNUMBER(SEARCH("mp",LOWER(J514))),I514*0.33,IF(ISNUMBER(SEARCH("ton",LOWER(J514))),I514,I514*0.33)))</f>
        <v>30.36</v>
      </c>
      <c r="AB514" s="18" t="n">
        <f aca="false">Tabela_dane[[#This Row],[Wolumen_t]]*8.5</f>
        <v>258.06</v>
      </c>
      <c r="AC514" s="18" t="n">
        <f aca="false">IF(G514&lt;&gt;"TAK",0,IF(OR(E514="ZAKUP",E514="PRODUKCJA"),Z514,IF(OR(E514="SPRZEDAŻ",E514="ZUŻYCIE"),-Z514,0)))</f>
        <v>92</v>
      </c>
      <c r="AD514" s="18" t="n">
        <f aca="false">IF(G514&lt;&gt;"TAK",0,IF(OR(E514="ZAKUP",E514="PRODUKCJA"),AA514,IF(OR(E514="SPRZEDAŻ",E514="ZUŻYCIE"),-AA514,0)))</f>
        <v>30.36</v>
      </c>
      <c r="AE514" s="19" t="n">
        <f aca="false">IF(E514="ZAKUP",IF(L514&lt;&gt;"",L514,IF(K514&lt;&gt;"",Z514*K514,0)),0)</f>
        <v>9660</v>
      </c>
      <c r="AF514" s="19" t="n">
        <f aca="false">IF(E514="SPRZEDAŻ",IF(M514&lt;&gt;"",Z514*M514,0),0)</f>
        <v>0</v>
      </c>
      <c r="AG514" s="19" t="str">
        <f aca="false">IF(R514="","",IF(LOWER(R514)="brak","Brak",IF(OR(ISNUMBER(SEARCH("ric pl",LOWER(R514))),ISNUMBER(SEARCH("wojciechowski",LOWER(R514)))),"Własny","Zewnętrzny")))</f>
        <v/>
      </c>
      <c r="AH514" s="19" t="n">
        <f aca="false">Z514*Q514</f>
        <v>0</v>
      </c>
      <c r="AI514" s="19" t="str">
        <f aca="false">UPPER(TEXT(C514,"mmmm"))</f>
        <v>AUGUST</v>
      </c>
      <c r="AJ514" s="19" t="str">
        <f aca="false">IF(C514="","",TEXT(C514,"rrrr"))</f>
        <v>CE5786CE5786</v>
      </c>
      <c r="AK514" s="10"/>
      <c r="AL514" s="11" t="n">
        <v>0</v>
      </c>
      <c r="AM514" s="10" t="s">
        <v>943</v>
      </c>
      <c r="AN514" s="10" t="s">
        <v>59</v>
      </c>
      <c r="AO514" s="10"/>
      <c r="AP514" s="10"/>
      <c r="AQ514" s="10"/>
      <c r="AR514" s="10" t="s">
        <v>66</v>
      </c>
      <c r="AS514" s="10"/>
      <c r="AT514" s="15" t="n">
        <v>1</v>
      </c>
    </row>
    <row r="515" customFormat="false" ht="28.5" hidden="false" customHeight="true" outlineLevel="0" collapsed="false">
      <c r="A515" s="12" t="n">
        <v>46261</v>
      </c>
      <c r="B515" s="12"/>
      <c r="C515" s="12" t="n">
        <v>46261</v>
      </c>
      <c r="D515" s="10" t="s">
        <v>46</v>
      </c>
      <c r="E515" s="10" t="s">
        <v>63</v>
      </c>
      <c r="F515" s="20" t="s">
        <v>869</v>
      </c>
      <c r="G515" s="14" t="s">
        <v>49</v>
      </c>
      <c r="H515" s="10" t="s">
        <v>76</v>
      </c>
      <c r="I515" s="15" t="n">
        <v>30.3</v>
      </c>
      <c r="J515" s="10" t="s">
        <v>77</v>
      </c>
      <c r="K515" s="15" t="n">
        <v>230</v>
      </c>
      <c r="L515" s="11" t="n">
        <v>6969</v>
      </c>
      <c r="M515" s="11" t="n">
        <v>0</v>
      </c>
      <c r="N515" s="10" t="s">
        <v>64</v>
      </c>
      <c r="O515" s="10"/>
      <c r="P515" s="10"/>
      <c r="Q515" s="16" t="n">
        <v>0</v>
      </c>
      <c r="R515" s="10"/>
      <c r="S515" s="10"/>
      <c r="T515" s="10" t="n">
        <v>0</v>
      </c>
      <c r="U515" s="11" t="n">
        <f aca="false">IF(E515="TRANSPORT",IF(T515="","",T515*5),IF(AL515="","",AL515))</f>
        <v>0</v>
      </c>
      <c r="V515" s="10" t="s">
        <v>54</v>
      </c>
      <c r="W515" s="15" t="s">
        <v>65</v>
      </c>
      <c r="X515" s="15"/>
      <c r="Y515" s="17" t="n">
        <v>46262.4186805556</v>
      </c>
      <c r="Z515" s="18" t="n">
        <f aca="false">IF(I515="",0,IF(ISNUMBER(SEARCH("mp",LOWER(J515))),I515,IF(ISNUMBER(SEARCH("ton",LOWER(J515))),I515/0.33,IF(ISNUMBER(SEARCH("m3",LOWER(J515))),I515*4,I515))))</f>
        <v>121.2</v>
      </c>
      <c r="AA515" s="18" t="n">
        <f aca="false">IF(I515="",0,IF(ISNUMBER(SEARCH("mp",LOWER(J515))),I515*0.33,IF(ISNUMBER(SEARCH("ton",LOWER(J515))),I515,I515*0.33)))</f>
        <v>9.999</v>
      </c>
      <c r="AB515" s="18" t="n">
        <f aca="false">Tabela_dane[[#This Row],[Wolumen_t]]*8.5</f>
        <v>84.9915</v>
      </c>
      <c r="AC515" s="18" t="n">
        <f aca="false">IF(G515&lt;&gt;"TAK",0,IF(OR(E515="ZAKUP",E515="PRODUKCJA"),Z515,IF(OR(E515="SPRZEDAŻ",E515="ZUŻYCIE"),-Z515,0)))</f>
        <v>121.2</v>
      </c>
      <c r="AD515" s="18" t="n">
        <f aca="false">IF(G515&lt;&gt;"TAK",0,IF(OR(E515="ZAKUP",E515="PRODUKCJA"),AA515,IF(OR(E515="SPRZEDAŻ",E515="ZUŻYCIE"),-AA515,0)))</f>
        <v>9.999</v>
      </c>
      <c r="AE515" s="19" t="n">
        <f aca="false">IF(E515="ZAKUP",IF(L515&lt;&gt;"",L515,IF(K515&lt;&gt;"",Z515*K515,0)),0)</f>
        <v>6969</v>
      </c>
      <c r="AF515" s="19" t="n">
        <f aca="false">IF(E515="SPRZEDAŻ",IF(M515&lt;&gt;"",Z515*M515,0),0)</f>
        <v>0</v>
      </c>
      <c r="AG515" s="19" t="str">
        <f aca="false">IF(R515="","",IF(LOWER(R515)="brak","Brak",IF(OR(ISNUMBER(SEARCH("ric pl",LOWER(R515))),ISNUMBER(SEARCH("wojciechowski",LOWER(R515)))),"Własny","Zewnętrzny")))</f>
        <v/>
      </c>
      <c r="AH515" s="19" t="n">
        <f aca="false">Z515*Q515</f>
        <v>0</v>
      </c>
      <c r="AI515" s="19" t="str">
        <f aca="false">UPPER(TEXT(C515,"mmmm"))</f>
        <v>AUGUST</v>
      </c>
      <c r="AJ515" s="19" t="str">
        <f aca="false">IF(C515="","",TEXT(C515,"rrrr"))</f>
        <v>CE5786CE5786</v>
      </c>
      <c r="AK515" s="10"/>
      <c r="AL515" s="11" t="n">
        <v>0</v>
      </c>
      <c r="AM515" s="10" t="s">
        <v>944</v>
      </c>
      <c r="AN515" s="10" t="s">
        <v>59</v>
      </c>
      <c r="AO515" s="10"/>
      <c r="AP515" s="10"/>
      <c r="AQ515" s="10"/>
      <c r="AR515" s="10" t="s">
        <v>66</v>
      </c>
      <c r="AS515" s="10"/>
      <c r="AT515" s="15" t="n">
        <v>1</v>
      </c>
    </row>
    <row r="516" customFormat="false" ht="28.5" hidden="false" customHeight="true" outlineLevel="0" collapsed="false">
      <c r="A516" s="12" t="n">
        <v>46261</v>
      </c>
      <c r="B516" s="12"/>
      <c r="C516" s="12" t="n">
        <v>46261</v>
      </c>
      <c r="D516" s="10" t="s">
        <v>945</v>
      </c>
      <c r="E516" s="10" t="s">
        <v>63</v>
      </c>
      <c r="F516" s="46" t="s">
        <v>946</v>
      </c>
      <c r="G516" s="14" t="s">
        <v>49</v>
      </c>
      <c r="H516" s="10" t="s">
        <v>50</v>
      </c>
      <c r="I516" s="15" t="n">
        <v>20.5</v>
      </c>
      <c r="J516" s="10" t="s">
        <v>77</v>
      </c>
      <c r="K516" s="15" t="n">
        <v>0</v>
      </c>
      <c r="L516" s="11" t="n">
        <v>0</v>
      </c>
      <c r="M516" s="11" t="n">
        <v>0</v>
      </c>
      <c r="N516" s="10" t="s">
        <v>64</v>
      </c>
      <c r="O516" s="10"/>
      <c r="P516" s="10"/>
      <c r="Q516" s="16" t="n">
        <v>0</v>
      </c>
      <c r="R516" s="10"/>
      <c r="S516" s="10"/>
      <c r="T516" s="10" t="n">
        <v>0</v>
      </c>
      <c r="U516" s="11" t="n">
        <f aca="false">IF(E516="TRANSPORT",IF(T516="","",T516*5),IF(AL516="","",AL516))</f>
        <v>0</v>
      </c>
      <c r="V516" s="10" t="s">
        <v>54</v>
      </c>
      <c r="W516" s="15" t="s">
        <v>65</v>
      </c>
      <c r="X516" s="15"/>
      <c r="Y516" s="17" t="n">
        <v>46265.380162037</v>
      </c>
      <c r="Z516" s="18" t="n">
        <f aca="false">IF(I516="",0,IF(ISNUMBER(SEARCH("mp",LOWER(J516))),I516,IF(ISNUMBER(SEARCH("ton",LOWER(J516))),I516/0.33,IF(ISNUMBER(SEARCH("m3",LOWER(J516))),I516*4,I516))))</f>
        <v>82</v>
      </c>
      <c r="AA516" s="18" t="n">
        <f aca="false">IF(I516="",0,IF(ISNUMBER(SEARCH("mp",LOWER(J516))),I516*0.33,IF(ISNUMBER(SEARCH("ton",LOWER(J516))),I516,I516*0.33)))</f>
        <v>6.765</v>
      </c>
      <c r="AB516" s="18" t="n">
        <f aca="false">Tabela_dane[[#This Row],[Wolumen_t]]*8.5</f>
        <v>57.5025</v>
      </c>
      <c r="AC516" s="18" t="n">
        <f aca="false">IF(G516&lt;&gt;"TAK",0,IF(OR(E516="ZAKUP",E516="PRODUKCJA"),Z516,IF(OR(E516="SPRZEDAŻ",E516="ZUŻYCIE"),-Z516,0)))</f>
        <v>82</v>
      </c>
      <c r="AD516" s="18" t="n">
        <f aca="false">IF(G516&lt;&gt;"TAK",0,IF(OR(E516="ZAKUP",E516="PRODUKCJA"),AA516,IF(OR(E516="SPRZEDAŻ",E516="ZUŻYCIE"),-AA516,0)))</f>
        <v>6.765</v>
      </c>
      <c r="AE516" s="19" t="n">
        <f aca="false">IF(E516="ZAKUP",IF(L516&lt;&gt;"",L516,IF(K516&lt;&gt;"",Z516*K516,0)),0)</f>
        <v>0</v>
      </c>
      <c r="AF516" s="19" t="n">
        <f aca="false">IF(E516="SPRZEDAŻ",IF(M516&lt;&gt;"",Z516*M516,0),0)</f>
        <v>0</v>
      </c>
      <c r="AG516" s="19" t="str">
        <f aca="false">IF(R516="","",IF(LOWER(R516)="brak","Brak",IF(OR(ISNUMBER(SEARCH("ric pl",LOWER(R516))),ISNUMBER(SEARCH("wojciechowski",LOWER(R516)))),"Własny","Zewnętrzny")))</f>
        <v/>
      </c>
      <c r="AH516" s="19" t="n">
        <f aca="false">Z516*Q516</f>
        <v>0</v>
      </c>
      <c r="AI516" s="19" t="str">
        <f aca="false">UPPER(TEXT(C516,"mmmm"))</f>
        <v>AUGUST</v>
      </c>
      <c r="AJ516" s="19" t="str">
        <f aca="false">IF(C516="","",TEXT(C516,"rrrr"))</f>
        <v>CE5786CE5786</v>
      </c>
      <c r="AK516" s="10"/>
      <c r="AL516" s="11" t="n">
        <v>0</v>
      </c>
      <c r="AM516" s="10" t="s">
        <v>947</v>
      </c>
      <c r="AN516" s="10" t="s">
        <v>59</v>
      </c>
      <c r="AO516" s="10"/>
      <c r="AP516" s="10"/>
      <c r="AQ516" s="10"/>
      <c r="AR516" s="10" t="s">
        <v>66</v>
      </c>
      <c r="AS516" s="10"/>
      <c r="AT516" s="15" t="n">
        <v>1</v>
      </c>
    </row>
    <row r="517" customFormat="false" ht="28.5" hidden="false" customHeight="true" outlineLevel="0" collapsed="false">
      <c r="A517" s="12" t="n">
        <v>46261</v>
      </c>
      <c r="B517" s="12"/>
      <c r="C517" s="12" t="n">
        <v>46261</v>
      </c>
      <c r="D517" s="10" t="s">
        <v>54</v>
      </c>
      <c r="E517" s="10" t="s">
        <v>47</v>
      </c>
      <c r="F517" s="13" t="s">
        <v>948</v>
      </c>
      <c r="G517" s="14" t="s">
        <v>49</v>
      </c>
      <c r="H517" s="10" t="s">
        <v>50</v>
      </c>
      <c r="I517" s="15" t="n">
        <v>82</v>
      </c>
      <c r="J517" s="10" t="s">
        <v>51</v>
      </c>
      <c r="K517" s="15" t="n">
        <v>0</v>
      </c>
      <c r="L517" s="11" t="n">
        <v>0</v>
      </c>
      <c r="M517" s="11" t="n">
        <v>0</v>
      </c>
      <c r="N517" s="10" t="s">
        <v>52</v>
      </c>
      <c r="O517" s="10" t="s">
        <v>67</v>
      </c>
      <c r="P517" s="10" t="s">
        <v>53</v>
      </c>
      <c r="Q517" s="16" t="n">
        <v>10</v>
      </c>
      <c r="R517" s="10"/>
      <c r="S517" s="10"/>
      <c r="T517" s="10" t="n">
        <v>0</v>
      </c>
      <c r="U517" s="11" t="n">
        <f aca="false">IF(E517="TRANSPORT",IF(T517="","",T517*5),IF(AL517="","",AL517))</f>
        <v>0</v>
      </c>
      <c r="V517" s="10" t="s">
        <v>54</v>
      </c>
      <c r="W517" s="15" t="s">
        <v>70</v>
      </c>
      <c r="X517" s="15"/>
      <c r="Y517" s="17" t="n">
        <v>46265.3813194444</v>
      </c>
      <c r="Z517" s="18" t="n">
        <f aca="false">IF(I517="",0,IF(ISNUMBER(SEARCH("mp",LOWER(J517))),I517,IF(ISNUMBER(SEARCH("ton",LOWER(J517))),I517/0.33,IF(ISNUMBER(SEARCH("m3",LOWER(J517))),I517*4,I517))))</f>
        <v>82</v>
      </c>
      <c r="AA517" s="18" t="n">
        <f aca="false">IF(I517="",0,IF(ISNUMBER(SEARCH("mp",LOWER(J517))),I517*0.33,IF(ISNUMBER(SEARCH("ton",LOWER(J517))),I517,I517*0.33)))</f>
        <v>27.06</v>
      </c>
      <c r="AB517" s="18" t="n">
        <f aca="false">Tabela_dane[[#This Row],[Wolumen_t]]*8.5</f>
        <v>230.01</v>
      </c>
      <c r="AC517" s="18" t="n">
        <f aca="false">IF(G517&lt;&gt;"TAK",0,IF(OR(E517="ZAKUP",E517="PRODUKCJA"),Z517,IF(OR(E517="SPRZEDAŻ",E517="ZUŻYCIE"),-Z517,0)))</f>
        <v>82</v>
      </c>
      <c r="AD517" s="18" t="n">
        <f aca="false">IF(G517&lt;&gt;"TAK",0,IF(OR(E517="ZAKUP",E517="PRODUKCJA"),AA517,IF(OR(E517="SPRZEDAŻ",E517="ZUŻYCIE"),-AA517,0)))</f>
        <v>27.06</v>
      </c>
      <c r="AE517" s="19" t="n">
        <f aca="false">IF(E517="ZAKUP",IF(L517&lt;&gt;"",L517,IF(K517&lt;&gt;"",Z517*K517,0)),0)</f>
        <v>0</v>
      </c>
      <c r="AF517" s="19" t="n">
        <f aca="false">IF(E517="SPRZEDAŻ",IF(M517&lt;&gt;"",Z517*M517,0),0)</f>
        <v>0</v>
      </c>
      <c r="AG517" s="19" t="str">
        <f aca="false">IF(R517="","",IF(LOWER(R517)="brak","Brak",IF(OR(ISNUMBER(SEARCH("ric pl",LOWER(R517))),ISNUMBER(SEARCH("wojciechowski",LOWER(R517)))),"Własny","Zewnętrzny")))</f>
        <v/>
      </c>
      <c r="AH517" s="19" t="n">
        <f aca="false">Z517*Q517</f>
        <v>820</v>
      </c>
      <c r="AI517" s="19" t="str">
        <f aca="false">UPPER(TEXT(C517,"mmmm"))</f>
        <v>AUGUST</v>
      </c>
      <c r="AJ517" s="19" t="str">
        <f aca="false">IF(C517="","",TEXT(C517,"rrrr"))</f>
        <v>CE5786CE5786</v>
      </c>
      <c r="AK517" s="10"/>
      <c r="AL517" s="11" t="n">
        <v>0</v>
      </c>
      <c r="AM517" s="10" t="s">
        <v>949</v>
      </c>
      <c r="AN517" s="10" t="s">
        <v>59</v>
      </c>
      <c r="AO517" s="10"/>
      <c r="AP517" s="10"/>
      <c r="AQ517" s="10"/>
      <c r="AR517" s="10" t="s">
        <v>66</v>
      </c>
      <c r="AS517" s="10"/>
      <c r="AT517" s="15" t="n">
        <v>1</v>
      </c>
    </row>
    <row r="518" customFormat="false" ht="28.5" hidden="false" customHeight="true" outlineLevel="0" collapsed="false">
      <c r="A518" s="12" t="n">
        <v>46261</v>
      </c>
      <c r="B518" s="12"/>
      <c r="C518" s="12" t="n">
        <v>46261</v>
      </c>
      <c r="D518" s="10" t="s">
        <v>54</v>
      </c>
      <c r="E518" s="10" t="s">
        <v>79</v>
      </c>
      <c r="F518" s="13" t="s">
        <v>948</v>
      </c>
      <c r="G518" s="14" t="s">
        <v>49</v>
      </c>
      <c r="H518" s="10" t="s">
        <v>50</v>
      </c>
      <c r="I518" s="15" t="n">
        <v>82</v>
      </c>
      <c r="J518" s="10" t="s">
        <v>51</v>
      </c>
      <c r="K518" s="15" t="n">
        <v>0</v>
      </c>
      <c r="L518" s="11" t="n">
        <v>0</v>
      </c>
      <c r="M518" s="11" t="n">
        <v>0</v>
      </c>
      <c r="N518" s="10" t="s">
        <v>52</v>
      </c>
      <c r="O518" s="10" t="s">
        <v>67</v>
      </c>
      <c r="P518" s="10" t="s">
        <v>53</v>
      </c>
      <c r="Q518" s="16" t="n">
        <v>10</v>
      </c>
      <c r="R518" s="10"/>
      <c r="S518" s="10"/>
      <c r="T518" s="10" t="n">
        <v>0</v>
      </c>
      <c r="U518" s="11" t="n">
        <f aca="false">IF(E518="TRANSPORT",IF(T518="","",T518*5),IF(AL518="","",AL518))</f>
        <v>0</v>
      </c>
      <c r="V518" s="10" t="s">
        <v>54</v>
      </c>
      <c r="W518" s="15" t="s">
        <v>260</v>
      </c>
      <c r="X518" s="15"/>
      <c r="Y518" s="17" t="n">
        <v>46265.3813194444</v>
      </c>
      <c r="Z518" s="18" t="n">
        <f aca="false">IF(I518="",0,IF(ISNUMBER(SEARCH("mp",LOWER(J518))),I518,IF(ISNUMBER(SEARCH("ton",LOWER(J518))),I518/0.33,IF(ISNUMBER(SEARCH("m3",LOWER(J518))),I518*4,I518))))</f>
        <v>82</v>
      </c>
      <c r="AA518" s="18" t="n">
        <f aca="false">IF(I518="",0,IF(ISNUMBER(SEARCH("mp",LOWER(J518))),I518*0.33,IF(ISNUMBER(SEARCH("ton",LOWER(J518))),I518,I518*0.33)))</f>
        <v>27.06</v>
      </c>
      <c r="AB518" s="18" t="n">
        <f aca="false">Tabela_dane[[#This Row],[Wolumen_t]]*8.5</f>
        <v>230.01</v>
      </c>
      <c r="AC518" s="18" t="n">
        <f aca="false">IF(G518&lt;&gt;"TAK",0,IF(OR(E518="ZAKUP",E518="PRODUKCJA"),Z518,IF(OR(E518="SPRZEDAŻ",E518="ZUŻYCIE"),-Z518,0)))</f>
        <v>-82</v>
      </c>
      <c r="AD518" s="18" t="n">
        <f aca="false">IF(G518&lt;&gt;"TAK",0,IF(OR(E518="ZAKUP",E518="PRODUKCJA"),AA518,IF(OR(E518="SPRZEDAŻ",E518="ZUŻYCIE"),-AA518,0)))</f>
        <v>-27.06</v>
      </c>
      <c r="AE518" s="19" t="n">
        <f aca="false">IF(E518="ZAKUP",IF(L518&lt;&gt;"",L518,IF(K518&lt;&gt;"",Z518*K518,0)),0)</f>
        <v>0</v>
      </c>
      <c r="AF518" s="19" t="n">
        <f aca="false">IF(E518="SPRZEDAŻ",IF(M518&lt;&gt;"",Z518*M518,0),0)</f>
        <v>0</v>
      </c>
      <c r="AG518" s="19" t="str">
        <f aca="false">IF(R518="","",IF(LOWER(R518)="brak","Brak",IF(OR(ISNUMBER(SEARCH("ric pl",LOWER(R518))),ISNUMBER(SEARCH("wojciechowski",LOWER(R518)))),"Własny","Zewnętrzny")))</f>
        <v/>
      </c>
      <c r="AH518" s="19" t="n">
        <f aca="false">Z518*Q518</f>
        <v>820</v>
      </c>
      <c r="AI518" s="19" t="str">
        <f aca="false">UPPER(TEXT(C518,"mmmm"))</f>
        <v>AUGUST</v>
      </c>
      <c r="AJ518" s="19" t="str">
        <f aca="false">IF(C518="","",TEXT(C518,"rrrr"))</f>
        <v>CE5786CE5786</v>
      </c>
      <c r="AK518" s="10"/>
      <c r="AL518" s="11" t="n">
        <v>0</v>
      </c>
      <c r="AM518" s="10" t="s">
        <v>949</v>
      </c>
      <c r="AN518" s="10" t="s">
        <v>59</v>
      </c>
      <c r="AO518" s="10"/>
      <c r="AP518" s="10"/>
      <c r="AQ518" s="10"/>
      <c r="AR518" s="10" t="s">
        <v>81</v>
      </c>
      <c r="AS518" s="10"/>
      <c r="AT518" s="15" t="n">
        <v>1</v>
      </c>
    </row>
    <row r="519" customFormat="false" ht="28.5" hidden="false" customHeight="true" outlineLevel="0" collapsed="false">
      <c r="A519" s="12" t="n">
        <v>46261</v>
      </c>
      <c r="B519" s="12" t="s">
        <v>950</v>
      </c>
      <c r="C519" s="12" t="n">
        <v>46261</v>
      </c>
      <c r="D519" s="10" t="s">
        <v>54</v>
      </c>
      <c r="E519" s="10" t="s">
        <v>63</v>
      </c>
      <c r="F519" s="13" t="s">
        <v>948</v>
      </c>
      <c r="G519" s="14" t="s">
        <v>49</v>
      </c>
      <c r="H519" s="10" t="s">
        <v>50</v>
      </c>
      <c r="I519" s="15" t="n">
        <v>82</v>
      </c>
      <c r="J519" s="10" t="s">
        <v>51</v>
      </c>
      <c r="K519" s="15" t="n">
        <v>0</v>
      </c>
      <c r="L519" s="11" t="n">
        <v>0</v>
      </c>
      <c r="M519" s="11" t="n">
        <v>0</v>
      </c>
      <c r="N519" s="10" t="s">
        <v>52</v>
      </c>
      <c r="O519" s="10" t="s">
        <v>67</v>
      </c>
      <c r="P519" s="10"/>
      <c r="Q519" s="16" t="n">
        <v>0</v>
      </c>
      <c r="R519" s="10" t="s">
        <v>182</v>
      </c>
      <c r="S519" s="10" t="s">
        <v>509</v>
      </c>
      <c r="T519" s="10" t="n">
        <v>120</v>
      </c>
      <c r="U519" s="11" t="n">
        <f aca="false">IF(E519="TRANSPORT",IF(T519="","",T519*5),IF(AL519="","",AL519))</f>
        <v>600</v>
      </c>
      <c r="V519" s="10" t="s">
        <v>54</v>
      </c>
      <c r="W519" s="15" t="s">
        <v>70</v>
      </c>
      <c r="X519" s="15"/>
      <c r="Y519" s="17" t="n">
        <v>46265.382974537</v>
      </c>
      <c r="Z519" s="18" t="n">
        <f aca="false">IF(I519="",0,IF(ISNUMBER(SEARCH("mp",LOWER(J519))),I519,IF(ISNUMBER(SEARCH("ton",LOWER(J519))),I519/0.33,IF(ISNUMBER(SEARCH("m3",LOWER(J519))),I519*4,I519))))</f>
        <v>82</v>
      </c>
      <c r="AA519" s="18" t="n">
        <f aca="false">IF(I519="",0,IF(ISNUMBER(SEARCH("mp",LOWER(J519))),I519*0.33,IF(ISNUMBER(SEARCH("ton",LOWER(J519))),I519,I519*0.33)))</f>
        <v>27.06</v>
      </c>
      <c r="AB519" s="18" t="n">
        <f aca="false">Tabela_dane[[#This Row],[Wolumen_t]]*8.5</f>
        <v>230.01</v>
      </c>
      <c r="AC519" s="18" t="n">
        <f aca="false">IF(G519&lt;&gt;"TAK",0,IF(OR(E519="ZAKUP",E519="PRODUKCJA"),Z519,IF(OR(E519="SPRZEDAŻ",E519="ZUŻYCIE"),-Z519,0)))</f>
        <v>82</v>
      </c>
      <c r="AD519" s="18" t="n">
        <f aca="false">IF(G519&lt;&gt;"TAK",0,IF(OR(E519="ZAKUP",E519="PRODUKCJA"),AA519,IF(OR(E519="SPRZEDAŻ",E519="ZUŻYCIE"),-AA519,0)))</f>
        <v>27.06</v>
      </c>
      <c r="AE519" s="19" t="n">
        <f aca="false">IF(E519="ZAKUP",IF(L519&lt;&gt;"",L519,IF(K519&lt;&gt;"",Z519*K519,0)),0)</f>
        <v>0</v>
      </c>
      <c r="AF519" s="19" t="n">
        <f aca="false">IF(E519="SPRZEDAŻ",IF(M519&lt;&gt;"",Z519*M519,0),0)</f>
        <v>0</v>
      </c>
      <c r="AG519" s="19" t="str">
        <f aca="false">IF(R519="","",IF(LOWER(R519)="brak","Brak",IF(OR(ISNUMBER(SEARCH("ric pl",LOWER(R519))),ISNUMBER(SEARCH("wojciechowski",LOWER(R519)))),"Własny","Zewnętrzny")))</f>
        <v>Zewnętrzny</v>
      </c>
      <c r="AH519" s="19" t="n">
        <f aca="false">Z519*Q519</f>
        <v>0</v>
      </c>
      <c r="AI519" s="19" t="str">
        <f aca="false">UPPER(TEXT(C519,"mmmm"))</f>
        <v>AUGUST</v>
      </c>
      <c r="AJ519" s="19" t="str">
        <f aca="false">IF(C519="","",TEXT(C519,"rrrr"))</f>
        <v>CE5786CE5786</v>
      </c>
      <c r="AK519" s="10"/>
      <c r="AL519" s="11" t="n">
        <v>600</v>
      </c>
      <c r="AM519" s="10" t="s">
        <v>951</v>
      </c>
      <c r="AN519" s="10" t="s">
        <v>49</v>
      </c>
      <c r="AO519" s="10"/>
      <c r="AP519" s="10"/>
      <c r="AQ519" s="10"/>
      <c r="AR519" s="10" t="s">
        <v>66</v>
      </c>
      <c r="AS519" s="10"/>
      <c r="AT519" s="15" t="n">
        <v>1</v>
      </c>
    </row>
    <row r="520" customFormat="false" ht="28.5" hidden="false" customHeight="true" outlineLevel="0" collapsed="false">
      <c r="A520" s="12" t="n">
        <v>46261</v>
      </c>
      <c r="B520" s="12"/>
      <c r="C520" s="12" t="n">
        <v>46261</v>
      </c>
      <c r="D520" s="10" t="s">
        <v>945</v>
      </c>
      <c r="E520" s="10" t="s">
        <v>63</v>
      </c>
      <c r="F520" s="46" t="s">
        <v>952</v>
      </c>
      <c r="G520" s="14" t="s">
        <v>49</v>
      </c>
      <c r="H520" s="10" t="s">
        <v>50</v>
      </c>
      <c r="I520" s="15" t="n">
        <v>21.3</v>
      </c>
      <c r="J520" s="10" t="s">
        <v>77</v>
      </c>
      <c r="K520" s="15" t="n">
        <v>0</v>
      </c>
      <c r="L520" s="11" t="n">
        <v>0</v>
      </c>
      <c r="M520" s="11" t="n">
        <v>0</v>
      </c>
      <c r="N520" s="10" t="s">
        <v>64</v>
      </c>
      <c r="O520" s="10"/>
      <c r="P520" s="10"/>
      <c r="Q520" s="16" t="n">
        <v>0</v>
      </c>
      <c r="R520" s="10"/>
      <c r="S520" s="10"/>
      <c r="T520" s="10" t="n">
        <v>0</v>
      </c>
      <c r="U520" s="11" t="n">
        <f aca="false">IF(E520="TRANSPORT",IF(T520="","",T520*5),IF(AL520="","",AL520))</f>
        <v>0</v>
      </c>
      <c r="V520" s="10" t="s">
        <v>54</v>
      </c>
      <c r="W520" s="15" t="s">
        <v>70</v>
      </c>
      <c r="X520" s="15"/>
      <c r="Y520" s="17" t="n">
        <v>46265.3845486111</v>
      </c>
      <c r="Z520" s="18" t="n">
        <f aca="false">IF(I520="",0,IF(ISNUMBER(SEARCH("mp",LOWER(J520))),I520,IF(ISNUMBER(SEARCH("ton",LOWER(J520))),I520/0.33,IF(ISNUMBER(SEARCH("m3",LOWER(J520))),I520*4,I520))))</f>
        <v>85.2</v>
      </c>
      <c r="AA520" s="18" t="n">
        <f aca="false">IF(I520="",0,IF(ISNUMBER(SEARCH("mp",LOWER(J520))),I520*0.33,IF(ISNUMBER(SEARCH("ton",LOWER(J520))),I520,I520*0.33)))</f>
        <v>7.029</v>
      </c>
      <c r="AB520" s="18" t="n">
        <f aca="false">Tabela_dane[[#This Row],[Wolumen_t]]*8.5</f>
        <v>59.7465</v>
      </c>
      <c r="AC520" s="18" t="n">
        <f aca="false">IF(G520&lt;&gt;"TAK",0,IF(OR(E520="ZAKUP",E520="PRODUKCJA"),Z520,IF(OR(E520="SPRZEDAŻ",E520="ZUŻYCIE"),-Z520,0)))</f>
        <v>85.2</v>
      </c>
      <c r="AD520" s="18" t="n">
        <f aca="false">IF(G520&lt;&gt;"TAK",0,IF(OR(E520="ZAKUP",E520="PRODUKCJA"),AA520,IF(OR(E520="SPRZEDAŻ",E520="ZUŻYCIE"),-AA520,0)))</f>
        <v>7.029</v>
      </c>
      <c r="AE520" s="19" t="n">
        <f aca="false">IF(E520="ZAKUP",IF(L520&lt;&gt;"",L520,IF(K520&lt;&gt;"",Z520*K520,0)),0)</f>
        <v>0</v>
      </c>
      <c r="AF520" s="19" t="n">
        <f aca="false">IF(E520="SPRZEDAŻ",IF(M520&lt;&gt;"",Z520*M520,0),0)</f>
        <v>0</v>
      </c>
      <c r="AG520" s="19" t="str">
        <f aca="false">IF(R520="","",IF(LOWER(R520)="brak","Brak",IF(OR(ISNUMBER(SEARCH("ric pl",LOWER(R520))),ISNUMBER(SEARCH("wojciechowski",LOWER(R520)))),"Własny","Zewnętrzny")))</f>
        <v/>
      </c>
      <c r="AH520" s="19" t="n">
        <f aca="false">Z520*Q520</f>
        <v>0</v>
      </c>
      <c r="AI520" s="19" t="str">
        <f aca="false">UPPER(TEXT(C520,"mmmm"))</f>
        <v>AUGUST</v>
      </c>
      <c r="AJ520" s="19" t="str">
        <f aca="false">IF(C520="","",TEXT(C520,"rrrr"))</f>
        <v>CE5786CE5786</v>
      </c>
      <c r="AK520" s="10"/>
      <c r="AL520" s="11" t="n">
        <v>0</v>
      </c>
      <c r="AM520" s="10" t="s">
        <v>953</v>
      </c>
      <c r="AN520" s="10" t="s">
        <v>59</v>
      </c>
      <c r="AO520" s="10"/>
      <c r="AP520" s="10"/>
      <c r="AQ520" s="10"/>
      <c r="AR520" s="10" t="s">
        <v>66</v>
      </c>
      <c r="AS520" s="10"/>
      <c r="AT520" s="15" t="n">
        <v>1</v>
      </c>
    </row>
    <row r="521" customFormat="false" ht="28.5" hidden="false" customHeight="true" outlineLevel="0" collapsed="false">
      <c r="A521" s="12" t="n">
        <v>46261</v>
      </c>
      <c r="B521" s="12"/>
      <c r="C521" s="12" t="n">
        <v>46261</v>
      </c>
      <c r="D521" s="10" t="s">
        <v>54</v>
      </c>
      <c r="E521" s="10" t="s">
        <v>47</v>
      </c>
      <c r="F521" s="13" t="s">
        <v>954</v>
      </c>
      <c r="G521" s="14" t="s">
        <v>49</v>
      </c>
      <c r="H521" s="10" t="s">
        <v>50</v>
      </c>
      <c r="I521" s="15" t="n">
        <v>85.2</v>
      </c>
      <c r="J521" s="10" t="s">
        <v>51</v>
      </c>
      <c r="K521" s="15" t="n">
        <v>0</v>
      </c>
      <c r="L521" s="11" t="n">
        <v>0</v>
      </c>
      <c r="M521" s="11" t="n">
        <v>0</v>
      </c>
      <c r="N521" s="10" t="s">
        <v>52</v>
      </c>
      <c r="O521" s="10" t="s">
        <v>67</v>
      </c>
      <c r="P521" s="10" t="s">
        <v>53</v>
      </c>
      <c r="Q521" s="16" t="n">
        <v>10</v>
      </c>
      <c r="R521" s="10"/>
      <c r="S521" s="10"/>
      <c r="T521" s="10" t="n">
        <v>0</v>
      </c>
      <c r="U521" s="11" t="n">
        <f aca="false">IF(E521="TRANSPORT",IF(T521="","",T521*5),IF(AL521="","",AL521))</f>
        <v>0</v>
      </c>
      <c r="V521" s="10" t="s">
        <v>54</v>
      </c>
      <c r="W521" s="15" t="s">
        <v>70</v>
      </c>
      <c r="X521" s="15"/>
      <c r="Y521" s="17" t="n">
        <v>46265.3851041667</v>
      </c>
      <c r="Z521" s="18" t="n">
        <f aca="false">IF(I521="",0,IF(ISNUMBER(SEARCH("mp",LOWER(J521))),I521,IF(ISNUMBER(SEARCH("ton",LOWER(J521))),I521/0.33,IF(ISNUMBER(SEARCH("m3",LOWER(J521))),I521*4,I521))))</f>
        <v>85.2</v>
      </c>
      <c r="AA521" s="18" t="n">
        <f aca="false">IF(I521="",0,IF(ISNUMBER(SEARCH("mp",LOWER(J521))),I521*0.33,IF(ISNUMBER(SEARCH("ton",LOWER(J521))),I521,I521*0.33)))</f>
        <v>28.116</v>
      </c>
      <c r="AB521" s="18" t="n">
        <f aca="false">Tabela_dane[[#This Row],[Wolumen_t]]*8.5</f>
        <v>238.986</v>
      </c>
      <c r="AC521" s="18" t="n">
        <f aca="false">IF(G521&lt;&gt;"TAK",0,IF(OR(E521="ZAKUP",E521="PRODUKCJA"),Z521,IF(OR(E521="SPRZEDAŻ",E521="ZUŻYCIE"),-Z521,0)))</f>
        <v>85.2</v>
      </c>
      <c r="AD521" s="18" t="n">
        <f aca="false">IF(G521&lt;&gt;"TAK",0,IF(OR(E521="ZAKUP",E521="PRODUKCJA"),AA521,IF(OR(E521="SPRZEDAŻ",E521="ZUŻYCIE"),-AA521,0)))</f>
        <v>28.116</v>
      </c>
      <c r="AE521" s="19" t="n">
        <f aca="false">IF(E521="ZAKUP",IF(L521&lt;&gt;"",L521,IF(K521&lt;&gt;"",Z521*K521,0)),0)</f>
        <v>0</v>
      </c>
      <c r="AF521" s="19" t="n">
        <f aca="false">IF(E521="SPRZEDAŻ",IF(M521&lt;&gt;"",Z521*M521,0),0)</f>
        <v>0</v>
      </c>
      <c r="AG521" s="19" t="str">
        <f aca="false">IF(R521="","",IF(LOWER(R521)="brak","Brak",IF(OR(ISNUMBER(SEARCH("ric pl",LOWER(R521))),ISNUMBER(SEARCH("wojciechowski",LOWER(R521)))),"Własny","Zewnętrzny")))</f>
        <v/>
      </c>
      <c r="AH521" s="19" t="n">
        <f aca="false">Z521*Q521</f>
        <v>852</v>
      </c>
      <c r="AI521" s="19" t="str">
        <f aca="false">UPPER(TEXT(C521,"mmmm"))</f>
        <v>AUGUST</v>
      </c>
      <c r="AJ521" s="19" t="str">
        <f aca="false">IF(C521="","",TEXT(C521,"rrrr"))</f>
        <v>CE5786CE5786</v>
      </c>
      <c r="AK521" s="10"/>
      <c r="AL521" s="11" t="n">
        <v>0</v>
      </c>
      <c r="AM521" s="10" t="s">
        <v>955</v>
      </c>
      <c r="AN521" s="10" t="s">
        <v>59</v>
      </c>
      <c r="AO521" s="10"/>
      <c r="AP521" s="10"/>
      <c r="AQ521" s="10"/>
      <c r="AR521" s="10" t="s">
        <v>66</v>
      </c>
      <c r="AS521" s="10"/>
      <c r="AT521" s="15" t="n">
        <v>1</v>
      </c>
    </row>
    <row r="522" customFormat="false" ht="28.5" hidden="false" customHeight="true" outlineLevel="0" collapsed="false">
      <c r="A522" s="12" t="n">
        <v>46261</v>
      </c>
      <c r="B522" s="12"/>
      <c r="C522" s="12" t="n">
        <v>46261</v>
      </c>
      <c r="D522" s="10" t="s">
        <v>54</v>
      </c>
      <c r="E522" s="10" t="s">
        <v>79</v>
      </c>
      <c r="F522" s="13" t="s">
        <v>954</v>
      </c>
      <c r="G522" s="14" t="s">
        <v>49</v>
      </c>
      <c r="H522" s="10" t="s">
        <v>50</v>
      </c>
      <c r="I522" s="15" t="n">
        <v>85.2</v>
      </c>
      <c r="J522" s="10" t="s">
        <v>51</v>
      </c>
      <c r="K522" s="15" t="n">
        <v>0</v>
      </c>
      <c r="L522" s="11" t="n">
        <v>0</v>
      </c>
      <c r="M522" s="11" t="n">
        <v>0</v>
      </c>
      <c r="N522" s="10" t="s">
        <v>52</v>
      </c>
      <c r="O522" s="10" t="s">
        <v>67</v>
      </c>
      <c r="P522" s="10" t="s">
        <v>53</v>
      </c>
      <c r="Q522" s="16" t="n">
        <v>10</v>
      </c>
      <c r="R522" s="10"/>
      <c r="S522" s="10"/>
      <c r="T522" s="10" t="n">
        <v>0</v>
      </c>
      <c r="U522" s="11" t="n">
        <f aca="false">IF(E522="TRANSPORT",IF(T522="","",T522*5),IF(AL522="","",AL522))</f>
        <v>0</v>
      </c>
      <c r="V522" s="10" t="s">
        <v>54</v>
      </c>
      <c r="W522" s="15" t="s">
        <v>260</v>
      </c>
      <c r="X522" s="15"/>
      <c r="Y522" s="17" t="n">
        <v>46265.3851041667</v>
      </c>
      <c r="Z522" s="18" t="n">
        <f aca="false">IF(I522="",0,IF(ISNUMBER(SEARCH("mp",LOWER(J522))),I522,IF(ISNUMBER(SEARCH("ton",LOWER(J522))),I522/0.33,IF(ISNUMBER(SEARCH("m3",LOWER(J522))),I522*4,I522))))</f>
        <v>85.2</v>
      </c>
      <c r="AA522" s="18" t="n">
        <f aca="false">IF(I522="",0,IF(ISNUMBER(SEARCH("mp",LOWER(J522))),I522*0.33,IF(ISNUMBER(SEARCH("ton",LOWER(J522))),I522,I522*0.33)))</f>
        <v>28.116</v>
      </c>
      <c r="AB522" s="18" t="n">
        <f aca="false">Tabela_dane[[#This Row],[Wolumen_t]]*8.5</f>
        <v>238.986</v>
      </c>
      <c r="AC522" s="18" t="n">
        <f aca="false">IF(G522&lt;&gt;"TAK",0,IF(OR(E522="ZAKUP",E522="PRODUKCJA"),Z522,IF(OR(E522="SPRZEDAŻ",E522="ZUŻYCIE"),-Z522,0)))</f>
        <v>-85.2</v>
      </c>
      <c r="AD522" s="18" t="n">
        <f aca="false">IF(G522&lt;&gt;"TAK",0,IF(OR(E522="ZAKUP",E522="PRODUKCJA"),AA522,IF(OR(E522="SPRZEDAŻ",E522="ZUŻYCIE"),-AA522,0)))</f>
        <v>-28.116</v>
      </c>
      <c r="AE522" s="19" t="n">
        <f aca="false">IF(E522="ZAKUP",IF(L522&lt;&gt;"",L522,IF(K522&lt;&gt;"",Z522*K522,0)),0)</f>
        <v>0</v>
      </c>
      <c r="AF522" s="19" t="n">
        <f aca="false">IF(E522="SPRZEDAŻ",IF(M522&lt;&gt;"",Z522*M522,0),0)</f>
        <v>0</v>
      </c>
      <c r="AG522" s="19" t="str">
        <f aca="false">IF(R522="","",IF(LOWER(R522)="brak","Brak",IF(OR(ISNUMBER(SEARCH("ric pl",LOWER(R522))),ISNUMBER(SEARCH("wojciechowski",LOWER(R522)))),"Własny","Zewnętrzny")))</f>
        <v/>
      </c>
      <c r="AH522" s="19" t="n">
        <f aca="false">Z522*Q522</f>
        <v>852</v>
      </c>
      <c r="AI522" s="19" t="str">
        <f aca="false">UPPER(TEXT(C522,"mmmm"))</f>
        <v>AUGUST</v>
      </c>
      <c r="AJ522" s="19" t="str">
        <f aca="false">IF(C522="","",TEXT(C522,"rrrr"))</f>
        <v>CE5786CE5786</v>
      </c>
      <c r="AK522" s="10"/>
      <c r="AL522" s="11" t="n">
        <v>0</v>
      </c>
      <c r="AM522" s="10" t="s">
        <v>955</v>
      </c>
      <c r="AN522" s="10" t="s">
        <v>59</v>
      </c>
      <c r="AO522" s="10"/>
      <c r="AP522" s="10"/>
      <c r="AQ522" s="10"/>
      <c r="AR522" s="10" t="s">
        <v>81</v>
      </c>
      <c r="AS522" s="10"/>
      <c r="AT522" s="15" t="n">
        <v>1</v>
      </c>
    </row>
    <row r="523" customFormat="false" ht="28.5" hidden="false" customHeight="true" outlineLevel="0" collapsed="false">
      <c r="A523" s="12" t="n">
        <v>46261</v>
      </c>
      <c r="B523" s="12" t="s">
        <v>950</v>
      </c>
      <c r="C523" s="12" t="n">
        <v>46261</v>
      </c>
      <c r="D523" s="10" t="s">
        <v>54</v>
      </c>
      <c r="E523" s="10" t="s">
        <v>63</v>
      </c>
      <c r="F523" s="13" t="s">
        <v>954</v>
      </c>
      <c r="G523" s="14" t="s">
        <v>49</v>
      </c>
      <c r="H523" s="10" t="s">
        <v>50</v>
      </c>
      <c r="I523" s="15" t="n">
        <v>85.2</v>
      </c>
      <c r="J523" s="10" t="s">
        <v>51</v>
      </c>
      <c r="K523" s="15" t="n">
        <v>0</v>
      </c>
      <c r="L523" s="11" t="n">
        <v>0</v>
      </c>
      <c r="M523" s="11" t="n">
        <v>0</v>
      </c>
      <c r="N523" s="10" t="s">
        <v>52</v>
      </c>
      <c r="O523" s="10" t="s">
        <v>67</v>
      </c>
      <c r="P523" s="10"/>
      <c r="Q523" s="16" t="n">
        <v>0</v>
      </c>
      <c r="R523" s="10" t="s">
        <v>68</v>
      </c>
      <c r="S523" s="10" t="s">
        <v>95</v>
      </c>
      <c r="T523" s="10" t="n">
        <v>120</v>
      </c>
      <c r="U523" s="11" t="n">
        <f aca="false">IF(E523="TRANSPORT",IF(T523="","",T523*5),IF(AL523="","",AL523))</f>
        <v>600</v>
      </c>
      <c r="V523" s="10" t="s">
        <v>54</v>
      </c>
      <c r="W523" s="15" t="s">
        <v>70</v>
      </c>
      <c r="X523" s="15"/>
      <c r="Y523" s="17" t="n">
        <v>46265.3858449074</v>
      </c>
      <c r="Z523" s="18" t="n">
        <f aca="false">IF(I523="",0,IF(ISNUMBER(SEARCH("mp",LOWER(J523))),I523,IF(ISNUMBER(SEARCH("ton",LOWER(J523))),I523/0.33,IF(ISNUMBER(SEARCH("m3",LOWER(J523))),I523*4,I523))))</f>
        <v>85.2</v>
      </c>
      <c r="AA523" s="18" t="n">
        <f aca="false">IF(I523="",0,IF(ISNUMBER(SEARCH("mp",LOWER(J523))),I523*0.33,IF(ISNUMBER(SEARCH("ton",LOWER(J523))),I523,I523*0.33)))</f>
        <v>28.116</v>
      </c>
      <c r="AB523" s="18" t="n">
        <f aca="false">Tabela_dane[[#This Row],[Wolumen_t]]*8.5</f>
        <v>238.986</v>
      </c>
      <c r="AC523" s="18" t="n">
        <f aca="false">IF(G523&lt;&gt;"TAK",0,IF(OR(E523="ZAKUP",E523="PRODUKCJA"),Z523,IF(OR(E523="SPRZEDAŻ",E523="ZUŻYCIE"),-Z523,0)))</f>
        <v>85.2</v>
      </c>
      <c r="AD523" s="18" t="n">
        <f aca="false">IF(G523&lt;&gt;"TAK",0,IF(OR(E523="ZAKUP",E523="PRODUKCJA"),AA523,IF(OR(E523="SPRZEDAŻ",E523="ZUŻYCIE"),-AA523,0)))</f>
        <v>28.116</v>
      </c>
      <c r="AE523" s="19" t="n">
        <f aca="false">IF(E523="ZAKUP",IF(L523&lt;&gt;"",L523,IF(K523&lt;&gt;"",Z523*K523,0)),0)</f>
        <v>0</v>
      </c>
      <c r="AF523" s="19" t="n">
        <f aca="false">IF(E523="SPRZEDAŻ",IF(M523&lt;&gt;"",Z523*M523,0),0)</f>
        <v>0</v>
      </c>
      <c r="AG523" s="19" t="str">
        <f aca="false">IF(R523="","",IF(LOWER(R523)="brak","Brak",IF(OR(ISNUMBER(SEARCH("ric pl",LOWER(R523))),ISNUMBER(SEARCH("wojciechowski",LOWER(R523)))),"Własny","Zewnętrzny")))</f>
        <v>Zewnętrzny</v>
      </c>
      <c r="AH523" s="19" t="n">
        <f aca="false">Z523*Q523</f>
        <v>0</v>
      </c>
      <c r="AI523" s="19" t="str">
        <f aca="false">UPPER(TEXT(C523,"mmmm"))</f>
        <v>AUGUST</v>
      </c>
      <c r="AJ523" s="19" t="str">
        <f aca="false">IF(C523="","",TEXT(C523,"rrrr"))</f>
        <v>CE5786CE5786</v>
      </c>
      <c r="AK523" s="10"/>
      <c r="AL523" s="11" t="n">
        <v>600</v>
      </c>
      <c r="AM523" s="10" t="s">
        <v>956</v>
      </c>
      <c r="AN523" s="10" t="s">
        <v>49</v>
      </c>
      <c r="AO523" s="10"/>
      <c r="AP523" s="10"/>
      <c r="AQ523" s="10"/>
      <c r="AR523" s="10" t="s">
        <v>66</v>
      </c>
      <c r="AS523" s="10"/>
      <c r="AT523" s="15" t="n">
        <v>1</v>
      </c>
    </row>
    <row r="524" customFormat="false" ht="28.5" hidden="false" customHeight="true" outlineLevel="0" collapsed="false">
      <c r="A524" s="12" t="n">
        <v>46261</v>
      </c>
      <c r="B524" s="12"/>
      <c r="C524" s="12" t="n">
        <v>46261</v>
      </c>
      <c r="D524" s="10" t="s">
        <v>945</v>
      </c>
      <c r="E524" s="10" t="s">
        <v>63</v>
      </c>
      <c r="F524" s="46" t="s">
        <v>957</v>
      </c>
      <c r="G524" s="14" t="s">
        <v>49</v>
      </c>
      <c r="H524" s="10" t="s">
        <v>50</v>
      </c>
      <c r="I524" s="15" t="n">
        <v>18.96</v>
      </c>
      <c r="J524" s="10" t="s">
        <v>77</v>
      </c>
      <c r="K524" s="15" t="n">
        <v>0</v>
      </c>
      <c r="L524" s="11" t="n">
        <v>0</v>
      </c>
      <c r="M524" s="11" t="n">
        <v>0</v>
      </c>
      <c r="N524" s="10" t="s">
        <v>64</v>
      </c>
      <c r="O524" s="10"/>
      <c r="P524" s="10"/>
      <c r="Q524" s="16" t="n">
        <v>0</v>
      </c>
      <c r="R524" s="10"/>
      <c r="S524" s="10"/>
      <c r="T524" s="10" t="n">
        <v>0</v>
      </c>
      <c r="U524" s="11" t="n">
        <f aca="false">IF(E524="TRANSPORT",IF(T524="","",T524*5),IF(AL524="","",AL524))</f>
        <v>0</v>
      </c>
      <c r="V524" s="10" t="s">
        <v>54</v>
      </c>
      <c r="W524" s="15" t="s">
        <v>70</v>
      </c>
      <c r="X524" s="15"/>
      <c r="Y524" s="17" t="n">
        <v>46265.3917939815</v>
      </c>
      <c r="Z524" s="18" t="n">
        <f aca="false">IF(I524="",0,IF(ISNUMBER(SEARCH("mp",LOWER(J524))),I524,IF(ISNUMBER(SEARCH("ton",LOWER(J524))),I524/0.33,IF(ISNUMBER(SEARCH("m3",LOWER(J524))),I524*4,I524))))</f>
        <v>75.84</v>
      </c>
      <c r="AA524" s="18" t="n">
        <f aca="false">IF(I524="",0,IF(ISNUMBER(SEARCH("mp",LOWER(J524))),I524*0.33,IF(ISNUMBER(SEARCH("ton",LOWER(J524))),I524,I524*0.33)))</f>
        <v>6.2568</v>
      </c>
      <c r="AB524" s="18" t="n">
        <f aca="false">Tabela_dane[[#This Row],[Wolumen_t]]*8.5</f>
        <v>53.1828</v>
      </c>
      <c r="AC524" s="18" t="n">
        <f aca="false">IF(G524&lt;&gt;"TAK",0,IF(OR(E524="ZAKUP",E524="PRODUKCJA"),Z524,IF(OR(E524="SPRZEDAŻ",E524="ZUŻYCIE"),-Z524,0)))</f>
        <v>75.84</v>
      </c>
      <c r="AD524" s="18" t="n">
        <f aca="false">IF(G524&lt;&gt;"TAK",0,IF(OR(E524="ZAKUP",E524="PRODUKCJA"),AA524,IF(OR(E524="SPRZEDAŻ",E524="ZUŻYCIE"),-AA524,0)))</f>
        <v>6.2568</v>
      </c>
      <c r="AE524" s="19" t="n">
        <f aca="false">IF(E524="ZAKUP",IF(L524&lt;&gt;"",L524,IF(K524&lt;&gt;"",Z524*K524,0)),0)</f>
        <v>0</v>
      </c>
      <c r="AF524" s="19" t="n">
        <f aca="false">IF(E524="SPRZEDAŻ",IF(M524&lt;&gt;"",Z524*M524,0),0)</f>
        <v>0</v>
      </c>
      <c r="AG524" s="19" t="str">
        <f aca="false">IF(R524="","",IF(LOWER(R524)="brak","Brak",IF(OR(ISNUMBER(SEARCH("ric pl",LOWER(R524))),ISNUMBER(SEARCH("wojciechowski",LOWER(R524)))),"Własny","Zewnętrzny")))</f>
        <v/>
      </c>
      <c r="AH524" s="19" t="n">
        <f aca="false">Z524*Q524</f>
        <v>0</v>
      </c>
      <c r="AI524" s="19" t="str">
        <f aca="false">UPPER(TEXT(C524,"mmmm"))</f>
        <v>AUGUST</v>
      </c>
      <c r="AJ524" s="19" t="str">
        <f aca="false">IF(C524="","",TEXT(C524,"rrrr"))</f>
        <v>CE5786CE5786</v>
      </c>
      <c r="AK524" s="10"/>
      <c r="AL524" s="11" t="n">
        <v>0</v>
      </c>
      <c r="AM524" s="10" t="s">
        <v>958</v>
      </c>
      <c r="AN524" s="10" t="s">
        <v>59</v>
      </c>
      <c r="AO524" s="10"/>
      <c r="AP524" s="10"/>
      <c r="AQ524" s="10"/>
      <c r="AR524" s="10" t="s">
        <v>66</v>
      </c>
      <c r="AS524" s="10"/>
      <c r="AT524" s="15" t="n">
        <v>1</v>
      </c>
    </row>
    <row r="525" customFormat="false" ht="28.5" hidden="false" customHeight="true" outlineLevel="0" collapsed="false">
      <c r="A525" s="12" t="n">
        <v>46261</v>
      </c>
      <c r="B525" s="12"/>
      <c r="C525" s="12" t="n">
        <v>46261</v>
      </c>
      <c r="D525" s="10" t="s">
        <v>54</v>
      </c>
      <c r="E525" s="10" t="s">
        <v>47</v>
      </c>
      <c r="F525" s="13" t="s">
        <v>959</v>
      </c>
      <c r="G525" s="14" t="s">
        <v>49</v>
      </c>
      <c r="H525" s="10" t="s">
        <v>50</v>
      </c>
      <c r="I525" s="15" t="n">
        <v>75.84</v>
      </c>
      <c r="J525" s="10" t="s">
        <v>51</v>
      </c>
      <c r="K525" s="15" t="n">
        <v>0</v>
      </c>
      <c r="L525" s="11" t="n">
        <v>0</v>
      </c>
      <c r="M525" s="11" t="n">
        <v>0</v>
      </c>
      <c r="N525" s="10" t="s">
        <v>52</v>
      </c>
      <c r="O525" s="10" t="s">
        <v>67</v>
      </c>
      <c r="P525" s="10" t="s">
        <v>53</v>
      </c>
      <c r="Q525" s="16" t="n">
        <v>10</v>
      </c>
      <c r="R525" s="10"/>
      <c r="S525" s="10"/>
      <c r="T525" s="10" t="n">
        <v>0</v>
      </c>
      <c r="U525" s="11" t="n">
        <f aca="false">IF(E525="TRANSPORT",IF(T525="","",T525*5),IF(AL525="","",AL525))</f>
        <v>0</v>
      </c>
      <c r="V525" s="10" t="s">
        <v>54</v>
      </c>
      <c r="W525" s="15" t="s">
        <v>70</v>
      </c>
      <c r="X525" s="15"/>
      <c r="Y525" s="17" t="n">
        <v>46265.3924421296</v>
      </c>
      <c r="Z525" s="18" t="n">
        <f aca="false">IF(I525="",0,IF(ISNUMBER(SEARCH("mp",LOWER(J525))),I525,IF(ISNUMBER(SEARCH("ton",LOWER(J525))),I525/0.33,IF(ISNUMBER(SEARCH("m3",LOWER(J525))),I525*4,I525))))</f>
        <v>75.84</v>
      </c>
      <c r="AA525" s="18" t="n">
        <f aca="false">IF(I525="",0,IF(ISNUMBER(SEARCH("mp",LOWER(J525))),I525*0.33,IF(ISNUMBER(SEARCH("ton",LOWER(J525))),I525,I525*0.33)))</f>
        <v>25.0272</v>
      </c>
      <c r="AB525" s="18" t="n">
        <f aca="false">Tabela_dane[[#This Row],[Wolumen_t]]*8.5</f>
        <v>212.7312</v>
      </c>
      <c r="AC525" s="18" t="n">
        <f aca="false">IF(G525&lt;&gt;"TAK",0,IF(OR(E525="ZAKUP",E525="PRODUKCJA"),Z525,IF(OR(E525="SPRZEDAŻ",E525="ZUŻYCIE"),-Z525,0)))</f>
        <v>75.84</v>
      </c>
      <c r="AD525" s="18" t="n">
        <f aca="false">IF(G525&lt;&gt;"TAK",0,IF(OR(E525="ZAKUP",E525="PRODUKCJA"),AA525,IF(OR(E525="SPRZEDAŻ",E525="ZUŻYCIE"),-AA525,0)))</f>
        <v>25.0272</v>
      </c>
      <c r="AE525" s="19" t="n">
        <f aca="false">IF(E525="ZAKUP",IF(L525&lt;&gt;"",L525,IF(K525&lt;&gt;"",Z525*K525,0)),0)</f>
        <v>0</v>
      </c>
      <c r="AF525" s="19" t="n">
        <f aca="false">IF(E525="SPRZEDAŻ",IF(M525&lt;&gt;"",Z525*M525,0),0)</f>
        <v>0</v>
      </c>
      <c r="AG525" s="19" t="str">
        <f aca="false">IF(R525="","",IF(LOWER(R525)="brak","Brak",IF(OR(ISNUMBER(SEARCH("ric pl",LOWER(R525))),ISNUMBER(SEARCH("wojciechowski",LOWER(R525)))),"Własny","Zewnętrzny")))</f>
        <v/>
      </c>
      <c r="AH525" s="19" t="n">
        <f aca="false">Z525*Q525</f>
        <v>758.4</v>
      </c>
      <c r="AI525" s="19" t="str">
        <f aca="false">UPPER(TEXT(C525,"mmmm"))</f>
        <v>AUGUST</v>
      </c>
      <c r="AJ525" s="19" t="str">
        <f aca="false">IF(C525="","",TEXT(C525,"rrrr"))</f>
        <v>CE5786CE5786</v>
      </c>
      <c r="AK525" s="10"/>
      <c r="AL525" s="11" t="n">
        <v>0</v>
      </c>
      <c r="AM525" s="10" t="s">
        <v>960</v>
      </c>
      <c r="AN525" s="10" t="s">
        <v>59</v>
      </c>
      <c r="AO525" s="10"/>
      <c r="AP525" s="10"/>
      <c r="AQ525" s="10"/>
      <c r="AR525" s="10" t="s">
        <v>66</v>
      </c>
      <c r="AS525" s="10"/>
      <c r="AT525" s="15" t="n">
        <v>1</v>
      </c>
    </row>
    <row r="526" customFormat="false" ht="28.5" hidden="false" customHeight="true" outlineLevel="0" collapsed="false">
      <c r="A526" s="12" t="n">
        <v>46261</v>
      </c>
      <c r="B526" s="12"/>
      <c r="C526" s="12" t="n">
        <v>46261</v>
      </c>
      <c r="D526" s="10" t="s">
        <v>54</v>
      </c>
      <c r="E526" s="10" t="s">
        <v>79</v>
      </c>
      <c r="F526" s="13" t="s">
        <v>959</v>
      </c>
      <c r="G526" s="14" t="s">
        <v>49</v>
      </c>
      <c r="H526" s="10" t="s">
        <v>50</v>
      </c>
      <c r="I526" s="15" t="n">
        <v>75.84</v>
      </c>
      <c r="J526" s="10" t="s">
        <v>51</v>
      </c>
      <c r="K526" s="15" t="n">
        <v>0</v>
      </c>
      <c r="L526" s="11" t="n">
        <v>0</v>
      </c>
      <c r="M526" s="11" t="n">
        <v>0</v>
      </c>
      <c r="N526" s="10" t="s">
        <v>52</v>
      </c>
      <c r="O526" s="10" t="s">
        <v>67</v>
      </c>
      <c r="P526" s="10" t="s">
        <v>53</v>
      </c>
      <c r="Q526" s="16" t="n">
        <v>10</v>
      </c>
      <c r="R526" s="10"/>
      <c r="S526" s="10"/>
      <c r="T526" s="10" t="n">
        <v>0</v>
      </c>
      <c r="U526" s="11" t="n">
        <f aca="false">IF(E526="TRANSPORT",IF(T526="","",T526*5),IF(AL526="","",AL526))</f>
        <v>0</v>
      </c>
      <c r="V526" s="10" t="s">
        <v>54</v>
      </c>
      <c r="W526" s="15" t="s">
        <v>260</v>
      </c>
      <c r="X526" s="15"/>
      <c r="Y526" s="17" t="n">
        <v>46265.3924421296</v>
      </c>
      <c r="Z526" s="18" t="n">
        <f aca="false">IF(I526="",0,IF(ISNUMBER(SEARCH("mp",LOWER(J526))),I526,IF(ISNUMBER(SEARCH("ton",LOWER(J526))),I526/0.33,IF(ISNUMBER(SEARCH("m3",LOWER(J526))),I526*4,I526))))</f>
        <v>75.84</v>
      </c>
      <c r="AA526" s="18" t="n">
        <f aca="false">IF(I526="",0,IF(ISNUMBER(SEARCH("mp",LOWER(J526))),I526*0.33,IF(ISNUMBER(SEARCH("ton",LOWER(J526))),I526,I526*0.33)))</f>
        <v>25.0272</v>
      </c>
      <c r="AB526" s="18" t="n">
        <f aca="false">Tabela_dane[[#This Row],[Wolumen_t]]*8.5</f>
        <v>212.7312</v>
      </c>
      <c r="AC526" s="18" t="n">
        <f aca="false">IF(G526&lt;&gt;"TAK",0,IF(OR(E526="ZAKUP",E526="PRODUKCJA"),Z526,IF(OR(E526="SPRZEDAŻ",E526="ZUŻYCIE"),-Z526,0)))</f>
        <v>-75.84</v>
      </c>
      <c r="AD526" s="18" t="n">
        <f aca="false">IF(G526&lt;&gt;"TAK",0,IF(OR(E526="ZAKUP",E526="PRODUKCJA"),AA526,IF(OR(E526="SPRZEDAŻ",E526="ZUŻYCIE"),-AA526,0)))</f>
        <v>-25.0272</v>
      </c>
      <c r="AE526" s="19" t="n">
        <f aca="false">IF(E526="ZAKUP",IF(L526&lt;&gt;"",L526,IF(K526&lt;&gt;"",Z526*K526,0)),0)</f>
        <v>0</v>
      </c>
      <c r="AF526" s="19" t="n">
        <f aca="false">IF(E526="SPRZEDAŻ",IF(M526&lt;&gt;"",Z526*M526,0),0)</f>
        <v>0</v>
      </c>
      <c r="AG526" s="19" t="str">
        <f aca="false">IF(R526="","",IF(LOWER(R526)="brak","Brak",IF(OR(ISNUMBER(SEARCH("ric pl",LOWER(R526))),ISNUMBER(SEARCH("wojciechowski",LOWER(R526)))),"Własny","Zewnętrzny")))</f>
        <v/>
      </c>
      <c r="AH526" s="19" t="n">
        <f aca="false">Z526*Q526</f>
        <v>758.4</v>
      </c>
      <c r="AI526" s="19" t="str">
        <f aca="false">UPPER(TEXT(C526,"mmmm"))</f>
        <v>AUGUST</v>
      </c>
      <c r="AJ526" s="19" t="str">
        <f aca="false">IF(C526="","",TEXT(C526,"rrrr"))</f>
        <v>CE5786CE5786</v>
      </c>
      <c r="AK526" s="10"/>
      <c r="AL526" s="11" t="n">
        <v>0</v>
      </c>
      <c r="AM526" s="10" t="s">
        <v>960</v>
      </c>
      <c r="AN526" s="10" t="s">
        <v>59</v>
      </c>
      <c r="AO526" s="10"/>
      <c r="AP526" s="10"/>
      <c r="AQ526" s="10"/>
      <c r="AR526" s="10" t="s">
        <v>81</v>
      </c>
      <c r="AS526" s="10"/>
      <c r="AT526" s="15" t="n">
        <v>1</v>
      </c>
    </row>
    <row r="527" customFormat="false" ht="28.5" hidden="false" customHeight="true" outlineLevel="0" collapsed="false">
      <c r="A527" s="12" t="n">
        <v>46261</v>
      </c>
      <c r="B527" s="12" t="s">
        <v>950</v>
      </c>
      <c r="C527" s="12" t="n">
        <v>46261</v>
      </c>
      <c r="D527" s="10" t="s">
        <v>54</v>
      </c>
      <c r="E527" s="10" t="s">
        <v>63</v>
      </c>
      <c r="F527" s="13" t="s">
        <v>959</v>
      </c>
      <c r="G527" s="14" t="s">
        <v>49</v>
      </c>
      <c r="H527" s="10" t="s">
        <v>50</v>
      </c>
      <c r="I527" s="15" t="n">
        <v>75.84</v>
      </c>
      <c r="J527" s="10" t="s">
        <v>51</v>
      </c>
      <c r="K527" s="15" t="n">
        <v>0</v>
      </c>
      <c r="L527" s="11" t="n">
        <v>0</v>
      </c>
      <c r="M527" s="11" t="n">
        <v>0</v>
      </c>
      <c r="N527" s="10" t="s">
        <v>52</v>
      </c>
      <c r="O527" s="10" t="s">
        <v>67</v>
      </c>
      <c r="P527" s="10"/>
      <c r="Q527" s="16" t="n">
        <v>0</v>
      </c>
      <c r="R527" s="10" t="s">
        <v>68</v>
      </c>
      <c r="S527" s="10" t="s">
        <v>95</v>
      </c>
      <c r="T527" s="10" t="n">
        <v>120</v>
      </c>
      <c r="U527" s="11" t="n">
        <f aca="false">IF(E527="TRANSPORT",IF(T527="","",T527*5),IF(AL527="","",AL527))</f>
        <v>600</v>
      </c>
      <c r="V527" s="10" t="s">
        <v>54</v>
      </c>
      <c r="W527" s="15" t="s">
        <v>65</v>
      </c>
      <c r="X527" s="15"/>
      <c r="Y527" s="17" t="n">
        <v>46265.3932060185</v>
      </c>
      <c r="Z527" s="18" t="n">
        <f aca="false">IF(I527="",0,IF(ISNUMBER(SEARCH("mp",LOWER(J527))),I527,IF(ISNUMBER(SEARCH("ton",LOWER(J527))),I527/0.33,IF(ISNUMBER(SEARCH("m3",LOWER(J527))),I527*4,I527))))</f>
        <v>75.84</v>
      </c>
      <c r="AA527" s="18" t="n">
        <f aca="false">IF(I527="",0,IF(ISNUMBER(SEARCH("mp",LOWER(J527))),I527*0.33,IF(ISNUMBER(SEARCH("ton",LOWER(J527))),I527,I527*0.33)))</f>
        <v>25.0272</v>
      </c>
      <c r="AB527" s="18" t="n">
        <f aca="false">Tabela_dane[[#This Row],[Wolumen_t]]*8.5</f>
        <v>212.7312</v>
      </c>
      <c r="AC527" s="18" t="n">
        <f aca="false">IF(G527&lt;&gt;"TAK",0,IF(OR(E527="ZAKUP",E527="PRODUKCJA"),Z527,IF(OR(E527="SPRZEDAŻ",E527="ZUŻYCIE"),-Z527,0)))</f>
        <v>75.84</v>
      </c>
      <c r="AD527" s="18" t="n">
        <f aca="false">IF(G527&lt;&gt;"TAK",0,IF(OR(E527="ZAKUP",E527="PRODUKCJA"),AA527,IF(OR(E527="SPRZEDAŻ",E527="ZUŻYCIE"),-AA527,0)))</f>
        <v>25.0272</v>
      </c>
      <c r="AE527" s="19" t="n">
        <f aca="false">IF(E527="ZAKUP",IF(L527&lt;&gt;"",L527,IF(K527&lt;&gt;"",Z527*K527,0)),0)</f>
        <v>0</v>
      </c>
      <c r="AF527" s="19" t="n">
        <f aca="false">IF(E527="SPRZEDAŻ",IF(M527&lt;&gt;"",Z527*M527,0),0)</f>
        <v>0</v>
      </c>
      <c r="AG527" s="19" t="str">
        <f aca="false">IF(R527="","",IF(LOWER(R527)="brak","Brak",IF(OR(ISNUMBER(SEARCH("ric pl",LOWER(R527))),ISNUMBER(SEARCH("wojciechowski",LOWER(R527)))),"Własny","Zewnętrzny")))</f>
        <v>Zewnętrzny</v>
      </c>
      <c r="AH527" s="19" t="n">
        <f aca="false">Z527*Q527</f>
        <v>0</v>
      </c>
      <c r="AI527" s="19" t="str">
        <f aca="false">UPPER(TEXT(C527,"mmmm"))</f>
        <v>AUGUST</v>
      </c>
      <c r="AJ527" s="19" t="str">
        <f aca="false">IF(C527="","",TEXT(C527,"rrrr"))</f>
        <v>CE5786CE5786</v>
      </c>
      <c r="AK527" s="10"/>
      <c r="AL527" s="11" t="n">
        <v>600</v>
      </c>
      <c r="AM527" s="10" t="s">
        <v>961</v>
      </c>
      <c r="AN527" s="10" t="s">
        <v>49</v>
      </c>
      <c r="AO527" s="10"/>
      <c r="AP527" s="10"/>
      <c r="AQ527" s="10"/>
      <c r="AR527" s="10" t="s">
        <v>66</v>
      </c>
      <c r="AS527" s="10"/>
      <c r="AT527" s="15" t="n">
        <v>1</v>
      </c>
    </row>
    <row r="528" customFormat="false" ht="28.5" hidden="false" customHeight="true" outlineLevel="0" collapsed="false">
      <c r="A528" s="12" t="n">
        <v>46261</v>
      </c>
      <c r="B528" s="12"/>
      <c r="C528" s="12" t="n">
        <v>46261</v>
      </c>
      <c r="D528" s="10" t="s">
        <v>945</v>
      </c>
      <c r="E528" s="10" t="s">
        <v>63</v>
      </c>
      <c r="F528" s="46" t="s">
        <v>962</v>
      </c>
      <c r="G528" s="14" t="s">
        <v>49</v>
      </c>
      <c r="H528" s="10" t="s">
        <v>50</v>
      </c>
      <c r="I528" s="15" t="n">
        <v>18.1</v>
      </c>
      <c r="J528" s="10" t="s">
        <v>77</v>
      </c>
      <c r="K528" s="15" t="n">
        <v>0</v>
      </c>
      <c r="L528" s="11" t="n">
        <v>0</v>
      </c>
      <c r="M528" s="11" t="n">
        <v>0</v>
      </c>
      <c r="N528" s="10" t="s">
        <v>64</v>
      </c>
      <c r="O528" s="10"/>
      <c r="P528" s="10"/>
      <c r="Q528" s="16" t="n">
        <v>0</v>
      </c>
      <c r="R528" s="10"/>
      <c r="S528" s="10"/>
      <c r="T528" s="10" t="n">
        <v>0</v>
      </c>
      <c r="U528" s="11" t="n">
        <f aca="false">IF(E528="TRANSPORT",IF(T528="","",T528*5),IF(AL528="","",AL528))</f>
        <v>0</v>
      </c>
      <c r="V528" s="10" t="s">
        <v>54</v>
      </c>
      <c r="W528" s="15" t="s">
        <v>70</v>
      </c>
      <c r="X528" s="15"/>
      <c r="Y528" s="17" t="n">
        <v>46265.3987962963</v>
      </c>
      <c r="Z528" s="18" t="n">
        <f aca="false">IF(I528="",0,IF(ISNUMBER(SEARCH("mp",LOWER(J528))),I528,IF(ISNUMBER(SEARCH("ton",LOWER(J528))),I528/0.33,IF(ISNUMBER(SEARCH("m3",LOWER(J528))),I528*4,I528))))</f>
        <v>72.4</v>
      </c>
      <c r="AA528" s="18" t="n">
        <f aca="false">IF(I528="",0,IF(ISNUMBER(SEARCH("mp",LOWER(J528))),I528*0.33,IF(ISNUMBER(SEARCH("ton",LOWER(J528))),I528,I528*0.33)))</f>
        <v>5.973</v>
      </c>
      <c r="AB528" s="18" t="n">
        <f aca="false">Tabela_dane[[#This Row],[Wolumen_t]]*8.5</f>
        <v>50.7705</v>
      </c>
      <c r="AC528" s="18" t="n">
        <f aca="false">IF(G528&lt;&gt;"TAK",0,IF(OR(E528="ZAKUP",E528="PRODUKCJA"),Z528,IF(OR(E528="SPRZEDAŻ",E528="ZUŻYCIE"),-Z528,0)))</f>
        <v>72.4</v>
      </c>
      <c r="AD528" s="18" t="n">
        <f aca="false">IF(G528&lt;&gt;"TAK",0,IF(OR(E528="ZAKUP",E528="PRODUKCJA"),AA528,IF(OR(E528="SPRZEDAŻ",E528="ZUŻYCIE"),-AA528,0)))</f>
        <v>5.973</v>
      </c>
      <c r="AE528" s="19" t="n">
        <f aca="false">IF(E528="ZAKUP",IF(L528&lt;&gt;"",L528,IF(K528&lt;&gt;"",Z528*K528,0)),0)</f>
        <v>0</v>
      </c>
      <c r="AF528" s="19" t="n">
        <f aca="false">IF(E528="SPRZEDAŻ",IF(M528&lt;&gt;"",Z528*M528,0),0)</f>
        <v>0</v>
      </c>
      <c r="AG528" s="19" t="str">
        <f aca="false">IF(R528="","",IF(LOWER(R528)="brak","Brak",IF(OR(ISNUMBER(SEARCH("ric pl",LOWER(R528))),ISNUMBER(SEARCH("wojciechowski",LOWER(R528)))),"Własny","Zewnętrzny")))</f>
        <v/>
      </c>
      <c r="AH528" s="19" t="n">
        <f aca="false">Z528*Q528</f>
        <v>0</v>
      </c>
      <c r="AI528" s="19" t="str">
        <f aca="false">UPPER(TEXT(C528,"mmmm"))</f>
        <v>AUGUST</v>
      </c>
      <c r="AJ528" s="19" t="str">
        <f aca="false">IF(C528="","",TEXT(C528,"rrrr"))</f>
        <v>CE5786CE5786</v>
      </c>
      <c r="AK528" s="10"/>
      <c r="AL528" s="11" t="n">
        <v>0</v>
      </c>
      <c r="AM528" s="10" t="s">
        <v>963</v>
      </c>
      <c r="AN528" s="10" t="s">
        <v>59</v>
      </c>
      <c r="AO528" s="10"/>
      <c r="AP528" s="10"/>
      <c r="AQ528" s="10"/>
      <c r="AR528" s="10" t="s">
        <v>66</v>
      </c>
      <c r="AS528" s="10"/>
      <c r="AT528" s="15" t="n">
        <v>1</v>
      </c>
    </row>
    <row r="529" customFormat="false" ht="28.5" hidden="false" customHeight="true" outlineLevel="0" collapsed="false">
      <c r="A529" s="12" t="n">
        <v>46261</v>
      </c>
      <c r="B529" s="12"/>
      <c r="C529" s="12" t="n">
        <v>46261</v>
      </c>
      <c r="D529" s="10" t="s">
        <v>54</v>
      </c>
      <c r="E529" s="10" t="s">
        <v>47</v>
      </c>
      <c r="F529" s="13" t="s">
        <v>964</v>
      </c>
      <c r="G529" s="14" t="s">
        <v>49</v>
      </c>
      <c r="H529" s="10" t="s">
        <v>50</v>
      </c>
      <c r="I529" s="15" t="n">
        <v>72.4</v>
      </c>
      <c r="J529" s="10" t="s">
        <v>51</v>
      </c>
      <c r="K529" s="15" t="n">
        <v>0</v>
      </c>
      <c r="L529" s="11" t="n">
        <v>0</v>
      </c>
      <c r="M529" s="11" t="n">
        <v>0</v>
      </c>
      <c r="N529" s="10" t="s">
        <v>52</v>
      </c>
      <c r="O529" s="10" t="s">
        <v>67</v>
      </c>
      <c r="P529" s="10" t="s">
        <v>53</v>
      </c>
      <c r="Q529" s="16" t="n">
        <v>10</v>
      </c>
      <c r="R529" s="10"/>
      <c r="S529" s="10"/>
      <c r="T529" s="10" t="n">
        <v>0</v>
      </c>
      <c r="U529" s="11" t="n">
        <f aca="false">IF(E529="TRANSPORT",IF(T529="","",T529*5),IF(AL529="","",AL529))</f>
        <v>0</v>
      </c>
      <c r="V529" s="10" t="s">
        <v>54</v>
      </c>
      <c r="W529" s="15" t="s">
        <v>70</v>
      </c>
      <c r="X529" s="15"/>
      <c r="Y529" s="17" t="n">
        <v>46265.3993171296</v>
      </c>
      <c r="Z529" s="18" t="n">
        <f aca="false">IF(I529="",0,IF(ISNUMBER(SEARCH("mp",LOWER(J529))),I529,IF(ISNUMBER(SEARCH("ton",LOWER(J529))),I529/0.33,IF(ISNUMBER(SEARCH("m3",LOWER(J529))),I529*4,I529))))</f>
        <v>72.4</v>
      </c>
      <c r="AA529" s="18" t="n">
        <f aca="false">IF(I529="",0,IF(ISNUMBER(SEARCH("mp",LOWER(J529))),I529*0.33,IF(ISNUMBER(SEARCH("ton",LOWER(J529))),I529,I529*0.33)))</f>
        <v>23.892</v>
      </c>
      <c r="AB529" s="18" t="n">
        <f aca="false">Tabela_dane[[#This Row],[Wolumen_t]]*8.5</f>
        <v>203.082</v>
      </c>
      <c r="AC529" s="18" t="n">
        <f aca="false">IF(G529&lt;&gt;"TAK",0,IF(OR(E529="ZAKUP",E529="PRODUKCJA"),Z529,IF(OR(E529="SPRZEDAŻ",E529="ZUŻYCIE"),-Z529,0)))</f>
        <v>72.4</v>
      </c>
      <c r="AD529" s="18" t="n">
        <f aca="false">IF(G529&lt;&gt;"TAK",0,IF(OR(E529="ZAKUP",E529="PRODUKCJA"),AA529,IF(OR(E529="SPRZEDAŻ",E529="ZUŻYCIE"),-AA529,0)))</f>
        <v>23.892</v>
      </c>
      <c r="AE529" s="19" t="n">
        <f aca="false">IF(E529="ZAKUP",IF(L529&lt;&gt;"",L529,IF(K529&lt;&gt;"",Z529*K529,0)),0)</f>
        <v>0</v>
      </c>
      <c r="AF529" s="19" t="n">
        <f aca="false">IF(E529="SPRZEDAŻ",IF(M529&lt;&gt;"",Z529*M529,0),0)</f>
        <v>0</v>
      </c>
      <c r="AG529" s="19" t="str">
        <f aca="false">IF(R529="","",IF(LOWER(R529)="brak","Brak",IF(OR(ISNUMBER(SEARCH("ric pl",LOWER(R529))),ISNUMBER(SEARCH("wojciechowski",LOWER(R529)))),"Własny","Zewnętrzny")))</f>
        <v/>
      </c>
      <c r="AH529" s="19" t="n">
        <f aca="false">Z529*Q529</f>
        <v>724</v>
      </c>
      <c r="AI529" s="19" t="str">
        <f aca="false">UPPER(TEXT(C529,"mmmm"))</f>
        <v>AUGUST</v>
      </c>
      <c r="AJ529" s="19" t="str">
        <f aca="false">IF(C529="","",TEXT(C529,"rrrr"))</f>
        <v>CE5786CE5786</v>
      </c>
      <c r="AK529" s="10"/>
      <c r="AL529" s="11" t="n">
        <v>0</v>
      </c>
      <c r="AM529" s="10" t="s">
        <v>965</v>
      </c>
      <c r="AN529" s="10" t="s">
        <v>59</v>
      </c>
      <c r="AO529" s="10"/>
      <c r="AP529" s="10"/>
      <c r="AQ529" s="10"/>
      <c r="AR529" s="10" t="s">
        <v>66</v>
      </c>
      <c r="AS529" s="10"/>
      <c r="AT529" s="15" t="n">
        <v>1</v>
      </c>
    </row>
    <row r="530" customFormat="false" ht="28.5" hidden="false" customHeight="true" outlineLevel="0" collapsed="false">
      <c r="A530" s="12" t="n">
        <v>46261</v>
      </c>
      <c r="B530" s="12"/>
      <c r="C530" s="12" t="n">
        <v>46261</v>
      </c>
      <c r="D530" s="10" t="s">
        <v>54</v>
      </c>
      <c r="E530" s="10" t="s">
        <v>79</v>
      </c>
      <c r="F530" s="13" t="s">
        <v>964</v>
      </c>
      <c r="G530" s="14" t="s">
        <v>49</v>
      </c>
      <c r="H530" s="10" t="s">
        <v>50</v>
      </c>
      <c r="I530" s="15" t="n">
        <v>72.4</v>
      </c>
      <c r="J530" s="10" t="s">
        <v>51</v>
      </c>
      <c r="K530" s="15" t="n">
        <v>0</v>
      </c>
      <c r="L530" s="11" t="n">
        <v>0</v>
      </c>
      <c r="M530" s="11" t="n">
        <v>0</v>
      </c>
      <c r="N530" s="10" t="s">
        <v>52</v>
      </c>
      <c r="O530" s="10" t="s">
        <v>67</v>
      </c>
      <c r="P530" s="10" t="s">
        <v>53</v>
      </c>
      <c r="Q530" s="16" t="n">
        <v>10</v>
      </c>
      <c r="R530" s="10"/>
      <c r="S530" s="10"/>
      <c r="T530" s="10" t="n">
        <v>0</v>
      </c>
      <c r="U530" s="11" t="n">
        <f aca="false">IF(E530="TRANSPORT",IF(T530="","",T530*5),IF(AL530="","",AL530))</f>
        <v>0</v>
      </c>
      <c r="V530" s="10" t="s">
        <v>54</v>
      </c>
      <c r="W530" s="15" t="s">
        <v>260</v>
      </c>
      <c r="X530" s="15"/>
      <c r="Y530" s="17" t="n">
        <v>46265.3993287037</v>
      </c>
      <c r="Z530" s="18" t="n">
        <f aca="false">IF(I530="",0,IF(ISNUMBER(SEARCH("mp",LOWER(J530))),I530,IF(ISNUMBER(SEARCH("ton",LOWER(J530))),I530/0.33,IF(ISNUMBER(SEARCH("m3",LOWER(J530))),I530*4,I530))))</f>
        <v>72.4</v>
      </c>
      <c r="AA530" s="18" t="n">
        <f aca="false">IF(I530="",0,IF(ISNUMBER(SEARCH("mp",LOWER(J530))),I530*0.33,IF(ISNUMBER(SEARCH("ton",LOWER(J530))),I530,I530*0.33)))</f>
        <v>23.892</v>
      </c>
      <c r="AB530" s="18" t="n">
        <f aca="false">Tabela_dane[[#This Row],[Wolumen_t]]*8.5</f>
        <v>203.082</v>
      </c>
      <c r="AC530" s="18" t="n">
        <f aca="false">IF(G530&lt;&gt;"TAK",0,IF(OR(E530="ZAKUP",E530="PRODUKCJA"),Z530,IF(OR(E530="SPRZEDAŻ",E530="ZUŻYCIE"),-Z530,0)))</f>
        <v>-72.4</v>
      </c>
      <c r="AD530" s="18" t="n">
        <f aca="false">IF(G530&lt;&gt;"TAK",0,IF(OR(E530="ZAKUP",E530="PRODUKCJA"),AA530,IF(OR(E530="SPRZEDAŻ",E530="ZUŻYCIE"),-AA530,0)))</f>
        <v>-23.892</v>
      </c>
      <c r="AE530" s="19" t="n">
        <f aca="false">IF(E530="ZAKUP",IF(L530&lt;&gt;"",L530,IF(K530&lt;&gt;"",Z530*K530,0)),0)</f>
        <v>0</v>
      </c>
      <c r="AF530" s="19" t="n">
        <f aca="false">IF(E530="SPRZEDAŻ",IF(M530&lt;&gt;"",Z530*M530,0),0)</f>
        <v>0</v>
      </c>
      <c r="AG530" s="19" t="str">
        <f aca="false">IF(R530="","",IF(LOWER(R530)="brak","Brak",IF(OR(ISNUMBER(SEARCH("ric pl",LOWER(R530))),ISNUMBER(SEARCH("wojciechowski",LOWER(R530)))),"Własny","Zewnętrzny")))</f>
        <v/>
      </c>
      <c r="AH530" s="19" t="n">
        <f aca="false">Z530*Q530</f>
        <v>724</v>
      </c>
      <c r="AI530" s="19" t="str">
        <f aca="false">UPPER(TEXT(C530,"mmmm"))</f>
        <v>AUGUST</v>
      </c>
      <c r="AJ530" s="19" t="str">
        <f aca="false">IF(C530="","",TEXT(C530,"rrrr"))</f>
        <v>CE5786CE5786</v>
      </c>
      <c r="AK530" s="10"/>
      <c r="AL530" s="11" t="n">
        <v>0</v>
      </c>
      <c r="AM530" s="10" t="s">
        <v>965</v>
      </c>
      <c r="AN530" s="10" t="s">
        <v>59</v>
      </c>
      <c r="AO530" s="10"/>
      <c r="AP530" s="10"/>
      <c r="AQ530" s="10"/>
      <c r="AR530" s="10" t="s">
        <v>81</v>
      </c>
      <c r="AS530" s="10"/>
      <c r="AT530" s="15" t="n">
        <v>1</v>
      </c>
    </row>
    <row r="531" customFormat="false" ht="28.5" hidden="false" customHeight="true" outlineLevel="0" collapsed="false">
      <c r="A531" s="12" t="n">
        <v>46261</v>
      </c>
      <c r="B531" s="12" t="s">
        <v>950</v>
      </c>
      <c r="C531" s="12" t="n">
        <v>46261</v>
      </c>
      <c r="D531" s="10" t="s">
        <v>54</v>
      </c>
      <c r="E531" s="10" t="s">
        <v>63</v>
      </c>
      <c r="F531" s="13" t="s">
        <v>964</v>
      </c>
      <c r="G531" s="14" t="s">
        <v>49</v>
      </c>
      <c r="H531" s="10" t="s">
        <v>50</v>
      </c>
      <c r="I531" s="15" t="n">
        <v>72.4</v>
      </c>
      <c r="J531" s="10" t="s">
        <v>51</v>
      </c>
      <c r="K531" s="15" t="n">
        <v>0</v>
      </c>
      <c r="L531" s="11" t="n">
        <v>0</v>
      </c>
      <c r="M531" s="11" t="n">
        <v>0</v>
      </c>
      <c r="N531" s="10" t="s">
        <v>52</v>
      </c>
      <c r="O531" s="10" t="s">
        <v>67</v>
      </c>
      <c r="P531" s="10"/>
      <c r="Q531" s="16" t="n">
        <v>0</v>
      </c>
      <c r="R531" s="10" t="s">
        <v>182</v>
      </c>
      <c r="S531" s="10" t="s">
        <v>509</v>
      </c>
      <c r="T531" s="10" t="n">
        <v>120</v>
      </c>
      <c r="U531" s="11" t="n">
        <f aca="false">IF(E531="TRANSPORT",IF(T531="","",T531*5),IF(AL531="","",AL531))</f>
        <v>600</v>
      </c>
      <c r="V531" s="10" t="s">
        <v>54</v>
      </c>
      <c r="W531" s="15" t="s">
        <v>70</v>
      </c>
      <c r="X531" s="15"/>
      <c r="Y531" s="17" t="n">
        <v>46265.4000231482</v>
      </c>
      <c r="Z531" s="18" t="n">
        <f aca="false">IF(I531="",0,IF(ISNUMBER(SEARCH("mp",LOWER(J531))),I531,IF(ISNUMBER(SEARCH("ton",LOWER(J531))),I531/0.33,IF(ISNUMBER(SEARCH("m3",LOWER(J531))),I531*4,I531))))</f>
        <v>72.4</v>
      </c>
      <c r="AA531" s="18" t="n">
        <f aca="false">IF(I531="",0,IF(ISNUMBER(SEARCH("mp",LOWER(J531))),I531*0.33,IF(ISNUMBER(SEARCH("ton",LOWER(J531))),I531,I531*0.33)))</f>
        <v>23.892</v>
      </c>
      <c r="AB531" s="18" t="n">
        <f aca="false">Tabela_dane[[#This Row],[Wolumen_t]]*8.5</f>
        <v>203.082</v>
      </c>
      <c r="AC531" s="18" t="n">
        <f aca="false">IF(G531&lt;&gt;"TAK",0,IF(OR(E531="ZAKUP",E531="PRODUKCJA"),Z531,IF(OR(E531="SPRZEDAŻ",E531="ZUŻYCIE"),-Z531,0)))</f>
        <v>72.4</v>
      </c>
      <c r="AD531" s="18" t="n">
        <f aca="false">IF(G531&lt;&gt;"TAK",0,IF(OR(E531="ZAKUP",E531="PRODUKCJA"),AA531,IF(OR(E531="SPRZEDAŻ",E531="ZUŻYCIE"),-AA531,0)))</f>
        <v>23.892</v>
      </c>
      <c r="AE531" s="19" t="n">
        <f aca="false">IF(E531="ZAKUP",IF(L531&lt;&gt;"",L531,IF(K531&lt;&gt;"",Z531*K531,0)),0)</f>
        <v>0</v>
      </c>
      <c r="AF531" s="19" t="n">
        <f aca="false">IF(E531="SPRZEDAŻ",IF(M531&lt;&gt;"",Z531*M531,0),0)</f>
        <v>0</v>
      </c>
      <c r="AG531" s="19" t="str">
        <f aca="false">IF(R531="","",IF(LOWER(R531)="brak","Brak",IF(OR(ISNUMBER(SEARCH("ric pl",LOWER(R531))),ISNUMBER(SEARCH("wojciechowski",LOWER(R531)))),"Własny","Zewnętrzny")))</f>
        <v>Zewnętrzny</v>
      </c>
      <c r="AH531" s="19" t="n">
        <f aca="false">Z531*Q531</f>
        <v>0</v>
      </c>
      <c r="AI531" s="19" t="str">
        <f aca="false">UPPER(TEXT(C531,"mmmm"))</f>
        <v>AUGUST</v>
      </c>
      <c r="AJ531" s="19" t="str">
        <f aca="false">IF(C531="","",TEXT(C531,"rrrr"))</f>
        <v>CE5786CE5786</v>
      </c>
      <c r="AK531" s="10"/>
      <c r="AL531" s="11" t="n">
        <v>600</v>
      </c>
      <c r="AM531" s="10" t="s">
        <v>966</v>
      </c>
      <c r="AN531" s="10" t="s">
        <v>49</v>
      </c>
      <c r="AO531" s="10"/>
      <c r="AP531" s="10"/>
      <c r="AQ531" s="10"/>
      <c r="AR531" s="10" t="s">
        <v>66</v>
      </c>
      <c r="AS531" s="10"/>
      <c r="AT531" s="15" t="n">
        <v>1</v>
      </c>
    </row>
    <row r="532" customFormat="false" ht="28.5" hidden="false" customHeight="true" outlineLevel="0" collapsed="false">
      <c r="A532" s="12" t="n">
        <v>46261</v>
      </c>
      <c r="B532" s="47"/>
      <c r="C532" s="12" t="n">
        <v>46261</v>
      </c>
      <c r="D532" s="10" t="s">
        <v>945</v>
      </c>
      <c r="E532" s="10" t="s">
        <v>63</v>
      </c>
      <c r="F532" s="46" t="s">
        <v>967</v>
      </c>
      <c r="G532" s="14" t="s">
        <v>49</v>
      </c>
      <c r="H532" s="10" t="s">
        <v>50</v>
      </c>
      <c r="I532" s="15" t="n">
        <v>14.5</v>
      </c>
      <c r="J532" s="10" t="s">
        <v>77</v>
      </c>
      <c r="K532" s="15" t="n">
        <v>0</v>
      </c>
      <c r="L532" s="11" t="n">
        <v>0</v>
      </c>
      <c r="M532" s="11" t="n">
        <v>0</v>
      </c>
      <c r="N532" s="10" t="s">
        <v>64</v>
      </c>
      <c r="O532" s="10"/>
      <c r="P532" s="10"/>
      <c r="Q532" s="16" t="n">
        <v>0</v>
      </c>
      <c r="R532" s="10"/>
      <c r="S532" s="10"/>
      <c r="T532" s="10" t="n">
        <v>0</v>
      </c>
      <c r="U532" s="11" t="n">
        <f aca="false">IF(E532="TRANSPORT",IF(T532="","",T532*5),IF(AL532="","",AL532))</f>
        <v>0</v>
      </c>
      <c r="V532" s="10" t="s">
        <v>54</v>
      </c>
      <c r="W532" s="15" t="s">
        <v>70</v>
      </c>
      <c r="X532" s="15"/>
      <c r="Y532" s="17" t="n">
        <v>46266.2658449074</v>
      </c>
      <c r="Z532" s="18" t="n">
        <f aca="false">IF(I532="",0,IF(ISNUMBER(SEARCH("mp",LOWER(J532))),I532,IF(ISNUMBER(SEARCH("ton",LOWER(J532))),I532/0.33,IF(ISNUMBER(SEARCH("m3",LOWER(J532))),I532*4,I532))))</f>
        <v>58</v>
      </c>
      <c r="AA532" s="18" t="n">
        <f aca="false">IF(I532="",0,IF(ISNUMBER(SEARCH("mp",LOWER(J532))),I532*0.33,IF(ISNUMBER(SEARCH("ton",LOWER(J532))),I532,I532*0.33)))</f>
        <v>4.785</v>
      </c>
      <c r="AB532" s="18" t="n">
        <f aca="false">Tabela_dane[[#This Row],[Wolumen_t]]*8.5</f>
        <v>40.6725</v>
      </c>
      <c r="AC532" s="18" t="n">
        <f aca="false">IF(G532&lt;&gt;"TAK",0,IF(OR(E532="ZAKUP",E532="PRODUKCJA"),Z532,IF(OR(E532="SPRZEDAŻ",E532="ZUŻYCIE"),-Z532,0)))</f>
        <v>58</v>
      </c>
      <c r="AD532" s="18" t="n">
        <f aca="false">IF(G532&lt;&gt;"TAK",0,IF(OR(E532="ZAKUP",E532="PRODUKCJA"),AA532,IF(OR(E532="SPRZEDAŻ",E532="ZUŻYCIE"),-AA532,0)))</f>
        <v>4.785</v>
      </c>
      <c r="AE532" s="19" t="n">
        <f aca="false">IF(E532="ZAKUP",IF(L532&lt;&gt;"",L532,IF(K532&lt;&gt;"",Z532*K532,0)),0)</f>
        <v>0</v>
      </c>
      <c r="AF532" s="19" t="n">
        <f aca="false">IF(E532="SPRZEDAŻ",IF(M532&lt;&gt;"",Z532*M532,0),0)</f>
        <v>0</v>
      </c>
      <c r="AG532" s="19" t="str">
        <f aca="false">IF(R532="","",IF(LOWER(R532)="brak","Brak",IF(OR(ISNUMBER(SEARCH("ric pl",LOWER(R532))),ISNUMBER(SEARCH("wojciechowski",LOWER(R532)))),"Własny","Zewnętrzny")))</f>
        <v/>
      </c>
      <c r="AH532" s="19" t="n">
        <f aca="false">Z532*Q532</f>
        <v>0</v>
      </c>
      <c r="AI532" s="19" t="str">
        <f aca="false">UPPER(TEXT(C532,"mmmm"))</f>
        <v>AUGUST</v>
      </c>
      <c r="AJ532" s="19" t="str">
        <f aca="false">IF(C532="","",TEXT(C532,"rrrr"))</f>
        <v>CE5786CE5786</v>
      </c>
      <c r="AK532" s="10"/>
      <c r="AL532" s="11" t="n">
        <v>0</v>
      </c>
      <c r="AM532" s="10" t="s">
        <v>968</v>
      </c>
      <c r="AN532" s="10" t="s">
        <v>59</v>
      </c>
      <c r="AO532" s="10"/>
      <c r="AP532" s="10"/>
      <c r="AQ532" s="10"/>
      <c r="AR532" s="10" t="s">
        <v>66</v>
      </c>
      <c r="AS532" s="10"/>
      <c r="AT532" s="15" t="n">
        <v>1</v>
      </c>
    </row>
    <row r="533" customFormat="false" ht="28.5" hidden="false" customHeight="true" outlineLevel="0" collapsed="false">
      <c r="A533" s="12" t="n">
        <v>46261</v>
      </c>
      <c r="B533" s="47"/>
      <c r="C533" s="12" t="n">
        <v>46261</v>
      </c>
      <c r="D533" s="10" t="s">
        <v>54</v>
      </c>
      <c r="E533" s="10" t="s">
        <v>47</v>
      </c>
      <c r="F533" s="13" t="s">
        <v>969</v>
      </c>
      <c r="G533" s="14" t="s">
        <v>49</v>
      </c>
      <c r="H533" s="10" t="s">
        <v>50</v>
      </c>
      <c r="I533" s="15" t="n">
        <v>58</v>
      </c>
      <c r="J533" s="10" t="s">
        <v>51</v>
      </c>
      <c r="K533" s="15" t="n">
        <v>0</v>
      </c>
      <c r="L533" s="11" t="n">
        <v>0</v>
      </c>
      <c r="M533" s="11" t="n">
        <v>0</v>
      </c>
      <c r="N533" s="10" t="s">
        <v>52</v>
      </c>
      <c r="O533" s="10" t="s">
        <v>67</v>
      </c>
      <c r="P533" s="10" t="s">
        <v>53</v>
      </c>
      <c r="Q533" s="16" t="n">
        <v>10</v>
      </c>
      <c r="R533" s="10"/>
      <c r="S533" s="10"/>
      <c r="T533" s="10" t="n">
        <v>0</v>
      </c>
      <c r="U533" s="11" t="n">
        <f aca="false">IF(E533="TRANSPORT",IF(T533="","",T533*5),IF(AL533="","",AL533))</f>
        <v>0</v>
      </c>
      <c r="V533" s="10" t="s">
        <v>54</v>
      </c>
      <c r="W533" s="15" t="s">
        <v>70</v>
      </c>
      <c r="X533" s="15"/>
      <c r="Y533" s="17" t="n">
        <v>46266.2673263889</v>
      </c>
      <c r="Z533" s="18" t="n">
        <f aca="false">IF(I533="",0,IF(ISNUMBER(SEARCH("mp",LOWER(J533))),I533,IF(ISNUMBER(SEARCH("ton",LOWER(J533))),I533/0.33,IF(ISNUMBER(SEARCH("m3",LOWER(J533))),I533*4,I533))))</f>
        <v>58</v>
      </c>
      <c r="AA533" s="18" t="n">
        <f aca="false">IF(I533="",0,IF(ISNUMBER(SEARCH("mp",LOWER(J533))),I533*0.33,IF(ISNUMBER(SEARCH("ton",LOWER(J533))),I533,I533*0.33)))</f>
        <v>19.14</v>
      </c>
      <c r="AB533" s="18" t="n">
        <f aca="false">Tabela_dane[[#This Row],[Wolumen_t]]*8.5</f>
        <v>162.69</v>
      </c>
      <c r="AC533" s="18" t="n">
        <f aca="false">IF(G533&lt;&gt;"TAK",0,IF(OR(E533="ZAKUP",E533="PRODUKCJA"),Z533,IF(OR(E533="SPRZEDAŻ",E533="ZUŻYCIE"),-Z533,0)))</f>
        <v>58</v>
      </c>
      <c r="AD533" s="18" t="n">
        <f aca="false">IF(G533&lt;&gt;"TAK",0,IF(OR(E533="ZAKUP",E533="PRODUKCJA"),AA533,IF(OR(E533="SPRZEDAŻ",E533="ZUŻYCIE"),-AA533,0)))</f>
        <v>19.14</v>
      </c>
      <c r="AE533" s="19" t="n">
        <f aca="false">IF(E533="ZAKUP",IF(L533&lt;&gt;"",L533,IF(K533&lt;&gt;"",Z533*K533,0)),0)</f>
        <v>0</v>
      </c>
      <c r="AF533" s="19" t="n">
        <f aca="false">IF(E533="SPRZEDAŻ",IF(M533&lt;&gt;"",Z533*M533,0),0)</f>
        <v>0</v>
      </c>
      <c r="AG533" s="19" t="str">
        <f aca="false">IF(R533="","",IF(LOWER(R533)="brak","Brak",IF(OR(ISNUMBER(SEARCH("ric pl",LOWER(R533))),ISNUMBER(SEARCH("wojciechowski",LOWER(R533)))),"Własny","Zewnętrzny")))</f>
        <v/>
      </c>
      <c r="AH533" s="19" t="n">
        <f aca="false">Z533*Q533</f>
        <v>580</v>
      </c>
      <c r="AI533" s="19" t="str">
        <f aca="false">UPPER(TEXT(C533,"mmmm"))</f>
        <v>AUGUST</v>
      </c>
      <c r="AJ533" s="19" t="str">
        <f aca="false">IF(C533="","",TEXT(C533,"rrrr"))</f>
        <v>CE5786CE5786</v>
      </c>
      <c r="AK533" s="10"/>
      <c r="AL533" s="11" t="n">
        <v>0</v>
      </c>
      <c r="AM533" s="10" t="s">
        <v>970</v>
      </c>
      <c r="AN533" s="10" t="s">
        <v>59</v>
      </c>
      <c r="AO533" s="10"/>
      <c r="AP533" s="10"/>
      <c r="AQ533" s="10"/>
      <c r="AR533" s="10" t="s">
        <v>66</v>
      </c>
      <c r="AS533" s="10"/>
      <c r="AT533" s="15" t="n">
        <v>1</v>
      </c>
    </row>
    <row r="534" customFormat="false" ht="28.5" hidden="false" customHeight="true" outlineLevel="0" collapsed="false">
      <c r="A534" s="12" t="n">
        <v>46261</v>
      </c>
      <c r="B534" s="47"/>
      <c r="C534" s="12" t="n">
        <v>46261</v>
      </c>
      <c r="D534" s="10" t="s">
        <v>54</v>
      </c>
      <c r="E534" s="10" t="s">
        <v>79</v>
      </c>
      <c r="F534" s="13" t="s">
        <v>969</v>
      </c>
      <c r="G534" s="14" t="s">
        <v>49</v>
      </c>
      <c r="H534" s="10" t="s">
        <v>50</v>
      </c>
      <c r="I534" s="15" t="n">
        <v>58</v>
      </c>
      <c r="J534" s="10" t="s">
        <v>51</v>
      </c>
      <c r="K534" s="15" t="n">
        <v>0</v>
      </c>
      <c r="L534" s="11" t="n">
        <v>0</v>
      </c>
      <c r="M534" s="11" t="n">
        <v>0</v>
      </c>
      <c r="N534" s="10" t="s">
        <v>52</v>
      </c>
      <c r="O534" s="10" t="s">
        <v>67</v>
      </c>
      <c r="P534" s="10" t="s">
        <v>53</v>
      </c>
      <c r="Q534" s="16" t="n">
        <v>10</v>
      </c>
      <c r="R534" s="10"/>
      <c r="S534" s="10"/>
      <c r="T534" s="10" t="n">
        <v>0</v>
      </c>
      <c r="U534" s="11" t="n">
        <f aca="false">IF(E534="TRANSPORT",IF(T534="","",T534*5),IF(AL534="","",AL534))</f>
        <v>0</v>
      </c>
      <c r="V534" s="10" t="s">
        <v>54</v>
      </c>
      <c r="W534" s="15" t="s">
        <v>260</v>
      </c>
      <c r="X534" s="15"/>
      <c r="Y534" s="17" t="n">
        <v>46266.267337963</v>
      </c>
      <c r="Z534" s="18" t="n">
        <f aca="false">IF(I534="",0,IF(ISNUMBER(SEARCH("mp",LOWER(J534))),I534,IF(ISNUMBER(SEARCH("ton",LOWER(J534))),I534/0.33,IF(ISNUMBER(SEARCH("m3",LOWER(J534))),I534*4,I534))))</f>
        <v>58</v>
      </c>
      <c r="AA534" s="18" t="n">
        <f aca="false">IF(I534="",0,IF(ISNUMBER(SEARCH("mp",LOWER(J534))),I534*0.33,IF(ISNUMBER(SEARCH("ton",LOWER(J534))),I534,I534*0.33)))</f>
        <v>19.14</v>
      </c>
      <c r="AB534" s="18" t="n">
        <f aca="false">Tabela_dane[[#This Row],[Wolumen_t]]*8.5</f>
        <v>162.69</v>
      </c>
      <c r="AC534" s="18" t="n">
        <f aca="false">IF(G534&lt;&gt;"TAK",0,IF(OR(E534="ZAKUP",E534="PRODUKCJA"),Z534,IF(OR(E534="SPRZEDAŻ",E534="ZUŻYCIE"),-Z534,0)))</f>
        <v>-58</v>
      </c>
      <c r="AD534" s="18" t="n">
        <f aca="false">IF(G534&lt;&gt;"TAK",0,IF(OR(E534="ZAKUP",E534="PRODUKCJA"),AA534,IF(OR(E534="SPRZEDAŻ",E534="ZUŻYCIE"),-AA534,0)))</f>
        <v>-19.14</v>
      </c>
      <c r="AE534" s="19" t="n">
        <f aca="false">IF(E534="ZAKUP",IF(L534&lt;&gt;"",L534,IF(K534&lt;&gt;"",Z534*K534,0)),0)</f>
        <v>0</v>
      </c>
      <c r="AF534" s="19" t="n">
        <f aca="false">IF(E534="SPRZEDAŻ",IF(M534&lt;&gt;"",Z534*M534,0),0)</f>
        <v>0</v>
      </c>
      <c r="AG534" s="19" t="str">
        <f aca="false">IF(R534="","",IF(LOWER(R534)="brak","Brak",IF(OR(ISNUMBER(SEARCH("ric pl",LOWER(R534))),ISNUMBER(SEARCH("wojciechowski",LOWER(R534)))),"Własny","Zewnętrzny")))</f>
        <v/>
      </c>
      <c r="AH534" s="19" t="n">
        <f aca="false">Z534*Q534</f>
        <v>580</v>
      </c>
      <c r="AI534" s="19" t="str">
        <f aca="false">UPPER(TEXT(C534,"mmmm"))</f>
        <v>AUGUST</v>
      </c>
      <c r="AJ534" s="19" t="str">
        <f aca="false">IF(C534="","",TEXT(C534,"rrrr"))</f>
        <v>CE5786CE5786</v>
      </c>
      <c r="AK534" s="10"/>
      <c r="AL534" s="11" t="n">
        <v>0</v>
      </c>
      <c r="AM534" s="10" t="s">
        <v>970</v>
      </c>
      <c r="AN534" s="10" t="s">
        <v>59</v>
      </c>
      <c r="AO534" s="10"/>
      <c r="AP534" s="10"/>
      <c r="AQ534" s="10"/>
      <c r="AR534" s="10" t="s">
        <v>81</v>
      </c>
      <c r="AS534" s="10"/>
      <c r="AT534" s="15" t="n">
        <v>1</v>
      </c>
    </row>
    <row r="535" customFormat="false" ht="28.5" hidden="false" customHeight="true" outlineLevel="0" collapsed="false">
      <c r="A535" s="12" t="n">
        <v>46261</v>
      </c>
      <c r="B535" s="47" t="s">
        <v>950</v>
      </c>
      <c r="C535" s="12" t="n">
        <v>46261</v>
      </c>
      <c r="D535" s="10" t="s">
        <v>54</v>
      </c>
      <c r="E535" s="10" t="s">
        <v>63</v>
      </c>
      <c r="F535" s="13" t="s">
        <v>969</v>
      </c>
      <c r="G535" s="14" t="s">
        <v>49</v>
      </c>
      <c r="H535" s="10" t="s">
        <v>50</v>
      </c>
      <c r="I535" s="15" t="n">
        <v>58</v>
      </c>
      <c r="J535" s="10" t="s">
        <v>51</v>
      </c>
      <c r="K535" s="15" t="n">
        <v>0</v>
      </c>
      <c r="L535" s="11" t="n">
        <v>0</v>
      </c>
      <c r="M535" s="11" t="n">
        <v>0</v>
      </c>
      <c r="N535" s="10" t="s">
        <v>52</v>
      </c>
      <c r="O535" s="10" t="s">
        <v>67</v>
      </c>
      <c r="P535" s="10"/>
      <c r="Q535" s="16" t="n">
        <v>0</v>
      </c>
      <c r="R535" s="10" t="s">
        <v>46</v>
      </c>
      <c r="S535" s="10" t="s">
        <v>851</v>
      </c>
      <c r="T535" s="10" t="n">
        <v>120</v>
      </c>
      <c r="U535" s="11" t="n">
        <f aca="false">IF(E535="TRANSPORT",IF(T535="","",T535*5),IF(AL535="","",AL535))</f>
        <v>600</v>
      </c>
      <c r="V535" s="10" t="s">
        <v>54</v>
      </c>
      <c r="W535" s="15" t="s">
        <v>70</v>
      </c>
      <c r="X535" s="15"/>
      <c r="Y535" s="17" t="n">
        <v>46266.2683912037</v>
      </c>
      <c r="Z535" s="18" t="n">
        <f aca="false">IF(I535="",0,IF(ISNUMBER(SEARCH("mp",LOWER(J535))),I535,IF(ISNUMBER(SEARCH("ton",LOWER(J535))),I535/0.33,IF(ISNUMBER(SEARCH("m3",LOWER(J535))),I535*4,I535))))</f>
        <v>58</v>
      </c>
      <c r="AA535" s="18" t="n">
        <f aca="false">IF(I535="",0,IF(ISNUMBER(SEARCH("mp",LOWER(J535))),I535*0.33,IF(ISNUMBER(SEARCH("ton",LOWER(J535))),I535,I535*0.33)))</f>
        <v>19.14</v>
      </c>
      <c r="AB535" s="18" t="n">
        <f aca="false">Tabela_dane[[#This Row],[Wolumen_t]]*8.5</f>
        <v>162.69</v>
      </c>
      <c r="AC535" s="18" t="n">
        <f aca="false">IF(G535&lt;&gt;"TAK",0,IF(OR(E535="ZAKUP",E535="PRODUKCJA"),Z535,IF(OR(E535="SPRZEDAŻ",E535="ZUŻYCIE"),-Z535,0)))</f>
        <v>58</v>
      </c>
      <c r="AD535" s="18" t="n">
        <f aca="false">IF(G535&lt;&gt;"TAK",0,IF(OR(E535="ZAKUP",E535="PRODUKCJA"),AA535,IF(OR(E535="SPRZEDAŻ",E535="ZUŻYCIE"),-AA535,0)))</f>
        <v>19.14</v>
      </c>
      <c r="AE535" s="19" t="n">
        <f aca="false">IF(E535="ZAKUP",IF(L535&lt;&gt;"",L535,IF(K535&lt;&gt;"",Z535*K535,0)),0)</f>
        <v>0</v>
      </c>
      <c r="AF535" s="19" t="n">
        <f aca="false">IF(E535="SPRZEDAŻ",IF(M535&lt;&gt;"",Z535*M535,0),0)</f>
        <v>0</v>
      </c>
      <c r="AG535" s="19" t="str">
        <f aca="false">IF(R535="","",IF(LOWER(R535)="brak","Brak",IF(OR(ISNUMBER(SEARCH("ric pl",LOWER(R535))),ISNUMBER(SEARCH("wojciechowski",LOWER(R535)))),"Własny","Zewnętrzny")))</f>
        <v>Zewnętrzny</v>
      </c>
      <c r="AH535" s="19" t="n">
        <f aca="false">Z535*Q535</f>
        <v>0</v>
      </c>
      <c r="AI535" s="19" t="str">
        <f aca="false">UPPER(TEXT(C535,"mmmm"))</f>
        <v>AUGUST</v>
      </c>
      <c r="AJ535" s="19" t="str">
        <f aca="false">IF(C535="","",TEXT(C535,"rrrr"))</f>
        <v>CE5786CE5786</v>
      </c>
      <c r="AK535" s="10"/>
      <c r="AL535" s="11" t="n">
        <v>600</v>
      </c>
      <c r="AM535" s="10" t="s">
        <v>971</v>
      </c>
      <c r="AN535" s="10" t="s">
        <v>49</v>
      </c>
      <c r="AO535" s="10"/>
      <c r="AP535" s="10"/>
      <c r="AQ535" s="10"/>
      <c r="AR535" s="10" t="s">
        <v>66</v>
      </c>
      <c r="AS535" s="10"/>
      <c r="AT535" s="15" t="n">
        <v>1</v>
      </c>
    </row>
    <row r="536" customFormat="false" ht="28.5" hidden="false" customHeight="true" outlineLevel="0" collapsed="false">
      <c r="A536" s="12" t="n">
        <v>46261</v>
      </c>
      <c r="B536" s="47"/>
      <c r="C536" s="12" t="n">
        <v>46261</v>
      </c>
      <c r="D536" s="10" t="s">
        <v>945</v>
      </c>
      <c r="E536" s="10" t="s">
        <v>63</v>
      </c>
      <c r="F536" s="46" t="s">
        <v>972</v>
      </c>
      <c r="G536" s="14" t="s">
        <v>49</v>
      </c>
      <c r="H536" s="10" t="s">
        <v>50</v>
      </c>
      <c r="I536" s="15" t="n">
        <v>15.65</v>
      </c>
      <c r="J536" s="10" t="s">
        <v>77</v>
      </c>
      <c r="K536" s="15" t="n">
        <v>0</v>
      </c>
      <c r="L536" s="11" t="n">
        <v>0</v>
      </c>
      <c r="M536" s="11" t="n">
        <v>0</v>
      </c>
      <c r="N536" s="10" t="s">
        <v>64</v>
      </c>
      <c r="O536" s="10"/>
      <c r="P536" s="10"/>
      <c r="Q536" s="16" t="n">
        <v>0</v>
      </c>
      <c r="R536" s="10"/>
      <c r="S536" s="10"/>
      <c r="T536" s="10" t="n">
        <v>0</v>
      </c>
      <c r="U536" s="11" t="n">
        <f aca="false">IF(E536="TRANSPORT",IF(T536="","",T536*5),IF(AL536="","",AL536))</f>
        <v>0</v>
      </c>
      <c r="V536" s="10" t="s">
        <v>54</v>
      </c>
      <c r="W536" s="15" t="s">
        <v>65</v>
      </c>
      <c r="X536" s="15"/>
      <c r="Y536" s="17" t="n">
        <v>46266.2701273148</v>
      </c>
      <c r="Z536" s="18" t="n">
        <f aca="false">IF(I536="",0,IF(ISNUMBER(SEARCH("mp",LOWER(J536))),I536,IF(ISNUMBER(SEARCH("ton",LOWER(J536))),I536/0.33,IF(ISNUMBER(SEARCH("m3",LOWER(J536))),I536*4,I536))))</f>
        <v>62.6</v>
      </c>
      <c r="AA536" s="18" t="n">
        <f aca="false">IF(I536="",0,IF(ISNUMBER(SEARCH("mp",LOWER(J536))),I536*0.33,IF(ISNUMBER(SEARCH("ton",LOWER(J536))),I536,I536*0.33)))</f>
        <v>5.1645</v>
      </c>
      <c r="AB536" s="18" t="n">
        <f aca="false">Tabela_dane[[#This Row],[Wolumen_t]]*8.5</f>
        <v>43.89825</v>
      </c>
      <c r="AC536" s="18" t="n">
        <f aca="false">IF(G536&lt;&gt;"TAK",0,IF(OR(E536="ZAKUP",E536="PRODUKCJA"),Z536,IF(OR(E536="SPRZEDAŻ",E536="ZUŻYCIE"),-Z536,0)))</f>
        <v>62.6</v>
      </c>
      <c r="AD536" s="18" t="n">
        <f aca="false">IF(G536&lt;&gt;"TAK",0,IF(OR(E536="ZAKUP",E536="PRODUKCJA"),AA536,IF(OR(E536="SPRZEDAŻ",E536="ZUŻYCIE"),-AA536,0)))</f>
        <v>5.1645</v>
      </c>
      <c r="AE536" s="19" t="n">
        <f aca="false">IF(E536="ZAKUP",IF(L536&lt;&gt;"",L536,IF(K536&lt;&gt;"",Z536*K536,0)),0)</f>
        <v>0</v>
      </c>
      <c r="AF536" s="19" t="n">
        <f aca="false">IF(E536="SPRZEDAŻ",IF(M536&lt;&gt;"",Z536*M536,0),0)</f>
        <v>0</v>
      </c>
      <c r="AG536" s="19" t="str">
        <f aca="false">IF(R536="","",IF(LOWER(R536)="brak","Brak",IF(OR(ISNUMBER(SEARCH("ric pl",LOWER(R536))),ISNUMBER(SEARCH("wojciechowski",LOWER(R536)))),"Własny","Zewnętrzny")))</f>
        <v/>
      </c>
      <c r="AH536" s="19" t="n">
        <f aca="false">Z536*Q536</f>
        <v>0</v>
      </c>
      <c r="AI536" s="19" t="str">
        <f aca="false">UPPER(TEXT(C536,"mmmm"))</f>
        <v>AUGUST</v>
      </c>
      <c r="AJ536" s="19" t="str">
        <f aca="false">IF(C536="","",TEXT(C536,"rrrr"))</f>
        <v>CE5786CE5786</v>
      </c>
      <c r="AK536" s="10"/>
      <c r="AL536" s="11" t="n">
        <v>0</v>
      </c>
      <c r="AM536" s="10" t="s">
        <v>973</v>
      </c>
      <c r="AN536" s="10" t="s">
        <v>59</v>
      </c>
      <c r="AO536" s="10"/>
      <c r="AP536" s="10"/>
      <c r="AQ536" s="10"/>
      <c r="AR536" s="10" t="s">
        <v>66</v>
      </c>
      <c r="AS536" s="10"/>
      <c r="AT536" s="15" t="n">
        <v>1</v>
      </c>
    </row>
    <row r="537" customFormat="false" ht="28.5" hidden="false" customHeight="true" outlineLevel="0" collapsed="false">
      <c r="A537" s="12" t="n">
        <v>46261</v>
      </c>
      <c r="B537" s="47"/>
      <c r="C537" s="12" t="n">
        <v>46261</v>
      </c>
      <c r="D537" s="10" t="s">
        <v>54</v>
      </c>
      <c r="E537" s="10" t="s">
        <v>47</v>
      </c>
      <c r="F537" s="13" t="s">
        <v>974</v>
      </c>
      <c r="G537" s="14" t="s">
        <v>49</v>
      </c>
      <c r="H537" s="10" t="s">
        <v>50</v>
      </c>
      <c r="I537" s="15" t="n">
        <v>62.6</v>
      </c>
      <c r="J537" s="10" t="s">
        <v>51</v>
      </c>
      <c r="K537" s="15" t="n">
        <v>0</v>
      </c>
      <c r="L537" s="11" t="n">
        <v>0</v>
      </c>
      <c r="M537" s="11" t="n">
        <v>0</v>
      </c>
      <c r="N537" s="10" t="s">
        <v>52</v>
      </c>
      <c r="O537" s="10" t="s">
        <v>67</v>
      </c>
      <c r="P537" s="10" t="s">
        <v>53</v>
      </c>
      <c r="Q537" s="16" t="n">
        <v>10</v>
      </c>
      <c r="R537" s="10"/>
      <c r="S537" s="10"/>
      <c r="T537" s="10" t="n">
        <v>0</v>
      </c>
      <c r="U537" s="11" t="n">
        <f aca="false">IF(E537="TRANSPORT",IF(T537="","",T537*5),IF(AL537="","",AL537))</f>
        <v>0</v>
      </c>
      <c r="V537" s="10" t="s">
        <v>54</v>
      </c>
      <c r="W537" s="15" t="s">
        <v>65</v>
      </c>
      <c r="X537" s="15"/>
      <c r="Y537" s="17" t="n">
        <v>46266.2706365741</v>
      </c>
      <c r="Z537" s="18" t="n">
        <f aca="false">IF(I537="",0,IF(ISNUMBER(SEARCH("mp",LOWER(J537))),I537,IF(ISNUMBER(SEARCH("ton",LOWER(J537))),I537/0.33,IF(ISNUMBER(SEARCH("m3",LOWER(J537))),I537*4,I537))))</f>
        <v>62.6</v>
      </c>
      <c r="AA537" s="18" t="n">
        <f aca="false">IF(I537="",0,IF(ISNUMBER(SEARCH("mp",LOWER(J537))),I537*0.33,IF(ISNUMBER(SEARCH("ton",LOWER(J537))),I537,I537*0.33)))</f>
        <v>20.658</v>
      </c>
      <c r="AB537" s="18" t="n">
        <f aca="false">Tabela_dane[[#This Row],[Wolumen_t]]*8.5</f>
        <v>175.593</v>
      </c>
      <c r="AC537" s="18" t="n">
        <f aca="false">IF(G537&lt;&gt;"TAK",0,IF(OR(E537="ZAKUP",E537="PRODUKCJA"),Z537,IF(OR(E537="SPRZEDAŻ",E537="ZUŻYCIE"),-Z537,0)))</f>
        <v>62.6</v>
      </c>
      <c r="AD537" s="18" t="n">
        <f aca="false">IF(G537&lt;&gt;"TAK",0,IF(OR(E537="ZAKUP",E537="PRODUKCJA"),AA537,IF(OR(E537="SPRZEDAŻ",E537="ZUŻYCIE"),-AA537,0)))</f>
        <v>20.658</v>
      </c>
      <c r="AE537" s="19" t="n">
        <f aca="false">IF(E537="ZAKUP",IF(L537&lt;&gt;"",L537,IF(K537&lt;&gt;"",Z537*K537,0)),0)</f>
        <v>0</v>
      </c>
      <c r="AF537" s="19" t="n">
        <f aca="false">IF(E537="SPRZEDAŻ",IF(M537&lt;&gt;"",Z537*M537,0),0)</f>
        <v>0</v>
      </c>
      <c r="AG537" s="19" t="str">
        <f aca="false">IF(R537="","",IF(LOWER(R537)="brak","Brak",IF(OR(ISNUMBER(SEARCH("ric pl",LOWER(R537))),ISNUMBER(SEARCH("wojciechowski",LOWER(R537)))),"Własny","Zewnętrzny")))</f>
        <v/>
      </c>
      <c r="AH537" s="19" t="n">
        <f aca="false">Z537*Q537</f>
        <v>626</v>
      </c>
      <c r="AI537" s="19" t="str">
        <f aca="false">UPPER(TEXT(C537,"mmmm"))</f>
        <v>AUGUST</v>
      </c>
      <c r="AJ537" s="19" t="str">
        <f aca="false">IF(C537="","",TEXT(C537,"rrrr"))</f>
        <v>CE5786CE5786</v>
      </c>
      <c r="AK537" s="10"/>
      <c r="AL537" s="11" t="n">
        <v>0</v>
      </c>
      <c r="AM537" s="10" t="s">
        <v>975</v>
      </c>
      <c r="AN537" s="10" t="s">
        <v>59</v>
      </c>
      <c r="AO537" s="10"/>
      <c r="AP537" s="10"/>
      <c r="AQ537" s="10"/>
      <c r="AR537" s="10" t="s">
        <v>66</v>
      </c>
      <c r="AS537" s="10"/>
      <c r="AT537" s="15" t="n">
        <v>1</v>
      </c>
    </row>
    <row r="538" customFormat="false" ht="28.5" hidden="false" customHeight="true" outlineLevel="0" collapsed="false">
      <c r="A538" s="12" t="n">
        <v>46261</v>
      </c>
      <c r="B538" s="47"/>
      <c r="C538" s="12" t="n">
        <v>46261</v>
      </c>
      <c r="D538" s="10" t="s">
        <v>54</v>
      </c>
      <c r="E538" s="10" t="s">
        <v>79</v>
      </c>
      <c r="F538" s="13" t="s">
        <v>974</v>
      </c>
      <c r="G538" s="14" t="s">
        <v>49</v>
      </c>
      <c r="H538" s="10" t="s">
        <v>50</v>
      </c>
      <c r="I538" s="15" t="n">
        <v>62.6</v>
      </c>
      <c r="J538" s="10" t="s">
        <v>51</v>
      </c>
      <c r="K538" s="15" t="n">
        <v>0</v>
      </c>
      <c r="L538" s="11" t="n">
        <v>0</v>
      </c>
      <c r="M538" s="11" t="n">
        <v>0</v>
      </c>
      <c r="N538" s="10" t="s">
        <v>52</v>
      </c>
      <c r="O538" s="10" t="s">
        <v>67</v>
      </c>
      <c r="P538" s="10" t="s">
        <v>53</v>
      </c>
      <c r="Q538" s="16" t="n">
        <v>10</v>
      </c>
      <c r="R538" s="10"/>
      <c r="S538" s="10"/>
      <c r="T538" s="10" t="n">
        <v>0</v>
      </c>
      <c r="U538" s="11" t="n">
        <f aca="false">IF(E538="TRANSPORT",IF(T538="","",T538*5),IF(AL538="","",AL538))</f>
        <v>0</v>
      </c>
      <c r="V538" s="10" t="s">
        <v>54</v>
      </c>
      <c r="W538" s="15" t="s">
        <v>260</v>
      </c>
      <c r="X538" s="15"/>
      <c r="Y538" s="17" t="n">
        <v>46266.2706365741</v>
      </c>
      <c r="Z538" s="18" t="n">
        <f aca="false">IF(I538="",0,IF(ISNUMBER(SEARCH("mp",LOWER(J538))),I538,IF(ISNUMBER(SEARCH("ton",LOWER(J538))),I538/0.33,IF(ISNUMBER(SEARCH("m3",LOWER(J538))),I538*4,I538))))</f>
        <v>62.6</v>
      </c>
      <c r="AA538" s="18" t="n">
        <f aca="false">IF(I538="",0,IF(ISNUMBER(SEARCH("mp",LOWER(J538))),I538*0.33,IF(ISNUMBER(SEARCH("ton",LOWER(J538))),I538,I538*0.33)))</f>
        <v>20.658</v>
      </c>
      <c r="AB538" s="18" t="n">
        <f aca="false">Tabela_dane[[#This Row],[Wolumen_t]]*8.5</f>
        <v>175.593</v>
      </c>
      <c r="AC538" s="18" t="n">
        <f aca="false">IF(G538&lt;&gt;"TAK",0,IF(OR(E538="ZAKUP",E538="PRODUKCJA"),Z538,IF(OR(E538="SPRZEDAŻ",E538="ZUŻYCIE"),-Z538,0)))</f>
        <v>-62.6</v>
      </c>
      <c r="AD538" s="18" t="n">
        <f aca="false">IF(G538&lt;&gt;"TAK",0,IF(OR(E538="ZAKUP",E538="PRODUKCJA"),AA538,IF(OR(E538="SPRZEDAŻ",E538="ZUŻYCIE"),-AA538,0)))</f>
        <v>-20.658</v>
      </c>
      <c r="AE538" s="19" t="n">
        <f aca="false">IF(E538="ZAKUP",IF(L538&lt;&gt;"",L538,IF(K538&lt;&gt;"",Z538*K538,0)),0)</f>
        <v>0</v>
      </c>
      <c r="AF538" s="19" t="n">
        <f aca="false">IF(E538="SPRZEDAŻ",IF(M538&lt;&gt;"",Z538*M538,0),0)</f>
        <v>0</v>
      </c>
      <c r="AG538" s="19" t="str">
        <f aca="false">IF(R538="","",IF(LOWER(R538)="brak","Brak",IF(OR(ISNUMBER(SEARCH("ric pl",LOWER(R538))),ISNUMBER(SEARCH("wojciechowski",LOWER(R538)))),"Własny","Zewnętrzny")))</f>
        <v/>
      </c>
      <c r="AH538" s="19" t="n">
        <f aca="false">Z538*Q538</f>
        <v>626</v>
      </c>
      <c r="AI538" s="19" t="str">
        <f aca="false">UPPER(TEXT(C538,"mmmm"))</f>
        <v>AUGUST</v>
      </c>
      <c r="AJ538" s="19" t="str">
        <f aca="false">IF(C538="","",TEXT(C538,"rrrr"))</f>
        <v>CE5786CE5786</v>
      </c>
      <c r="AK538" s="10"/>
      <c r="AL538" s="11" t="n">
        <v>0</v>
      </c>
      <c r="AM538" s="10" t="s">
        <v>975</v>
      </c>
      <c r="AN538" s="10" t="s">
        <v>59</v>
      </c>
      <c r="AO538" s="10"/>
      <c r="AP538" s="10"/>
      <c r="AQ538" s="10"/>
      <c r="AR538" s="10" t="s">
        <v>81</v>
      </c>
      <c r="AS538" s="10"/>
      <c r="AT538" s="15" t="n">
        <v>1</v>
      </c>
    </row>
    <row r="539" customFormat="false" ht="28.5" hidden="false" customHeight="true" outlineLevel="0" collapsed="false">
      <c r="A539" s="12" t="n">
        <v>46261</v>
      </c>
      <c r="B539" s="47" t="s">
        <v>950</v>
      </c>
      <c r="C539" s="12" t="n">
        <v>46261</v>
      </c>
      <c r="D539" s="10" t="s">
        <v>54</v>
      </c>
      <c r="E539" s="10" t="s">
        <v>63</v>
      </c>
      <c r="F539" s="13" t="s">
        <v>974</v>
      </c>
      <c r="G539" s="14" t="s">
        <v>49</v>
      </c>
      <c r="H539" s="10" t="s">
        <v>50</v>
      </c>
      <c r="I539" s="15" t="n">
        <v>62.6</v>
      </c>
      <c r="J539" s="10" t="s">
        <v>51</v>
      </c>
      <c r="K539" s="15" t="n">
        <v>0</v>
      </c>
      <c r="L539" s="11" t="n">
        <v>0</v>
      </c>
      <c r="M539" s="11" t="n">
        <v>0</v>
      </c>
      <c r="N539" s="10" t="s">
        <v>52</v>
      </c>
      <c r="O539" s="10" t="s">
        <v>67</v>
      </c>
      <c r="P539" s="10"/>
      <c r="Q539" s="16" t="n">
        <v>0</v>
      </c>
      <c r="R539" s="10" t="s">
        <v>46</v>
      </c>
      <c r="S539" s="10" t="s">
        <v>851</v>
      </c>
      <c r="T539" s="10" t="n">
        <v>120</v>
      </c>
      <c r="U539" s="11" t="n">
        <f aca="false">IF(E539="TRANSPORT",IF(T539="","",T539*5),IF(AL539="","",AL539))</f>
        <v>600</v>
      </c>
      <c r="V539" s="10" t="s">
        <v>54</v>
      </c>
      <c r="W539" s="15" t="s">
        <v>65</v>
      </c>
      <c r="X539" s="15"/>
      <c r="Y539" s="17" t="n">
        <v>46266.2714583333</v>
      </c>
      <c r="Z539" s="18" t="n">
        <f aca="false">IF(I539="",0,IF(ISNUMBER(SEARCH("mp",LOWER(J539))),I539,IF(ISNUMBER(SEARCH("ton",LOWER(J539))),I539/0.33,IF(ISNUMBER(SEARCH("m3",LOWER(J539))),I539*4,I539))))</f>
        <v>62.6</v>
      </c>
      <c r="AA539" s="18" t="n">
        <f aca="false">IF(I539="",0,IF(ISNUMBER(SEARCH("mp",LOWER(J539))),I539*0.33,IF(ISNUMBER(SEARCH("ton",LOWER(J539))),I539,I539*0.33)))</f>
        <v>20.658</v>
      </c>
      <c r="AB539" s="18" t="n">
        <f aca="false">Tabela_dane[[#This Row],[Wolumen_t]]*8.5</f>
        <v>175.593</v>
      </c>
      <c r="AC539" s="18" t="n">
        <f aca="false">IF(G539&lt;&gt;"TAK",0,IF(OR(E539="ZAKUP",E539="PRODUKCJA"),Z539,IF(OR(E539="SPRZEDAŻ",E539="ZUŻYCIE"),-Z539,0)))</f>
        <v>62.6</v>
      </c>
      <c r="AD539" s="18" t="n">
        <f aca="false">IF(G539&lt;&gt;"TAK",0,IF(OR(E539="ZAKUP",E539="PRODUKCJA"),AA539,IF(OR(E539="SPRZEDAŻ",E539="ZUŻYCIE"),-AA539,0)))</f>
        <v>20.658</v>
      </c>
      <c r="AE539" s="19" t="n">
        <f aca="false">IF(E539="ZAKUP",IF(L539&lt;&gt;"",L539,IF(K539&lt;&gt;"",Z539*K539,0)),0)</f>
        <v>0</v>
      </c>
      <c r="AF539" s="19" t="n">
        <f aca="false">IF(E539="SPRZEDAŻ",IF(M539&lt;&gt;"",Z539*M539,0),0)</f>
        <v>0</v>
      </c>
      <c r="AG539" s="19" t="str">
        <f aca="false">IF(R539="","",IF(LOWER(R539)="brak","Brak",IF(OR(ISNUMBER(SEARCH("ric pl",LOWER(R539))),ISNUMBER(SEARCH("wojciechowski",LOWER(R539)))),"Własny","Zewnętrzny")))</f>
        <v>Zewnętrzny</v>
      </c>
      <c r="AH539" s="19" t="n">
        <f aca="false">Z539*Q539</f>
        <v>0</v>
      </c>
      <c r="AI539" s="19" t="str">
        <f aca="false">UPPER(TEXT(C539,"mmmm"))</f>
        <v>AUGUST</v>
      </c>
      <c r="AJ539" s="19" t="str">
        <f aca="false">IF(C539="","",TEXT(C539,"rrrr"))</f>
        <v>CE5786CE5786</v>
      </c>
      <c r="AK539" s="10"/>
      <c r="AL539" s="11" t="n">
        <v>600</v>
      </c>
      <c r="AM539" s="10" t="s">
        <v>976</v>
      </c>
      <c r="AN539" s="10" t="s">
        <v>49</v>
      </c>
      <c r="AO539" s="10"/>
      <c r="AP539" s="10"/>
      <c r="AQ539" s="10"/>
      <c r="AR539" s="10" t="s">
        <v>66</v>
      </c>
      <c r="AS539" s="10"/>
      <c r="AT539" s="15" t="n">
        <v>1</v>
      </c>
    </row>
    <row r="540" customFormat="false" ht="28.5" hidden="false" customHeight="true" outlineLevel="0" collapsed="false">
      <c r="A540" s="12" t="n">
        <v>46262</v>
      </c>
      <c r="B540" s="12" t="s">
        <v>950</v>
      </c>
      <c r="C540" s="12" t="n">
        <v>46262</v>
      </c>
      <c r="D540" s="10" t="s">
        <v>54</v>
      </c>
      <c r="E540" s="10" t="s">
        <v>63</v>
      </c>
      <c r="F540" s="13" t="s">
        <v>977</v>
      </c>
      <c r="G540" s="14" t="s">
        <v>49</v>
      </c>
      <c r="H540" s="10" t="s">
        <v>50</v>
      </c>
      <c r="I540" s="15" t="n">
        <v>73.2</v>
      </c>
      <c r="J540" s="10" t="s">
        <v>51</v>
      </c>
      <c r="K540" s="15" t="n">
        <v>0</v>
      </c>
      <c r="L540" s="11" t="n">
        <v>0</v>
      </c>
      <c r="M540" s="11" t="n">
        <v>0</v>
      </c>
      <c r="N540" s="10" t="s">
        <v>52</v>
      </c>
      <c r="O540" s="10" t="s">
        <v>67</v>
      </c>
      <c r="P540" s="10"/>
      <c r="Q540" s="16" t="n">
        <v>0</v>
      </c>
      <c r="R540" s="10" t="s">
        <v>68</v>
      </c>
      <c r="S540" s="10" t="s">
        <v>95</v>
      </c>
      <c r="T540" s="10" t="n">
        <v>120</v>
      </c>
      <c r="U540" s="11" t="n">
        <f aca="false">IF(E540="TRANSPORT",IF(T540="","",T540*5),IF(AL540="","",AL540))</f>
        <v>600</v>
      </c>
      <c r="V540" s="10" t="s">
        <v>54</v>
      </c>
      <c r="W540" s="15" t="s">
        <v>65</v>
      </c>
      <c r="X540" s="15"/>
      <c r="Y540" s="17" t="n">
        <v>46265.4040972222</v>
      </c>
      <c r="Z540" s="18" t="n">
        <f aca="false">IF(I540="",0,IF(ISNUMBER(SEARCH("mp",LOWER(J540))),I540,IF(ISNUMBER(SEARCH("ton",LOWER(J540))),I540/0.33,IF(ISNUMBER(SEARCH("m3",LOWER(J540))),I540*4,I540))))</f>
        <v>73.2</v>
      </c>
      <c r="AA540" s="18" t="n">
        <f aca="false">IF(I540="",0,IF(ISNUMBER(SEARCH("mp",LOWER(J540))),I540*0.33,IF(ISNUMBER(SEARCH("ton",LOWER(J540))),I540,I540*0.33)))</f>
        <v>24.156</v>
      </c>
      <c r="AB540" s="18" t="n">
        <f aca="false">Tabela_dane[[#This Row],[Wolumen_t]]*8.5</f>
        <v>205.326</v>
      </c>
      <c r="AC540" s="18" t="n">
        <f aca="false">IF(G540&lt;&gt;"TAK",0,IF(OR(E540="ZAKUP",E540="PRODUKCJA"),Z540,IF(OR(E540="SPRZEDAŻ",E540="ZUŻYCIE"),-Z540,0)))</f>
        <v>73.2</v>
      </c>
      <c r="AD540" s="18" t="n">
        <f aca="false">IF(G540&lt;&gt;"TAK",0,IF(OR(E540="ZAKUP",E540="PRODUKCJA"),AA540,IF(OR(E540="SPRZEDAŻ",E540="ZUŻYCIE"),-AA540,0)))</f>
        <v>24.156</v>
      </c>
      <c r="AE540" s="19" t="n">
        <f aca="false">IF(E540="ZAKUP",IF(L540&lt;&gt;"",L540,IF(K540&lt;&gt;"",Z540*K540,0)),0)</f>
        <v>0</v>
      </c>
      <c r="AF540" s="19" t="n">
        <f aca="false">IF(E540="SPRZEDAŻ",IF(M540&lt;&gt;"",Z540*M540,0),0)</f>
        <v>0</v>
      </c>
      <c r="AG540" s="19" t="str">
        <f aca="false">IF(R540="","",IF(LOWER(R540)="brak","Brak",IF(OR(ISNUMBER(SEARCH("ric pl",LOWER(R540))),ISNUMBER(SEARCH("wojciechowski",LOWER(R540)))),"Własny","Zewnętrzny")))</f>
        <v>Zewnętrzny</v>
      </c>
      <c r="AH540" s="19" t="n">
        <f aca="false">Z540*Q540</f>
        <v>0</v>
      </c>
      <c r="AI540" s="19" t="str">
        <f aca="false">UPPER(TEXT(C540,"mmmm"))</f>
        <v>AUGUST</v>
      </c>
      <c r="AJ540" s="19" t="str">
        <f aca="false">IF(C540="","",TEXT(C540,"rrrr"))</f>
        <v>CE5786CE5786</v>
      </c>
      <c r="AK540" s="10"/>
      <c r="AL540" s="11" t="n">
        <v>600</v>
      </c>
      <c r="AM540" s="10" t="s">
        <v>978</v>
      </c>
      <c r="AN540" s="10" t="s">
        <v>49</v>
      </c>
      <c r="AO540" s="10"/>
      <c r="AP540" s="10"/>
      <c r="AQ540" s="10"/>
      <c r="AR540" s="10" t="s">
        <v>66</v>
      </c>
      <c r="AS540" s="10"/>
      <c r="AT540" s="15" t="n">
        <v>1</v>
      </c>
    </row>
    <row r="541" customFormat="false" ht="28.5" hidden="false" customHeight="true" outlineLevel="0" collapsed="false">
      <c r="A541" s="12" t="n">
        <v>46262</v>
      </c>
      <c r="B541" s="12" t="s">
        <v>950</v>
      </c>
      <c r="C541" s="12" t="n">
        <v>46262</v>
      </c>
      <c r="D541" s="10" t="s">
        <v>54</v>
      </c>
      <c r="E541" s="10" t="s">
        <v>63</v>
      </c>
      <c r="F541" s="13" t="s">
        <v>979</v>
      </c>
      <c r="G541" s="14" t="s">
        <v>49</v>
      </c>
      <c r="H541" s="10" t="s">
        <v>50</v>
      </c>
      <c r="I541" s="15" t="n">
        <v>72</v>
      </c>
      <c r="J541" s="10" t="s">
        <v>51</v>
      </c>
      <c r="K541" s="15" t="n">
        <v>0</v>
      </c>
      <c r="L541" s="11" t="n">
        <v>0</v>
      </c>
      <c r="M541" s="11" t="n">
        <v>0</v>
      </c>
      <c r="N541" s="10" t="s">
        <v>52</v>
      </c>
      <c r="O541" s="10" t="s">
        <v>67</v>
      </c>
      <c r="P541" s="10"/>
      <c r="Q541" s="16" t="n">
        <v>0</v>
      </c>
      <c r="R541" s="10" t="s">
        <v>182</v>
      </c>
      <c r="S541" s="10" t="s">
        <v>509</v>
      </c>
      <c r="T541" s="10" t="n">
        <v>120</v>
      </c>
      <c r="U541" s="11" t="n">
        <f aca="false">IF(E541="TRANSPORT",IF(T541="","",T541*5),IF(AL541="","",AL541))</f>
        <v>600</v>
      </c>
      <c r="V541" s="10" t="s">
        <v>54</v>
      </c>
      <c r="W541" s="15" t="s">
        <v>70</v>
      </c>
      <c r="X541" s="15"/>
      <c r="Y541" s="17" t="n">
        <v>46265.4064583333</v>
      </c>
      <c r="Z541" s="18" t="n">
        <f aca="false">IF(I541="",0,IF(ISNUMBER(SEARCH("mp",LOWER(J541))),I541,IF(ISNUMBER(SEARCH("ton",LOWER(J541))),I541/0.33,IF(ISNUMBER(SEARCH("m3",LOWER(J541))),I541*4,I541))))</f>
        <v>72</v>
      </c>
      <c r="AA541" s="18" t="n">
        <f aca="false">IF(I541="",0,IF(ISNUMBER(SEARCH("mp",LOWER(J541))),I541*0.33,IF(ISNUMBER(SEARCH("ton",LOWER(J541))),I541,I541*0.33)))</f>
        <v>23.76</v>
      </c>
      <c r="AB541" s="18" t="n">
        <f aca="false">Tabela_dane[[#This Row],[Wolumen_t]]*8.5</f>
        <v>201.96</v>
      </c>
      <c r="AC541" s="18" t="n">
        <f aca="false">IF(G541&lt;&gt;"TAK",0,IF(OR(E541="ZAKUP",E541="PRODUKCJA"),Z541,IF(OR(E541="SPRZEDAŻ",E541="ZUŻYCIE"),-Z541,0)))</f>
        <v>72</v>
      </c>
      <c r="AD541" s="18" t="n">
        <f aca="false">IF(G541&lt;&gt;"TAK",0,IF(OR(E541="ZAKUP",E541="PRODUKCJA"),AA541,IF(OR(E541="SPRZEDAŻ",E541="ZUŻYCIE"),-AA541,0)))</f>
        <v>23.76</v>
      </c>
      <c r="AE541" s="19" t="n">
        <f aca="false">IF(E541="ZAKUP",IF(L541&lt;&gt;"",L541,IF(K541&lt;&gt;"",Z541*K541,0)),0)</f>
        <v>0</v>
      </c>
      <c r="AF541" s="19" t="n">
        <f aca="false">IF(E541="SPRZEDAŻ",IF(M541&lt;&gt;"",Z541*M541,0),0)</f>
        <v>0</v>
      </c>
      <c r="AG541" s="19" t="str">
        <f aca="false">IF(R541="","",IF(LOWER(R541)="brak","Brak",IF(OR(ISNUMBER(SEARCH("ric pl",LOWER(R541))),ISNUMBER(SEARCH("wojciechowski",LOWER(R541)))),"Własny","Zewnętrzny")))</f>
        <v>Zewnętrzny</v>
      </c>
      <c r="AH541" s="19" t="n">
        <f aca="false">Z541*Q541</f>
        <v>0</v>
      </c>
      <c r="AI541" s="19" t="str">
        <f aca="false">UPPER(TEXT(C541,"mmmm"))</f>
        <v>AUGUST</v>
      </c>
      <c r="AJ541" s="19" t="str">
        <f aca="false">IF(C541="","",TEXT(C541,"rrrr"))</f>
        <v>CE5786CE5786</v>
      </c>
      <c r="AK541" s="10"/>
      <c r="AL541" s="11" t="n">
        <v>600</v>
      </c>
      <c r="AM541" s="10" t="s">
        <v>980</v>
      </c>
      <c r="AN541" s="10" t="s">
        <v>49</v>
      </c>
      <c r="AO541" s="10"/>
      <c r="AP541" s="10"/>
      <c r="AQ541" s="10"/>
      <c r="AR541" s="10" t="s">
        <v>66</v>
      </c>
      <c r="AS541" s="10"/>
      <c r="AT541" s="15" t="n">
        <v>1</v>
      </c>
    </row>
    <row r="542" customFormat="false" ht="28.5" hidden="false" customHeight="true" outlineLevel="0" collapsed="false">
      <c r="A542" s="12" t="n">
        <v>46262</v>
      </c>
      <c r="B542" s="12" t="s">
        <v>950</v>
      </c>
      <c r="C542" s="12" t="n">
        <v>46262</v>
      </c>
      <c r="D542" s="10" t="s">
        <v>54</v>
      </c>
      <c r="E542" s="10" t="s">
        <v>63</v>
      </c>
      <c r="F542" s="13" t="s">
        <v>981</v>
      </c>
      <c r="G542" s="14" t="s">
        <v>49</v>
      </c>
      <c r="H542" s="10" t="s">
        <v>50</v>
      </c>
      <c r="I542" s="15" t="n">
        <v>12</v>
      </c>
      <c r="J542" s="10" t="s">
        <v>51</v>
      </c>
      <c r="K542" s="15" t="n">
        <v>0</v>
      </c>
      <c r="L542" s="11" t="n">
        <v>0</v>
      </c>
      <c r="M542" s="11" t="n">
        <v>0</v>
      </c>
      <c r="N542" s="10" t="s">
        <v>52</v>
      </c>
      <c r="O542" s="10" t="s">
        <v>67</v>
      </c>
      <c r="P542" s="10"/>
      <c r="Q542" s="16" t="n">
        <v>0</v>
      </c>
      <c r="R542" s="10" t="s">
        <v>68</v>
      </c>
      <c r="S542" s="10" t="s">
        <v>95</v>
      </c>
      <c r="T542" s="10" t="n">
        <v>120</v>
      </c>
      <c r="U542" s="11" t="n">
        <f aca="false">IF(E542="TRANSPORT",IF(T542="","",T542*5),IF(AL542="","",AL542))</f>
        <v>600</v>
      </c>
      <c r="V542" s="10" t="s">
        <v>54</v>
      </c>
      <c r="W542" s="15" t="s">
        <v>70</v>
      </c>
      <c r="X542" s="15"/>
      <c r="Y542" s="17" t="n">
        <v>46265.4086921296</v>
      </c>
      <c r="Z542" s="18" t="n">
        <f aca="false">IF(I542="",0,IF(ISNUMBER(SEARCH("mp",LOWER(J542))),I542,IF(ISNUMBER(SEARCH("ton",LOWER(J542))),I542/0.33,IF(ISNUMBER(SEARCH("m3",LOWER(J542))),I542*4,I542))))</f>
        <v>12</v>
      </c>
      <c r="AA542" s="18" t="n">
        <f aca="false">IF(I542="",0,IF(ISNUMBER(SEARCH("mp",LOWER(J542))),I542*0.33,IF(ISNUMBER(SEARCH("ton",LOWER(J542))),I542,I542*0.33)))</f>
        <v>3.96</v>
      </c>
      <c r="AB542" s="18" t="n">
        <f aca="false">Tabela_dane[[#This Row],[Wolumen_t]]*8.5</f>
        <v>33.66</v>
      </c>
      <c r="AC542" s="18" t="n">
        <f aca="false">IF(G542&lt;&gt;"TAK",0,IF(OR(E542="ZAKUP",E542="PRODUKCJA"),Z542,IF(OR(E542="SPRZEDAŻ",E542="ZUŻYCIE"),-Z542,0)))</f>
        <v>12</v>
      </c>
      <c r="AD542" s="18" t="n">
        <f aca="false">IF(G542&lt;&gt;"TAK",0,IF(OR(E542="ZAKUP",E542="PRODUKCJA"),AA542,IF(OR(E542="SPRZEDAŻ",E542="ZUŻYCIE"),-AA542,0)))</f>
        <v>3.96</v>
      </c>
      <c r="AE542" s="19" t="n">
        <f aca="false">IF(E542="ZAKUP",IF(L542&lt;&gt;"",L542,IF(K542&lt;&gt;"",Z542*K542,0)),0)</f>
        <v>0</v>
      </c>
      <c r="AF542" s="19" t="n">
        <f aca="false">IF(E542="SPRZEDAŻ",IF(M542&lt;&gt;"",Z542*M542,0),0)</f>
        <v>0</v>
      </c>
      <c r="AG542" s="19" t="str">
        <f aca="false">IF(R542="","",IF(LOWER(R542)="brak","Brak",IF(OR(ISNUMBER(SEARCH("ric pl",LOWER(R542))),ISNUMBER(SEARCH("wojciechowski",LOWER(R542)))),"Własny","Zewnętrzny")))</f>
        <v>Zewnętrzny</v>
      </c>
      <c r="AH542" s="19" t="n">
        <f aca="false">Z542*Q542</f>
        <v>0</v>
      </c>
      <c r="AI542" s="19" t="str">
        <f aca="false">UPPER(TEXT(C542,"mmmm"))</f>
        <v>AUGUST</v>
      </c>
      <c r="AJ542" s="19" t="str">
        <f aca="false">IF(C542="","",TEXT(C542,"rrrr"))</f>
        <v>CE5786CE5786</v>
      </c>
      <c r="AK542" s="10"/>
      <c r="AL542" s="11" t="n">
        <v>600</v>
      </c>
      <c r="AM542" s="10" t="s">
        <v>982</v>
      </c>
      <c r="AN542" s="10" t="s">
        <v>49</v>
      </c>
      <c r="AO542" s="10"/>
      <c r="AP542" s="10"/>
      <c r="AQ542" s="10"/>
      <c r="AR542" s="10" t="s">
        <v>66</v>
      </c>
      <c r="AS542" s="10"/>
      <c r="AT542" s="15" t="n">
        <v>1</v>
      </c>
    </row>
    <row r="543" customFormat="false" ht="28.5" hidden="false" customHeight="true" outlineLevel="0" collapsed="false">
      <c r="A543" s="12" t="n">
        <v>46262</v>
      </c>
      <c r="B543" s="12"/>
      <c r="C543" s="12" t="n">
        <v>46262</v>
      </c>
      <c r="D543" s="10" t="s">
        <v>54</v>
      </c>
      <c r="E543" s="10" t="s">
        <v>47</v>
      </c>
      <c r="F543" s="13" t="s">
        <v>977</v>
      </c>
      <c r="G543" s="14" t="s">
        <v>49</v>
      </c>
      <c r="H543" s="10" t="s">
        <v>50</v>
      </c>
      <c r="I543" s="15" t="n">
        <v>73.2</v>
      </c>
      <c r="J543" s="10" t="s">
        <v>51</v>
      </c>
      <c r="K543" s="15" t="n">
        <v>0</v>
      </c>
      <c r="L543" s="11" t="n">
        <v>0</v>
      </c>
      <c r="M543" s="11" t="n">
        <v>0</v>
      </c>
      <c r="N543" s="10" t="s">
        <v>52</v>
      </c>
      <c r="O543" s="10" t="s">
        <v>67</v>
      </c>
      <c r="P543" s="10" t="s">
        <v>53</v>
      </c>
      <c r="Q543" s="16" t="n">
        <v>10</v>
      </c>
      <c r="R543" s="10"/>
      <c r="S543" s="10"/>
      <c r="T543" s="10" t="n">
        <v>0</v>
      </c>
      <c r="U543" s="11" t="n">
        <f aca="false">IF(E543="TRANSPORT",IF(T543="","",T543*5),IF(AL543="","",AL543))</f>
        <v>0</v>
      </c>
      <c r="V543" s="10" t="s">
        <v>54</v>
      </c>
      <c r="W543" s="15" t="s">
        <v>65</v>
      </c>
      <c r="X543" s="15"/>
      <c r="Y543" s="17" t="n">
        <v>46265.4033680556</v>
      </c>
      <c r="Z543" s="18" t="n">
        <f aca="false">IF(I543="",0,IF(ISNUMBER(SEARCH("mp",LOWER(J543))),I543,IF(ISNUMBER(SEARCH("ton",LOWER(J543))),I543/0.33,IF(ISNUMBER(SEARCH("m3",LOWER(J543))),I543*4,I543))))</f>
        <v>73.2</v>
      </c>
      <c r="AA543" s="18" t="n">
        <f aca="false">IF(I543="",0,IF(ISNUMBER(SEARCH("mp",LOWER(J543))),I543*0.33,IF(ISNUMBER(SEARCH("ton",LOWER(J543))),I543,I543*0.33)))</f>
        <v>24.156</v>
      </c>
      <c r="AB543" s="18" t="n">
        <f aca="false">Tabela_dane[[#This Row],[Wolumen_t]]*8.5</f>
        <v>205.326</v>
      </c>
      <c r="AC543" s="18" t="n">
        <f aca="false">IF(G543&lt;&gt;"TAK",0,IF(OR(E543="ZAKUP",E543="PRODUKCJA"),Z543,IF(OR(E543="SPRZEDAŻ",E543="ZUŻYCIE"),-Z543,0)))</f>
        <v>73.2</v>
      </c>
      <c r="AD543" s="18" t="n">
        <f aca="false">IF(G543&lt;&gt;"TAK",0,IF(OR(E543="ZAKUP",E543="PRODUKCJA"),AA543,IF(OR(E543="SPRZEDAŻ",E543="ZUŻYCIE"),-AA543,0)))</f>
        <v>24.156</v>
      </c>
      <c r="AE543" s="19" t="n">
        <f aca="false">IF(E543="ZAKUP",IF(L543&lt;&gt;"",L543,IF(K543&lt;&gt;"",Z543*K543,0)),0)</f>
        <v>0</v>
      </c>
      <c r="AF543" s="19" t="n">
        <f aca="false">IF(E543="SPRZEDAŻ",IF(M543&lt;&gt;"",Z543*M543,0),0)</f>
        <v>0</v>
      </c>
      <c r="AG543" s="19" t="str">
        <f aca="false">IF(R543="","",IF(LOWER(R543)="brak","Brak",IF(OR(ISNUMBER(SEARCH("ric pl",LOWER(R543))),ISNUMBER(SEARCH("wojciechowski",LOWER(R543)))),"Własny","Zewnętrzny")))</f>
        <v/>
      </c>
      <c r="AH543" s="19" t="n">
        <f aca="false">Z543*Q543</f>
        <v>732</v>
      </c>
      <c r="AI543" s="19" t="str">
        <f aca="false">UPPER(TEXT(C543,"mmmm"))</f>
        <v>AUGUST</v>
      </c>
      <c r="AJ543" s="19" t="str">
        <f aca="false">IF(C543="","",TEXT(C543,"rrrr"))</f>
        <v>CE5786CE5786</v>
      </c>
      <c r="AK543" s="10"/>
      <c r="AL543" s="11" t="n">
        <v>0</v>
      </c>
      <c r="AM543" s="10" t="s">
        <v>983</v>
      </c>
      <c r="AN543" s="10" t="s">
        <v>59</v>
      </c>
      <c r="AO543" s="10"/>
      <c r="AP543" s="10"/>
      <c r="AQ543" s="10"/>
      <c r="AR543" s="10" t="s">
        <v>66</v>
      </c>
      <c r="AS543" s="10"/>
      <c r="AT543" s="15" t="n">
        <v>1</v>
      </c>
    </row>
    <row r="544" customFormat="false" ht="28.5" hidden="false" customHeight="true" outlineLevel="0" collapsed="false">
      <c r="A544" s="12" t="n">
        <v>46262</v>
      </c>
      <c r="B544" s="12"/>
      <c r="C544" s="12" t="n">
        <v>46262</v>
      </c>
      <c r="D544" s="10" t="s">
        <v>54</v>
      </c>
      <c r="E544" s="10" t="s">
        <v>79</v>
      </c>
      <c r="F544" s="13" t="s">
        <v>977</v>
      </c>
      <c r="G544" s="14" t="s">
        <v>49</v>
      </c>
      <c r="H544" s="10" t="s">
        <v>50</v>
      </c>
      <c r="I544" s="15" t="n">
        <v>73.2</v>
      </c>
      <c r="J544" s="10" t="s">
        <v>51</v>
      </c>
      <c r="K544" s="15" t="n">
        <v>0</v>
      </c>
      <c r="L544" s="11" t="n">
        <v>0</v>
      </c>
      <c r="M544" s="11" t="n">
        <v>0</v>
      </c>
      <c r="N544" s="10" t="s">
        <v>52</v>
      </c>
      <c r="O544" s="10" t="s">
        <v>67</v>
      </c>
      <c r="P544" s="10" t="s">
        <v>53</v>
      </c>
      <c r="Q544" s="16" t="n">
        <v>10</v>
      </c>
      <c r="R544" s="10"/>
      <c r="S544" s="10"/>
      <c r="T544" s="10" t="n">
        <v>0</v>
      </c>
      <c r="U544" s="11" t="n">
        <f aca="false">IF(E544="TRANSPORT",IF(T544="","",T544*5),IF(AL544="","",AL544))</f>
        <v>0</v>
      </c>
      <c r="V544" s="10" t="s">
        <v>54</v>
      </c>
      <c r="W544" s="15" t="s">
        <v>260</v>
      </c>
      <c r="X544" s="15"/>
      <c r="Y544" s="17" t="n">
        <v>46265.4033680556</v>
      </c>
      <c r="Z544" s="18" t="n">
        <f aca="false">IF(I544="",0,IF(ISNUMBER(SEARCH("mp",LOWER(J544))),I544,IF(ISNUMBER(SEARCH("ton",LOWER(J544))),I544/0.33,IF(ISNUMBER(SEARCH("m3",LOWER(J544))),I544*4,I544))))</f>
        <v>73.2</v>
      </c>
      <c r="AA544" s="18" t="n">
        <f aca="false">IF(I544="",0,IF(ISNUMBER(SEARCH("mp",LOWER(J544))),I544*0.33,IF(ISNUMBER(SEARCH("ton",LOWER(J544))),I544,I544*0.33)))</f>
        <v>24.156</v>
      </c>
      <c r="AB544" s="18" t="n">
        <f aca="false">Tabela_dane[[#This Row],[Wolumen_t]]*8.5</f>
        <v>205.326</v>
      </c>
      <c r="AC544" s="18" t="n">
        <f aca="false">IF(G544&lt;&gt;"TAK",0,IF(OR(E544="ZAKUP",E544="PRODUKCJA"),Z544,IF(OR(E544="SPRZEDAŻ",E544="ZUŻYCIE"),-Z544,0)))</f>
        <v>-73.2</v>
      </c>
      <c r="AD544" s="18" t="n">
        <f aca="false">IF(G544&lt;&gt;"TAK",0,IF(OR(E544="ZAKUP",E544="PRODUKCJA"),AA544,IF(OR(E544="SPRZEDAŻ",E544="ZUŻYCIE"),-AA544,0)))</f>
        <v>-24.156</v>
      </c>
      <c r="AE544" s="19" t="n">
        <f aca="false">IF(E544="ZAKUP",IF(L544&lt;&gt;"",L544,IF(K544&lt;&gt;"",Z544*K544,0)),0)</f>
        <v>0</v>
      </c>
      <c r="AF544" s="19" t="n">
        <f aca="false">IF(E544="SPRZEDAŻ",IF(M544&lt;&gt;"",Z544*M544,0),0)</f>
        <v>0</v>
      </c>
      <c r="AG544" s="19" t="str">
        <f aca="false">IF(R544="","",IF(LOWER(R544)="brak","Brak",IF(OR(ISNUMBER(SEARCH("ric pl",LOWER(R544))),ISNUMBER(SEARCH("wojciechowski",LOWER(R544)))),"Własny","Zewnętrzny")))</f>
        <v/>
      </c>
      <c r="AH544" s="19" t="n">
        <f aca="false">Z544*Q544</f>
        <v>732</v>
      </c>
      <c r="AI544" s="19" t="str">
        <f aca="false">UPPER(TEXT(C544,"mmmm"))</f>
        <v>AUGUST</v>
      </c>
      <c r="AJ544" s="19" t="str">
        <f aca="false">IF(C544="","",TEXT(C544,"rrrr"))</f>
        <v>CE5786CE5786</v>
      </c>
      <c r="AK544" s="10"/>
      <c r="AL544" s="11" t="n">
        <v>0</v>
      </c>
      <c r="AM544" s="10" t="s">
        <v>983</v>
      </c>
      <c r="AN544" s="10" t="s">
        <v>59</v>
      </c>
      <c r="AO544" s="10"/>
      <c r="AP544" s="10"/>
      <c r="AQ544" s="10"/>
      <c r="AR544" s="10" t="s">
        <v>81</v>
      </c>
      <c r="AS544" s="10"/>
      <c r="AT544" s="15" t="n">
        <v>1</v>
      </c>
    </row>
    <row r="545" customFormat="false" ht="28.5" hidden="false" customHeight="true" outlineLevel="0" collapsed="false">
      <c r="A545" s="12" t="n">
        <v>46262</v>
      </c>
      <c r="B545" s="12"/>
      <c r="C545" s="12" t="n">
        <v>46262</v>
      </c>
      <c r="D545" s="10" t="s">
        <v>46</v>
      </c>
      <c r="E545" s="10" t="s">
        <v>63</v>
      </c>
      <c r="F545" s="20" t="s">
        <v>984</v>
      </c>
      <c r="G545" s="14" t="s">
        <v>49</v>
      </c>
      <c r="H545" s="10" t="s">
        <v>76</v>
      </c>
      <c r="I545" s="15" t="n">
        <v>28.46</v>
      </c>
      <c r="J545" s="10" t="s">
        <v>77</v>
      </c>
      <c r="K545" s="15" t="n">
        <v>230</v>
      </c>
      <c r="L545" s="11" t="n">
        <v>6545.8</v>
      </c>
      <c r="M545" s="11" t="n">
        <v>0</v>
      </c>
      <c r="N545" s="10" t="s">
        <v>64</v>
      </c>
      <c r="O545" s="10"/>
      <c r="P545" s="10"/>
      <c r="Q545" s="16" t="n">
        <v>0</v>
      </c>
      <c r="R545" s="10"/>
      <c r="S545" s="10"/>
      <c r="T545" s="10" t="n">
        <v>0</v>
      </c>
      <c r="U545" s="11" t="n">
        <f aca="false">IF(E545="TRANSPORT",IF(T545="","",T545*5),IF(AL545="","",AL545))</f>
        <v>0</v>
      </c>
      <c r="V545" s="10" t="s">
        <v>54</v>
      </c>
      <c r="W545" s="15" t="s">
        <v>70</v>
      </c>
      <c r="X545" s="15"/>
      <c r="Y545" s="17" t="n">
        <v>46265.410787037</v>
      </c>
      <c r="Z545" s="18" t="n">
        <f aca="false">IF(I545="",0,IF(ISNUMBER(SEARCH("mp",LOWER(J545))),I545,IF(ISNUMBER(SEARCH("ton",LOWER(J545))),I545/0.33,IF(ISNUMBER(SEARCH("m3",LOWER(J545))),I545*4,I545))))</f>
        <v>113.84</v>
      </c>
      <c r="AA545" s="18" t="n">
        <f aca="false">IF(I545="",0,IF(ISNUMBER(SEARCH("mp",LOWER(J545))),I545*0.33,IF(ISNUMBER(SEARCH("ton",LOWER(J545))),I545,I545*0.33)))</f>
        <v>9.3918</v>
      </c>
      <c r="AB545" s="18" t="n">
        <f aca="false">Tabela_dane[[#This Row],[Wolumen_t]]*8.5</f>
        <v>79.8303</v>
      </c>
      <c r="AC545" s="18" t="n">
        <f aca="false">IF(G545&lt;&gt;"TAK",0,IF(OR(E545="ZAKUP",E545="PRODUKCJA"),Z545,IF(OR(E545="SPRZEDAŻ",E545="ZUŻYCIE"),-Z545,0)))</f>
        <v>113.84</v>
      </c>
      <c r="AD545" s="18" t="n">
        <f aca="false">IF(G545&lt;&gt;"TAK",0,IF(OR(E545="ZAKUP",E545="PRODUKCJA"),AA545,IF(OR(E545="SPRZEDAŻ",E545="ZUŻYCIE"),-AA545,0)))</f>
        <v>9.3918</v>
      </c>
      <c r="AE545" s="19" t="n">
        <f aca="false">IF(E545="ZAKUP",IF(L545&lt;&gt;"",L545,IF(K545&lt;&gt;"",Z545*K545,0)),0)</f>
        <v>6545.8</v>
      </c>
      <c r="AF545" s="19" t="n">
        <f aca="false">IF(E545="SPRZEDAŻ",IF(M545&lt;&gt;"",Z545*M545,0),0)</f>
        <v>0</v>
      </c>
      <c r="AG545" s="19" t="str">
        <f aca="false">IF(R545="","",IF(LOWER(R545)="brak","Brak",IF(OR(ISNUMBER(SEARCH("ric pl",LOWER(R545))),ISNUMBER(SEARCH("wojciechowski",LOWER(R545)))),"Własny","Zewnętrzny")))</f>
        <v/>
      </c>
      <c r="AH545" s="19" t="n">
        <f aca="false">Z545*Q545</f>
        <v>0</v>
      </c>
      <c r="AI545" s="19" t="str">
        <f aca="false">UPPER(TEXT(C545,"mmmm"))</f>
        <v>AUGUST</v>
      </c>
      <c r="AJ545" s="19" t="str">
        <f aca="false">IF(C545="","",TEXT(C545,"rrrr"))</f>
        <v>CE5786CE5786</v>
      </c>
      <c r="AK545" s="10"/>
      <c r="AL545" s="11" t="n">
        <v>0</v>
      </c>
      <c r="AM545" s="10" t="s">
        <v>985</v>
      </c>
      <c r="AN545" s="10" t="s">
        <v>59</v>
      </c>
      <c r="AO545" s="10"/>
      <c r="AP545" s="10"/>
      <c r="AQ545" s="10"/>
      <c r="AR545" s="10" t="s">
        <v>66</v>
      </c>
      <c r="AS545" s="10"/>
      <c r="AT545" s="15" t="n">
        <v>1</v>
      </c>
    </row>
    <row r="546" customFormat="false" ht="28.5" hidden="false" customHeight="true" outlineLevel="0" collapsed="false">
      <c r="A546" s="12" t="n">
        <v>46262</v>
      </c>
      <c r="B546" s="12"/>
      <c r="C546" s="12" t="n">
        <v>46262</v>
      </c>
      <c r="D546" s="10" t="s">
        <v>986</v>
      </c>
      <c r="E546" s="10" t="s">
        <v>63</v>
      </c>
      <c r="F546" s="13" t="s">
        <v>987</v>
      </c>
      <c r="G546" s="14" t="s">
        <v>49</v>
      </c>
      <c r="H546" s="10" t="s">
        <v>76</v>
      </c>
      <c r="I546" s="15" t="n">
        <v>27.4</v>
      </c>
      <c r="J546" s="10" t="s">
        <v>103</v>
      </c>
      <c r="K546" s="15" t="n">
        <v>0</v>
      </c>
      <c r="L546" s="11" t="n">
        <v>0</v>
      </c>
      <c r="M546" s="11" t="n">
        <v>0</v>
      </c>
      <c r="N546" s="10" t="s">
        <v>104</v>
      </c>
      <c r="O546" s="10"/>
      <c r="P546" s="10"/>
      <c r="Q546" s="16" t="n">
        <v>0</v>
      </c>
      <c r="R546" s="10"/>
      <c r="S546" s="10"/>
      <c r="T546" s="10" t="n">
        <v>0</v>
      </c>
      <c r="U546" s="11" t="n">
        <f aca="false">IF(E546="TRANSPORT",IF(T546="","",T546*5),IF(AL546="","",AL546))</f>
        <v>0</v>
      </c>
      <c r="V546" s="10" t="s">
        <v>54</v>
      </c>
      <c r="W546" s="15" t="s">
        <v>988</v>
      </c>
      <c r="X546" s="15"/>
      <c r="Y546" s="17" t="n">
        <v>46265.5133912037</v>
      </c>
      <c r="Z546" s="18" t="n">
        <f aca="false">IF(I546="",0,IF(ISNUMBER(SEARCH("mp",LOWER(J546))),I546,IF(ISNUMBER(SEARCH("ton",LOWER(J546))),I546/0.33,IF(ISNUMBER(SEARCH("m3",LOWER(J546))),I546*4,I546))))</f>
        <v>83.030303030303</v>
      </c>
      <c r="AA546" s="18" t="n">
        <f aca="false">IF(I546="",0,IF(ISNUMBER(SEARCH("mp",LOWER(J546))),I546*0.33,IF(ISNUMBER(SEARCH("ton",LOWER(J546))),I546,I546*0.33)))</f>
        <v>27.4</v>
      </c>
      <c r="AB546" s="18" t="n">
        <f aca="false">Tabela_dane[[#This Row],[Wolumen_t]]*8.5</f>
        <v>232.9</v>
      </c>
      <c r="AC546" s="18" t="n">
        <f aca="false">IF(G546&lt;&gt;"TAK",0,IF(OR(E546="ZAKUP",E546="PRODUKCJA"),Z546,IF(OR(E546="SPRZEDAŻ",E546="ZUŻYCIE"),-Z546,0)))</f>
        <v>83.030303030303</v>
      </c>
      <c r="AD546" s="18" t="n">
        <f aca="false">IF(G546&lt;&gt;"TAK",0,IF(OR(E546="ZAKUP",E546="PRODUKCJA"),AA546,IF(OR(E546="SPRZEDAŻ",E546="ZUŻYCIE"),-AA546,0)))</f>
        <v>27.4</v>
      </c>
      <c r="AE546" s="19" t="n">
        <f aca="false">IF(E546="ZAKUP",IF(L546&lt;&gt;"",L546,IF(K546&lt;&gt;"",Z546*K546,0)),0)</f>
        <v>0</v>
      </c>
      <c r="AF546" s="19" t="n">
        <f aca="false">IF(E546="SPRZEDAŻ",IF(M546&lt;&gt;"",Z546*M546,0),0)</f>
        <v>0</v>
      </c>
      <c r="AG546" s="19" t="str">
        <f aca="false">IF(R546="","",IF(LOWER(R546)="brak","Brak",IF(OR(ISNUMBER(SEARCH("ric pl",LOWER(R546))),ISNUMBER(SEARCH("wojciechowski",LOWER(R546)))),"Własny","Zewnętrzny")))</f>
        <v/>
      </c>
      <c r="AH546" s="19" t="n">
        <f aca="false">Z546*Q546</f>
        <v>0</v>
      </c>
      <c r="AI546" s="19" t="str">
        <f aca="false">UPPER(TEXT(C546,"mmmm"))</f>
        <v>AUGUST</v>
      </c>
      <c r="AJ546" s="19" t="str">
        <f aca="false">IF(C546="","",TEXT(C546,"rrrr"))</f>
        <v>CE5786CE5786</v>
      </c>
      <c r="AK546" s="10"/>
      <c r="AL546" s="11" t="n">
        <v>0</v>
      </c>
      <c r="AM546" s="10" t="s">
        <v>989</v>
      </c>
      <c r="AN546" s="10" t="s">
        <v>59</v>
      </c>
      <c r="AO546" s="10"/>
      <c r="AP546" s="10"/>
      <c r="AQ546" s="10"/>
      <c r="AR546" s="10" t="s">
        <v>66</v>
      </c>
      <c r="AS546" s="10"/>
      <c r="AT546" s="15" t="n">
        <v>1</v>
      </c>
    </row>
    <row r="547" customFormat="false" ht="28.5" hidden="false" customHeight="true" outlineLevel="0" collapsed="false">
      <c r="A547" s="12" t="n">
        <v>46262</v>
      </c>
      <c r="B547" s="12"/>
      <c r="C547" s="12" t="n">
        <v>46262</v>
      </c>
      <c r="D547" s="10" t="s">
        <v>54</v>
      </c>
      <c r="E547" s="10" t="s">
        <v>47</v>
      </c>
      <c r="F547" s="13" t="s">
        <v>979</v>
      </c>
      <c r="G547" s="14" t="s">
        <v>49</v>
      </c>
      <c r="H547" s="10" t="s">
        <v>50</v>
      </c>
      <c r="I547" s="15" t="n">
        <v>72</v>
      </c>
      <c r="J547" s="10" t="s">
        <v>51</v>
      </c>
      <c r="K547" s="15" t="n">
        <v>0</v>
      </c>
      <c r="L547" s="11" t="n">
        <v>0</v>
      </c>
      <c r="M547" s="11" t="n">
        <v>0</v>
      </c>
      <c r="N547" s="10" t="s">
        <v>52</v>
      </c>
      <c r="O547" s="10" t="s">
        <v>67</v>
      </c>
      <c r="P547" s="10" t="s">
        <v>53</v>
      </c>
      <c r="Q547" s="16" t="n">
        <v>10</v>
      </c>
      <c r="R547" s="10"/>
      <c r="S547" s="10"/>
      <c r="T547" s="10" t="n">
        <v>0</v>
      </c>
      <c r="U547" s="11" t="n">
        <f aca="false">IF(E547="TRANSPORT",IF(T547="","",T547*5),IF(AL547="","",AL547))</f>
        <v>0</v>
      </c>
      <c r="V547" s="10" t="s">
        <v>54</v>
      </c>
      <c r="W547" s="15" t="s">
        <v>70</v>
      </c>
      <c r="X547" s="15"/>
      <c r="Y547" s="17" t="n">
        <v>46265.4058564815</v>
      </c>
      <c r="Z547" s="18" t="n">
        <f aca="false">IF(I547="",0,IF(ISNUMBER(SEARCH("mp",LOWER(J547))),I547,IF(ISNUMBER(SEARCH("ton",LOWER(J547))),I547/0.33,IF(ISNUMBER(SEARCH("m3",LOWER(J547))),I547*4,I547))))</f>
        <v>72</v>
      </c>
      <c r="AA547" s="18" t="n">
        <f aca="false">IF(I547="",0,IF(ISNUMBER(SEARCH("mp",LOWER(J547))),I547*0.33,IF(ISNUMBER(SEARCH("ton",LOWER(J547))),I547,I547*0.33)))</f>
        <v>23.76</v>
      </c>
      <c r="AB547" s="18" t="n">
        <f aca="false">Tabela_dane[[#This Row],[Wolumen_t]]*8.5</f>
        <v>201.96</v>
      </c>
      <c r="AC547" s="18" t="n">
        <f aca="false">IF(G547&lt;&gt;"TAK",0,IF(OR(E547="ZAKUP",E547="PRODUKCJA"),Z547,IF(OR(E547="SPRZEDAŻ",E547="ZUŻYCIE"),-Z547,0)))</f>
        <v>72</v>
      </c>
      <c r="AD547" s="18" t="n">
        <f aca="false">IF(G547&lt;&gt;"TAK",0,IF(OR(E547="ZAKUP",E547="PRODUKCJA"),AA547,IF(OR(E547="SPRZEDAŻ",E547="ZUŻYCIE"),-AA547,0)))</f>
        <v>23.76</v>
      </c>
      <c r="AE547" s="19" t="n">
        <f aca="false">IF(E547="ZAKUP",IF(L547&lt;&gt;"",L547,IF(K547&lt;&gt;"",Z547*K547,0)),0)</f>
        <v>0</v>
      </c>
      <c r="AF547" s="19" t="n">
        <f aca="false">IF(E547="SPRZEDAŻ",IF(M547&lt;&gt;"",Z547*M547,0),0)</f>
        <v>0</v>
      </c>
      <c r="AG547" s="19" t="str">
        <f aca="false">IF(R547="","",IF(LOWER(R547)="brak","Brak",IF(OR(ISNUMBER(SEARCH("ric pl",LOWER(R547))),ISNUMBER(SEARCH("wojciechowski",LOWER(R547)))),"Własny","Zewnętrzny")))</f>
        <v/>
      </c>
      <c r="AH547" s="19" t="n">
        <f aca="false">Z547*Q547</f>
        <v>720</v>
      </c>
      <c r="AI547" s="19" t="str">
        <f aca="false">UPPER(TEXT(C547,"mmmm"))</f>
        <v>AUGUST</v>
      </c>
      <c r="AJ547" s="19" t="str">
        <f aca="false">IF(C547="","",TEXT(C547,"rrrr"))</f>
        <v>CE5786CE5786</v>
      </c>
      <c r="AK547" s="10"/>
      <c r="AL547" s="11" t="n">
        <v>0</v>
      </c>
      <c r="AM547" s="10" t="s">
        <v>990</v>
      </c>
      <c r="AN547" s="10" t="s">
        <v>59</v>
      </c>
      <c r="AO547" s="10"/>
      <c r="AP547" s="10"/>
      <c r="AQ547" s="10"/>
      <c r="AR547" s="10" t="s">
        <v>66</v>
      </c>
      <c r="AS547" s="10"/>
      <c r="AT547" s="15" t="n">
        <v>1</v>
      </c>
    </row>
    <row r="548" customFormat="false" ht="28.5" hidden="false" customHeight="true" outlineLevel="0" collapsed="false">
      <c r="A548" s="12" t="n">
        <v>46262</v>
      </c>
      <c r="B548" s="12"/>
      <c r="C548" s="12" t="n">
        <v>46262</v>
      </c>
      <c r="D548" s="10" t="s">
        <v>54</v>
      </c>
      <c r="E548" s="10" t="s">
        <v>79</v>
      </c>
      <c r="F548" s="13" t="s">
        <v>979</v>
      </c>
      <c r="G548" s="14" t="s">
        <v>49</v>
      </c>
      <c r="H548" s="10" t="s">
        <v>50</v>
      </c>
      <c r="I548" s="15" t="n">
        <v>72</v>
      </c>
      <c r="J548" s="10" t="s">
        <v>51</v>
      </c>
      <c r="K548" s="15" t="n">
        <v>0</v>
      </c>
      <c r="L548" s="11" t="n">
        <v>0</v>
      </c>
      <c r="M548" s="11" t="n">
        <v>0</v>
      </c>
      <c r="N548" s="10" t="s">
        <v>52</v>
      </c>
      <c r="O548" s="10" t="s">
        <v>67</v>
      </c>
      <c r="P548" s="10" t="s">
        <v>53</v>
      </c>
      <c r="Q548" s="16" t="n">
        <v>10</v>
      </c>
      <c r="R548" s="10"/>
      <c r="S548" s="10"/>
      <c r="T548" s="10" t="n">
        <v>0</v>
      </c>
      <c r="U548" s="11" t="n">
        <f aca="false">IF(E548="TRANSPORT",IF(T548="","",T548*5),IF(AL548="","",AL548))</f>
        <v>0</v>
      </c>
      <c r="V548" s="10" t="s">
        <v>54</v>
      </c>
      <c r="W548" s="15" t="s">
        <v>260</v>
      </c>
      <c r="X548" s="15"/>
      <c r="Y548" s="17" t="n">
        <v>46265.4058564815</v>
      </c>
      <c r="Z548" s="18" t="n">
        <f aca="false">IF(I548="",0,IF(ISNUMBER(SEARCH("mp",LOWER(J548))),I548,IF(ISNUMBER(SEARCH("ton",LOWER(J548))),I548/0.33,IF(ISNUMBER(SEARCH("m3",LOWER(J548))),I548*4,I548))))</f>
        <v>72</v>
      </c>
      <c r="AA548" s="18" t="n">
        <f aca="false">IF(I548="",0,IF(ISNUMBER(SEARCH("mp",LOWER(J548))),I548*0.33,IF(ISNUMBER(SEARCH("ton",LOWER(J548))),I548,I548*0.33)))</f>
        <v>23.76</v>
      </c>
      <c r="AB548" s="18" t="n">
        <f aca="false">Tabela_dane[[#This Row],[Wolumen_t]]*8.5</f>
        <v>201.96</v>
      </c>
      <c r="AC548" s="18" t="n">
        <f aca="false">IF(G548&lt;&gt;"TAK",0,IF(OR(E548="ZAKUP",E548="PRODUKCJA"),Z548,IF(OR(E548="SPRZEDAŻ",E548="ZUŻYCIE"),-Z548,0)))</f>
        <v>-72</v>
      </c>
      <c r="AD548" s="18" t="n">
        <f aca="false">IF(G548&lt;&gt;"TAK",0,IF(OR(E548="ZAKUP",E548="PRODUKCJA"),AA548,IF(OR(E548="SPRZEDAŻ",E548="ZUŻYCIE"),-AA548,0)))</f>
        <v>-23.76</v>
      </c>
      <c r="AE548" s="19" t="n">
        <f aca="false">IF(E548="ZAKUP",IF(L548&lt;&gt;"",L548,IF(K548&lt;&gt;"",Z548*K548,0)),0)</f>
        <v>0</v>
      </c>
      <c r="AF548" s="19" t="n">
        <f aca="false">IF(E548="SPRZEDAŻ",IF(M548&lt;&gt;"",Z548*M548,0),0)</f>
        <v>0</v>
      </c>
      <c r="AG548" s="19" t="str">
        <f aca="false">IF(R548="","",IF(LOWER(R548)="brak","Brak",IF(OR(ISNUMBER(SEARCH("ric pl",LOWER(R548))),ISNUMBER(SEARCH("wojciechowski",LOWER(R548)))),"Własny","Zewnętrzny")))</f>
        <v/>
      </c>
      <c r="AH548" s="19" t="n">
        <f aca="false">Z548*Q548</f>
        <v>720</v>
      </c>
      <c r="AI548" s="19" t="str">
        <f aca="false">UPPER(TEXT(C548,"mmmm"))</f>
        <v>AUGUST</v>
      </c>
      <c r="AJ548" s="19" t="str">
        <f aca="false">IF(C548="","",TEXT(C548,"rrrr"))</f>
        <v>CE5786CE5786</v>
      </c>
      <c r="AK548" s="10"/>
      <c r="AL548" s="11" t="n">
        <v>0</v>
      </c>
      <c r="AM548" s="10" t="s">
        <v>990</v>
      </c>
      <c r="AN548" s="10" t="s">
        <v>59</v>
      </c>
      <c r="AO548" s="10"/>
      <c r="AP548" s="10"/>
      <c r="AQ548" s="10"/>
      <c r="AR548" s="10" t="s">
        <v>81</v>
      </c>
      <c r="AS548" s="10"/>
      <c r="AT548" s="15" t="n">
        <v>1</v>
      </c>
    </row>
    <row r="549" customFormat="false" ht="28.5" hidden="false" customHeight="true" outlineLevel="0" collapsed="false">
      <c r="A549" s="12" t="n">
        <v>46262</v>
      </c>
      <c r="B549" s="12"/>
      <c r="C549" s="12" t="n">
        <v>46262</v>
      </c>
      <c r="D549" s="10" t="s">
        <v>54</v>
      </c>
      <c r="E549" s="10" t="s">
        <v>47</v>
      </c>
      <c r="F549" s="13" t="s">
        <v>981</v>
      </c>
      <c r="G549" s="14" t="s">
        <v>49</v>
      </c>
      <c r="H549" s="10" t="s">
        <v>50</v>
      </c>
      <c r="I549" s="15" t="n">
        <v>12</v>
      </c>
      <c r="J549" s="10" t="s">
        <v>51</v>
      </c>
      <c r="K549" s="15" t="n">
        <v>0</v>
      </c>
      <c r="L549" s="11" t="n">
        <v>0</v>
      </c>
      <c r="M549" s="11" t="n">
        <v>0</v>
      </c>
      <c r="N549" s="10" t="s">
        <v>52</v>
      </c>
      <c r="O549" s="10" t="s">
        <v>67</v>
      </c>
      <c r="P549" s="10" t="s">
        <v>53</v>
      </c>
      <c r="Q549" s="16" t="n">
        <v>10</v>
      </c>
      <c r="R549" s="10"/>
      <c r="S549" s="10"/>
      <c r="T549" s="10" t="n">
        <v>0</v>
      </c>
      <c r="U549" s="11" t="n">
        <f aca="false">IF(E549="TRANSPORT",IF(T549="","",T549*5),IF(AL549="","",AL549))</f>
        <v>0</v>
      </c>
      <c r="V549" s="10" t="s">
        <v>54</v>
      </c>
      <c r="W549" s="15" t="s">
        <v>70</v>
      </c>
      <c r="X549" s="15"/>
      <c r="Y549" s="17" t="n">
        <v>46265.4080671296</v>
      </c>
      <c r="Z549" s="18" t="n">
        <f aca="false">IF(I549="",0,IF(ISNUMBER(SEARCH("mp",LOWER(J549))),I549,IF(ISNUMBER(SEARCH("ton",LOWER(J549))),I549/0.33,IF(ISNUMBER(SEARCH("m3",LOWER(J549))),I549*4,I549))))</f>
        <v>12</v>
      </c>
      <c r="AA549" s="18" t="n">
        <f aca="false">IF(I549="",0,IF(ISNUMBER(SEARCH("mp",LOWER(J549))),I549*0.33,IF(ISNUMBER(SEARCH("ton",LOWER(J549))),I549,I549*0.33)))</f>
        <v>3.96</v>
      </c>
      <c r="AB549" s="18" t="n">
        <f aca="false">Tabela_dane[[#This Row],[Wolumen_t]]*8.5</f>
        <v>33.66</v>
      </c>
      <c r="AC549" s="18" t="n">
        <f aca="false">IF(G549&lt;&gt;"TAK",0,IF(OR(E549="ZAKUP",E549="PRODUKCJA"),Z549,IF(OR(E549="SPRZEDAŻ",E549="ZUŻYCIE"),-Z549,0)))</f>
        <v>12</v>
      </c>
      <c r="AD549" s="18" t="n">
        <f aca="false">IF(G549&lt;&gt;"TAK",0,IF(OR(E549="ZAKUP",E549="PRODUKCJA"),AA549,IF(OR(E549="SPRZEDAŻ",E549="ZUŻYCIE"),-AA549,0)))</f>
        <v>3.96</v>
      </c>
      <c r="AE549" s="19" t="n">
        <f aca="false">IF(E549="ZAKUP",IF(L549&lt;&gt;"",L549,IF(K549&lt;&gt;"",Z549*K549,0)),0)</f>
        <v>0</v>
      </c>
      <c r="AF549" s="19" t="n">
        <f aca="false">IF(E549="SPRZEDAŻ",IF(M549&lt;&gt;"",Z549*M549,0),0)</f>
        <v>0</v>
      </c>
      <c r="AG549" s="19" t="str">
        <f aca="false">IF(R549="","",IF(LOWER(R549)="brak","Brak",IF(OR(ISNUMBER(SEARCH("ric pl",LOWER(R549))),ISNUMBER(SEARCH("wojciechowski",LOWER(R549)))),"Własny","Zewnętrzny")))</f>
        <v/>
      </c>
      <c r="AH549" s="19" t="n">
        <f aca="false">Z549*Q549</f>
        <v>120</v>
      </c>
      <c r="AI549" s="19" t="str">
        <f aca="false">UPPER(TEXT(C549,"mmmm"))</f>
        <v>AUGUST</v>
      </c>
      <c r="AJ549" s="19" t="str">
        <f aca="false">IF(C549="","",TEXT(C549,"rrrr"))</f>
        <v>CE5786CE5786</v>
      </c>
      <c r="AK549" s="10"/>
      <c r="AL549" s="11" t="n">
        <v>0</v>
      </c>
      <c r="AM549" s="10" t="s">
        <v>991</v>
      </c>
      <c r="AN549" s="10" t="s">
        <v>59</v>
      </c>
      <c r="AO549" s="10"/>
      <c r="AP549" s="10"/>
      <c r="AQ549" s="10"/>
      <c r="AR549" s="10" t="s">
        <v>66</v>
      </c>
      <c r="AS549" s="10"/>
      <c r="AT549" s="15" t="n">
        <v>1</v>
      </c>
    </row>
    <row r="550" customFormat="false" ht="28.5" hidden="false" customHeight="true" outlineLevel="0" collapsed="false">
      <c r="A550" s="12" t="n">
        <v>46262</v>
      </c>
      <c r="B550" s="12"/>
      <c r="C550" s="12" t="n">
        <v>46262</v>
      </c>
      <c r="D550" s="10" t="s">
        <v>54</v>
      </c>
      <c r="E550" s="10" t="s">
        <v>79</v>
      </c>
      <c r="F550" s="13" t="s">
        <v>981</v>
      </c>
      <c r="G550" s="14" t="s">
        <v>49</v>
      </c>
      <c r="H550" s="10" t="s">
        <v>50</v>
      </c>
      <c r="I550" s="15" t="n">
        <v>12</v>
      </c>
      <c r="J550" s="10" t="s">
        <v>51</v>
      </c>
      <c r="K550" s="15" t="n">
        <v>0</v>
      </c>
      <c r="L550" s="11" t="n">
        <v>0</v>
      </c>
      <c r="M550" s="11" t="n">
        <v>0</v>
      </c>
      <c r="N550" s="10" t="s">
        <v>52</v>
      </c>
      <c r="O550" s="10" t="s">
        <v>67</v>
      </c>
      <c r="P550" s="10" t="s">
        <v>53</v>
      </c>
      <c r="Q550" s="16" t="n">
        <v>10</v>
      </c>
      <c r="R550" s="10"/>
      <c r="S550" s="10"/>
      <c r="T550" s="10" t="n">
        <v>0</v>
      </c>
      <c r="U550" s="11" t="n">
        <f aca="false">IF(E550="TRANSPORT",IF(T550="","",T550*5),IF(AL550="","",AL550))</f>
        <v>0</v>
      </c>
      <c r="V550" s="10" t="s">
        <v>54</v>
      </c>
      <c r="W550" s="15" t="s">
        <v>260</v>
      </c>
      <c r="X550" s="15"/>
      <c r="Y550" s="17" t="n">
        <v>46265.4080671296</v>
      </c>
      <c r="Z550" s="18" t="n">
        <f aca="false">IF(I550="",0,IF(ISNUMBER(SEARCH("mp",LOWER(J550))),I550,IF(ISNUMBER(SEARCH("ton",LOWER(J550))),I550/0.33,IF(ISNUMBER(SEARCH("m3",LOWER(J550))),I550*4,I550))))</f>
        <v>12</v>
      </c>
      <c r="AA550" s="18" t="n">
        <f aca="false">IF(I550="",0,IF(ISNUMBER(SEARCH("mp",LOWER(J550))),I550*0.33,IF(ISNUMBER(SEARCH("ton",LOWER(J550))),I550,I550*0.33)))</f>
        <v>3.96</v>
      </c>
      <c r="AB550" s="18" t="n">
        <f aca="false">Tabela_dane[[#This Row],[Wolumen_t]]*8.5</f>
        <v>33.66</v>
      </c>
      <c r="AC550" s="18" t="n">
        <f aca="false">IF(G550&lt;&gt;"TAK",0,IF(OR(E550="ZAKUP",E550="PRODUKCJA"),Z550,IF(OR(E550="SPRZEDAŻ",E550="ZUŻYCIE"),-Z550,0)))</f>
        <v>-12</v>
      </c>
      <c r="AD550" s="18" t="n">
        <f aca="false">IF(G550&lt;&gt;"TAK",0,IF(OR(E550="ZAKUP",E550="PRODUKCJA"),AA550,IF(OR(E550="SPRZEDAŻ",E550="ZUŻYCIE"),-AA550,0)))</f>
        <v>-3.96</v>
      </c>
      <c r="AE550" s="19" t="n">
        <f aca="false">IF(E550="ZAKUP",IF(L550&lt;&gt;"",L550,IF(K550&lt;&gt;"",Z550*K550,0)),0)</f>
        <v>0</v>
      </c>
      <c r="AF550" s="19" t="n">
        <f aca="false">IF(E550="SPRZEDAŻ",IF(M550&lt;&gt;"",Z550*M550,0),0)</f>
        <v>0</v>
      </c>
      <c r="AG550" s="19" t="str">
        <f aca="false">IF(R550="","",IF(LOWER(R550)="brak","Brak",IF(OR(ISNUMBER(SEARCH("ric pl",LOWER(R550))),ISNUMBER(SEARCH("wojciechowski",LOWER(R550)))),"Własny","Zewnętrzny")))</f>
        <v/>
      </c>
      <c r="AH550" s="19" t="n">
        <f aca="false">Z550*Q550</f>
        <v>120</v>
      </c>
      <c r="AI550" s="19" t="str">
        <f aca="false">UPPER(TEXT(C550,"mmmm"))</f>
        <v>AUGUST</v>
      </c>
      <c r="AJ550" s="19" t="str">
        <f aca="false">IF(C550="","",TEXT(C550,"rrrr"))</f>
        <v>CE5786CE5786</v>
      </c>
      <c r="AK550" s="10"/>
      <c r="AL550" s="11" t="n">
        <v>0</v>
      </c>
      <c r="AM550" s="10" t="s">
        <v>991</v>
      </c>
      <c r="AN550" s="10" t="s">
        <v>59</v>
      </c>
      <c r="AO550" s="10"/>
      <c r="AP550" s="10"/>
      <c r="AQ550" s="10"/>
      <c r="AR550" s="10" t="s">
        <v>81</v>
      </c>
      <c r="AS550" s="10"/>
      <c r="AT550" s="15" t="n">
        <v>1</v>
      </c>
    </row>
    <row r="551" customFormat="false" ht="28.5" hidden="false" customHeight="true" outlineLevel="0" collapsed="false">
      <c r="A551" s="53" t="n">
        <v>46262</v>
      </c>
      <c r="B551" s="12"/>
      <c r="C551" s="12" t="n">
        <v>46262</v>
      </c>
      <c r="D551" s="10" t="s">
        <v>124</v>
      </c>
      <c r="E551" s="10" t="s">
        <v>63</v>
      </c>
      <c r="F551" s="13" t="s">
        <v>992</v>
      </c>
      <c r="G551" s="14" t="s">
        <v>49</v>
      </c>
      <c r="H551" s="10" t="s">
        <v>76</v>
      </c>
      <c r="I551" s="15" t="n">
        <v>92</v>
      </c>
      <c r="J551" s="10" t="s">
        <v>51</v>
      </c>
      <c r="K551" s="15" t="n">
        <v>105</v>
      </c>
      <c r="L551" s="11" t="n">
        <v>9660</v>
      </c>
      <c r="M551" s="11" t="n">
        <v>0</v>
      </c>
      <c r="N551" s="10" t="s">
        <v>104</v>
      </c>
      <c r="O551" s="10"/>
      <c r="P551" s="10"/>
      <c r="Q551" s="16" t="n">
        <v>0</v>
      </c>
      <c r="R551" s="10"/>
      <c r="S551" s="10"/>
      <c r="T551" s="10" t="n">
        <v>0</v>
      </c>
      <c r="U551" s="11" t="n">
        <f aca="false">IF(E551="TRANSPORT",IF(T551="","",T551*5),IF(AL551="","",AL551))</f>
        <v>0</v>
      </c>
      <c r="V551" s="10" t="s">
        <v>54</v>
      </c>
      <c r="W551" s="15" t="s">
        <v>993</v>
      </c>
      <c r="X551" s="15"/>
      <c r="Y551" s="17" t="n">
        <v>46262.4154050926</v>
      </c>
      <c r="Z551" s="18" t="n">
        <f aca="false">IF(I551="",0,IF(ISNUMBER(SEARCH("mp",LOWER(J551))),I551,IF(ISNUMBER(SEARCH("ton",LOWER(J551))),I551/0.33,IF(ISNUMBER(SEARCH("m3",LOWER(J551))),I551*4,I551))))</f>
        <v>92</v>
      </c>
      <c r="AA551" s="18" t="n">
        <f aca="false">IF(I551="",0,IF(ISNUMBER(SEARCH("mp",LOWER(J551))),I551*0.33,IF(ISNUMBER(SEARCH("ton",LOWER(J551))),I551,I551*0.33)))</f>
        <v>30.36</v>
      </c>
      <c r="AB551" s="18" t="n">
        <f aca="false">Tabela_dane[[#This Row],[Wolumen_t]]*8.5</f>
        <v>258.06</v>
      </c>
      <c r="AC551" s="18" t="n">
        <f aca="false">IF(G551&lt;&gt;"TAK",0,IF(OR(E551="ZAKUP",E551="PRODUKCJA"),Z551,IF(OR(E551="SPRZEDAŻ",E551="ZUŻYCIE"),-Z551,0)))</f>
        <v>92</v>
      </c>
      <c r="AD551" s="18" t="n">
        <f aca="false">IF(G551&lt;&gt;"TAK",0,IF(OR(E551="ZAKUP",E551="PRODUKCJA"),AA551,IF(OR(E551="SPRZEDAŻ",E551="ZUŻYCIE"),-AA551,0)))</f>
        <v>30.36</v>
      </c>
      <c r="AE551" s="19" t="n">
        <f aca="false">IF(E551="ZAKUP",IF(L551&lt;&gt;"",L551,IF(K551&lt;&gt;"",Z551*K551,0)),0)</f>
        <v>9660</v>
      </c>
      <c r="AF551" s="19" t="n">
        <f aca="false">IF(E551="SPRZEDAŻ",IF(M551&lt;&gt;"",Z551*M551,0),0)</f>
        <v>0</v>
      </c>
      <c r="AG551" s="19" t="str">
        <f aca="false">IF(R551="","",IF(LOWER(R551)="brak","Brak",IF(OR(ISNUMBER(SEARCH("ric pl",LOWER(R551))),ISNUMBER(SEARCH("wojciechowski",LOWER(R551)))),"Własny","Zewnętrzny")))</f>
        <v/>
      </c>
      <c r="AH551" s="19" t="n">
        <f aca="false">Z551*Q551</f>
        <v>0</v>
      </c>
      <c r="AI551" s="19" t="str">
        <f aca="false">UPPER(TEXT(C551,"mmmm"))</f>
        <v>AUGUST</v>
      </c>
      <c r="AJ551" s="19" t="str">
        <f aca="false">IF(C551="","",TEXT(C551,"rrrr"))</f>
        <v>CE5786CE5786</v>
      </c>
      <c r="AK551" s="10"/>
      <c r="AL551" s="11" t="n">
        <v>0</v>
      </c>
      <c r="AM551" s="10" t="s">
        <v>994</v>
      </c>
      <c r="AN551" s="10" t="s">
        <v>59</v>
      </c>
      <c r="AO551" s="10"/>
      <c r="AP551" s="10"/>
      <c r="AQ551" s="10"/>
      <c r="AR551" s="10" t="s">
        <v>66</v>
      </c>
      <c r="AS551" s="10"/>
      <c r="AT551" s="15" t="n">
        <v>1</v>
      </c>
    </row>
    <row r="552" customFormat="false" ht="28.5" hidden="false" customHeight="true" outlineLevel="0" collapsed="false">
      <c r="A552" s="53" t="n">
        <v>46262</v>
      </c>
      <c r="B552" s="12"/>
      <c r="C552" s="12" t="n">
        <v>46262</v>
      </c>
      <c r="D552" s="10" t="s">
        <v>124</v>
      </c>
      <c r="E552" s="10" t="s">
        <v>63</v>
      </c>
      <c r="F552" s="13" t="s">
        <v>995</v>
      </c>
      <c r="G552" s="14" t="s">
        <v>49</v>
      </c>
      <c r="H552" s="10" t="s">
        <v>76</v>
      </c>
      <c r="I552" s="15" t="n">
        <v>92</v>
      </c>
      <c r="J552" s="10" t="s">
        <v>51</v>
      </c>
      <c r="K552" s="15" t="n">
        <v>105</v>
      </c>
      <c r="L552" s="11" t="n">
        <v>9660</v>
      </c>
      <c r="M552" s="11" t="n">
        <v>0</v>
      </c>
      <c r="N552" s="10" t="s">
        <v>104</v>
      </c>
      <c r="O552" s="10"/>
      <c r="P552" s="10"/>
      <c r="Q552" s="16" t="n">
        <v>0</v>
      </c>
      <c r="R552" s="10"/>
      <c r="S552" s="10"/>
      <c r="T552" s="10" t="n">
        <v>0</v>
      </c>
      <c r="U552" s="11" t="n">
        <f aca="false">IF(E552="TRANSPORT",IF(T552="","",T552*5),IF(AL552="","",AL552))</f>
        <v>0</v>
      </c>
      <c r="V552" s="10" t="s">
        <v>54</v>
      </c>
      <c r="W552" s="15" t="s">
        <v>996</v>
      </c>
      <c r="X552" s="15"/>
      <c r="Y552" s="17" t="n">
        <v>46262.4161805556</v>
      </c>
      <c r="Z552" s="18" t="n">
        <f aca="false">IF(I552="",0,IF(ISNUMBER(SEARCH("mp",LOWER(J552))),I552,IF(ISNUMBER(SEARCH("ton",LOWER(J552))),I552/0.33,IF(ISNUMBER(SEARCH("m3",LOWER(J552))),I552*4,I552))))</f>
        <v>92</v>
      </c>
      <c r="AA552" s="18" t="n">
        <f aca="false">IF(I552="",0,IF(ISNUMBER(SEARCH("mp",LOWER(J552))),I552*0.33,IF(ISNUMBER(SEARCH("ton",LOWER(J552))),I552,I552*0.33)))</f>
        <v>30.36</v>
      </c>
      <c r="AB552" s="18" t="n">
        <f aca="false">Tabela_dane[[#This Row],[Wolumen_t]]*8.5</f>
        <v>258.06</v>
      </c>
      <c r="AC552" s="18" t="n">
        <f aca="false">IF(G552&lt;&gt;"TAK",0,IF(OR(E552="ZAKUP",E552="PRODUKCJA"),Z552,IF(OR(E552="SPRZEDAŻ",E552="ZUŻYCIE"),-Z552,0)))</f>
        <v>92</v>
      </c>
      <c r="AD552" s="18" t="n">
        <f aca="false">IF(G552&lt;&gt;"TAK",0,IF(OR(E552="ZAKUP",E552="PRODUKCJA"),AA552,IF(OR(E552="SPRZEDAŻ",E552="ZUŻYCIE"),-AA552,0)))</f>
        <v>30.36</v>
      </c>
      <c r="AE552" s="19" t="n">
        <f aca="false">IF(E552="ZAKUP",IF(L552&lt;&gt;"",L552,IF(K552&lt;&gt;"",Z552*K552,0)),0)</f>
        <v>9660</v>
      </c>
      <c r="AF552" s="19" t="n">
        <f aca="false">IF(E552="SPRZEDAŻ",IF(M552&lt;&gt;"",Z552*M552,0),0)</f>
        <v>0</v>
      </c>
      <c r="AG552" s="19" t="str">
        <f aca="false">IF(R552="","",IF(LOWER(R552)="brak","Brak",IF(OR(ISNUMBER(SEARCH("ric pl",LOWER(R552))),ISNUMBER(SEARCH("wojciechowski",LOWER(R552)))),"Własny","Zewnętrzny")))</f>
        <v/>
      </c>
      <c r="AH552" s="19" t="n">
        <f aca="false">Z552*Q552</f>
        <v>0</v>
      </c>
      <c r="AI552" s="19" t="str">
        <f aca="false">UPPER(TEXT(C552,"mmmm"))</f>
        <v>AUGUST</v>
      </c>
      <c r="AJ552" s="19" t="str">
        <f aca="false">IF(C552="","",TEXT(C552,"rrrr"))</f>
        <v>CE5786CE5786</v>
      </c>
      <c r="AK552" s="10"/>
      <c r="AL552" s="11" t="n">
        <v>0</v>
      </c>
      <c r="AM552" s="10" t="s">
        <v>997</v>
      </c>
      <c r="AN552" s="10" t="s">
        <v>59</v>
      </c>
      <c r="AO552" s="10"/>
      <c r="AP552" s="10"/>
      <c r="AQ552" s="10"/>
      <c r="AR552" s="10" t="s">
        <v>66</v>
      </c>
      <c r="AS552" s="10"/>
      <c r="AT552" s="15" t="n">
        <v>1</v>
      </c>
    </row>
    <row r="553" customFormat="false" ht="28.5" hidden="false" customHeight="true" outlineLevel="0" collapsed="false">
      <c r="A553" s="12" t="n">
        <v>46262</v>
      </c>
      <c r="B553" s="12"/>
      <c r="C553" s="12" t="n">
        <v>46262</v>
      </c>
      <c r="D553" s="10" t="s">
        <v>945</v>
      </c>
      <c r="E553" s="10" t="s">
        <v>63</v>
      </c>
      <c r="F553" s="46" t="s">
        <v>998</v>
      </c>
      <c r="G553" s="14" t="s">
        <v>49</v>
      </c>
      <c r="H553" s="10" t="s">
        <v>50</v>
      </c>
      <c r="I553" s="15" t="n">
        <v>18.3</v>
      </c>
      <c r="J553" s="10" t="s">
        <v>77</v>
      </c>
      <c r="K553" s="15" t="n">
        <v>0</v>
      </c>
      <c r="L553" s="11" t="n">
        <v>0</v>
      </c>
      <c r="M553" s="11" t="n">
        <v>0</v>
      </c>
      <c r="N553" s="10" t="s">
        <v>64</v>
      </c>
      <c r="O553" s="10"/>
      <c r="P553" s="10"/>
      <c r="Q553" s="16" t="n">
        <v>0</v>
      </c>
      <c r="R553" s="10"/>
      <c r="S553" s="10"/>
      <c r="T553" s="10" t="n">
        <v>0</v>
      </c>
      <c r="U553" s="11" t="n">
        <f aca="false">IF(E553="TRANSPORT",IF(T553="","",T553*5),IF(AL553="","",AL553))</f>
        <v>0</v>
      </c>
      <c r="V553" s="10" t="s">
        <v>54</v>
      </c>
      <c r="W553" s="15" t="s">
        <v>70</v>
      </c>
      <c r="X553" s="15"/>
      <c r="Y553" s="17" t="n">
        <v>46265.4025694444</v>
      </c>
      <c r="Z553" s="18" t="n">
        <f aca="false">IF(I553="",0,IF(ISNUMBER(SEARCH("mp",LOWER(J553))),I553,IF(ISNUMBER(SEARCH("ton",LOWER(J553))),I553/0.33,IF(ISNUMBER(SEARCH("m3",LOWER(J553))),I553*4,I553))))</f>
        <v>73.2</v>
      </c>
      <c r="AA553" s="18" t="n">
        <f aca="false">IF(I553="",0,IF(ISNUMBER(SEARCH("mp",LOWER(J553))),I553*0.33,IF(ISNUMBER(SEARCH("ton",LOWER(J553))),I553,I553*0.33)))</f>
        <v>6.039</v>
      </c>
      <c r="AB553" s="18" t="n">
        <f aca="false">Tabela_dane[[#This Row],[Wolumen_t]]*8.5</f>
        <v>51.3315</v>
      </c>
      <c r="AC553" s="18" t="n">
        <f aca="false">IF(G553&lt;&gt;"TAK",0,IF(OR(E553="ZAKUP",E553="PRODUKCJA"),Z553,IF(OR(E553="SPRZEDAŻ",E553="ZUŻYCIE"),-Z553,0)))</f>
        <v>73.2</v>
      </c>
      <c r="AD553" s="18" t="n">
        <f aca="false">IF(G553&lt;&gt;"TAK",0,IF(OR(E553="ZAKUP",E553="PRODUKCJA"),AA553,IF(OR(E553="SPRZEDAŻ",E553="ZUŻYCIE"),-AA553,0)))</f>
        <v>6.039</v>
      </c>
      <c r="AE553" s="19" t="n">
        <f aca="false">IF(E553="ZAKUP",IF(L553&lt;&gt;"",L553,IF(K553&lt;&gt;"",Z553*K553,0)),0)</f>
        <v>0</v>
      </c>
      <c r="AF553" s="19" t="n">
        <f aca="false">IF(E553="SPRZEDAŻ",IF(M553&lt;&gt;"",Z553*M553,0),0)</f>
        <v>0</v>
      </c>
      <c r="AG553" s="19" t="str">
        <f aca="false">IF(R553="","",IF(LOWER(R553)="brak","Brak",IF(OR(ISNUMBER(SEARCH("ric pl",LOWER(R553))),ISNUMBER(SEARCH("wojciechowski",LOWER(R553)))),"Własny","Zewnętrzny")))</f>
        <v/>
      </c>
      <c r="AH553" s="19" t="n">
        <f aca="false">Z553*Q553</f>
        <v>0</v>
      </c>
      <c r="AI553" s="19" t="str">
        <f aca="false">UPPER(TEXT(C553,"mmmm"))</f>
        <v>AUGUST</v>
      </c>
      <c r="AJ553" s="19" t="str">
        <f aca="false">IF(C553="","",TEXT(C553,"rrrr"))</f>
        <v>CE5786CE5786</v>
      </c>
      <c r="AK553" s="10"/>
      <c r="AL553" s="11" t="n">
        <v>0</v>
      </c>
      <c r="AM553" s="10" t="s">
        <v>999</v>
      </c>
      <c r="AN553" s="10" t="s">
        <v>59</v>
      </c>
      <c r="AO553" s="10"/>
      <c r="AP553" s="10"/>
      <c r="AQ553" s="10"/>
      <c r="AR553" s="10" t="s">
        <v>66</v>
      </c>
      <c r="AS553" s="10"/>
      <c r="AT553" s="15" t="n">
        <v>1</v>
      </c>
    </row>
    <row r="554" customFormat="false" ht="28.5" hidden="false" customHeight="true" outlineLevel="0" collapsed="false">
      <c r="A554" s="12" t="n">
        <v>46262</v>
      </c>
      <c r="B554" s="12"/>
      <c r="C554" s="12" t="n">
        <v>46262</v>
      </c>
      <c r="D554" s="10" t="s">
        <v>945</v>
      </c>
      <c r="E554" s="10" t="s">
        <v>63</v>
      </c>
      <c r="F554" s="46" t="s">
        <v>1000</v>
      </c>
      <c r="G554" s="14" t="s">
        <v>49</v>
      </c>
      <c r="H554" s="10" t="s">
        <v>50</v>
      </c>
      <c r="I554" s="15" t="n">
        <v>18</v>
      </c>
      <c r="J554" s="10" t="s">
        <v>77</v>
      </c>
      <c r="K554" s="15" t="n">
        <v>0</v>
      </c>
      <c r="L554" s="11" t="n">
        <v>0</v>
      </c>
      <c r="M554" s="11" t="n">
        <v>0</v>
      </c>
      <c r="N554" s="10" t="s">
        <v>64</v>
      </c>
      <c r="O554" s="10"/>
      <c r="P554" s="10"/>
      <c r="Q554" s="16" t="n">
        <v>0</v>
      </c>
      <c r="R554" s="10"/>
      <c r="S554" s="10"/>
      <c r="T554" s="10" t="n">
        <v>0</v>
      </c>
      <c r="U554" s="11" t="n">
        <f aca="false">IF(E554="TRANSPORT",IF(T554="","",T554*5),IF(AL554="","",AL554))</f>
        <v>0</v>
      </c>
      <c r="V554" s="10" t="s">
        <v>54</v>
      </c>
      <c r="W554" s="15" t="s">
        <v>70</v>
      </c>
      <c r="X554" s="15"/>
      <c r="Y554" s="17" t="n">
        <v>46265.4053935185</v>
      </c>
      <c r="Z554" s="18" t="n">
        <f aca="false">IF(I554="",0,IF(ISNUMBER(SEARCH("mp",LOWER(J554))),I554,IF(ISNUMBER(SEARCH("ton",LOWER(J554))),I554/0.33,IF(ISNUMBER(SEARCH("m3",LOWER(J554))),I554*4,I554))))</f>
        <v>72</v>
      </c>
      <c r="AA554" s="18" t="n">
        <f aca="false">IF(I554="",0,IF(ISNUMBER(SEARCH("mp",LOWER(J554))),I554*0.33,IF(ISNUMBER(SEARCH("ton",LOWER(J554))),I554,I554*0.33)))</f>
        <v>5.94</v>
      </c>
      <c r="AB554" s="18" t="n">
        <f aca="false">Tabela_dane[[#This Row],[Wolumen_t]]*8.5</f>
        <v>50.49</v>
      </c>
      <c r="AC554" s="18" t="n">
        <f aca="false">IF(G554&lt;&gt;"TAK",0,IF(OR(E554="ZAKUP",E554="PRODUKCJA"),Z554,IF(OR(E554="SPRZEDAŻ",E554="ZUŻYCIE"),-Z554,0)))</f>
        <v>72</v>
      </c>
      <c r="AD554" s="18" t="n">
        <f aca="false">IF(G554&lt;&gt;"TAK",0,IF(OR(E554="ZAKUP",E554="PRODUKCJA"),AA554,IF(OR(E554="SPRZEDAŻ",E554="ZUŻYCIE"),-AA554,0)))</f>
        <v>5.94</v>
      </c>
      <c r="AE554" s="19" t="n">
        <f aca="false">IF(E554="ZAKUP",IF(L554&lt;&gt;"",L554,IF(K554&lt;&gt;"",Z554*K554,0)),0)</f>
        <v>0</v>
      </c>
      <c r="AF554" s="19" t="n">
        <f aca="false">IF(E554="SPRZEDAŻ",IF(M554&lt;&gt;"",Z554*M554,0),0)</f>
        <v>0</v>
      </c>
      <c r="AG554" s="19" t="str">
        <f aca="false">IF(R554="","",IF(LOWER(R554)="brak","Brak",IF(OR(ISNUMBER(SEARCH("ric pl",LOWER(R554))),ISNUMBER(SEARCH("wojciechowski",LOWER(R554)))),"Własny","Zewnętrzny")))</f>
        <v/>
      </c>
      <c r="AH554" s="19" t="n">
        <f aca="false">Z554*Q554</f>
        <v>0</v>
      </c>
      <c r="AI554" s="19" t="str">
        <f aca="false">UPPER(TEXT(C554,"mmmm"))</f>
        <v>AUGUST</v>
      </c>
      <c r="AJ554" s="19" t="str">
        <f aca="false">IF(C554="","",TEXT(C554,"rrrr"))</f>
        <v>CE5786CE5786</v>
      </c>
      <c r="AK554" s="10"/>
      <c r="AL554" s="11" t="n">
        <v>0</v>
      </c>
      <c r="AM554" s="10" t="s">
        <v>1001</v>
      </c>
      <c r="AN554" s="10" t="s">
        <v>59</v>
      </c>
      <c r="AO554" s="10"/>
      <c r="AP554" s="10"/>
      <c r="AQ554" s="10"/>
      <c r="AR554" s="10" t="s">
        <v>66</v>
      </c>
      <c r="AS554" s="10"/>
      <c r="AT554" s="15" t="n">
        <v>1</v>
      </c>
    </row>
    <row r="555" customFormat="false" ht="28.5" hidden="false" customHeight="true" outlineLevel="0" collapsed="false">
      <c r="A555" s="12" t="n">
        <v>46262</v>
      </c>
      <c r="B555" s="12"/>
      <c r="C555" s="12" t="n">
        <v>46262</v>
      </c>
      <c r="D555" s="10" t="s">
        <v>945</v>
      </c>
      <c r="E555" s="10" t="s">
        <v>63</v>
      </c>
      <c r="F555" s="46" t="s">
        <v>1002</v>
      </c>
      <c r="G555" s="14" t="s">
        <v>49</v>
      </c>
      <c r="H555" s="10" t="s">
        <v>50</v>
      </c>
      <c r="I555" s="15" t="n">
        <v>3</v>
      </c>
      <c r="J555" s="10" t="s">
        <v>77</v>
      </c>
      <c r="K555" s="15" t="n">
        <v>0</v>
      </c>
      <c r="L555" s="11" t="n">
        <v>0</v>
      </c>
      <c r="M555" s="11" t="n">
        <v>0</v>
      </c>
      <c r="N555" s="10" t="s">
        <v>64</v>
      </c>
      <c r="O555" s="10"/>
      <c r="P555" s="10"/>
      <c r="Q555" s="16" t="n">
        <v>0</v>
      </c>
      <c r="R555" s="10"/>
      <c r="S555" s="10"/>
      <c r="T555" s="10" t="n">
        <v>0</v>
      </c>
      <c r="U555" s="11" t="n">
        <f aca="false">IF(E555="TRANSPORT",IF(T555="","",T555*5),IF(AL555="","",AL555))</f>
        <v>0</v>
      </c>
      <c r="V555" s="10" t="s">
        <v>54</v>
      </c>
      <c r="W555" s="15" t="s">
        <v>65</v>
      </c>
      <c r="X555" s="15"/>
      <c r="Y555" s="17" t="n">
        <v>46265.4075925926</v>
      </c>
      <c r="Z555" s="18" t="n">
        <f aca="false">IF(I555="",0,IF(ISNUMBER(SEARCH("mp",LOWER(J555))),I555,IF(ISNUMBER(SEARCH("ton",LOWER(J555))),I555/0.33,IF(ISNUMBER(SEARCH("m3",LOWER(J555))),I555*4,I555))))</f>
        <v>12</v>
      </c>
      <c r="AA555" s="18" t="n">
        <f aca="false">IF(I555="",0,IF(ISNUMBER(SEARCH("mp",LOWER(J555))),I555*0.33,IF(ISNUMBER(SEARCH("ton",LOWER(J555))),I555,I555*0.33)))</f>
        <v>0.99</v>
      </c>
      <c r="AB555" s="18" t="n">
        <f aca="false">Tabela_dane[[#This Row],[Wolumen_t]]*8.5</f>
        <v>8.415</v>
      </c>
      <c r="AC555" s="18" t="n">
        <f aca="false">IF(G555&lt;&gt;"TAK",0,IF(OR(E555="ZAKUP",E555="PRODUKCJA"),Z555,IF(OR(E555="SPRZEDAŻ",E555="ZUŻYCIE"),-Z555,0)))</f>
        <v>12</v>
      </c>
      <c r="AD555" s="18" t="n">
        <f aca="false">IF(G555&lt;&gt;"TAK",0,IF(OR(E555="ZAKUP",E555="PRODUKCJA"),AA555,IF(OR(E555="SPRZEDAŻ",E555="ZUŻYCIE"),-AA555,0)))</f>
        <v>0.99</v>
      </c>
      <c r="AE555" s="19" t="n">
        <f aca="false">IF(E555="ZAKUP",IF(L555&lt;&gt;"",L555,IF(K555&lt;&gt;"",Z555*K555,0)),0)</f>
        <v>0</v>
      </c>
      <c r="AF555" s="19" t="n">
        <f aca="false">IF(E555="SPRZEDAŻ",IF(M555&lt;&gt;"",Z555*M555,0),0)</f>
        <v>0</v>
      </c>
      <c r="AG555" s="19" t="str">
        <f aca="false">IF(R555="","",IF(LOWER(R555)="brak","Brak",IF(OR(ISNUMBER(SEARCH("ric pl",LOWER(R555))),ISNUMBER(SEARCH("wojciechowski",LOWER(R555)))),"Własny","Zewnętrzny")))</f>
        <v/>
      </c>
      <c r="AH555" s="19" t="n">
        <f aca="false">Z555*Q555</f>
        <v>0</v>
      </c>
      <c r="AI555" s="19" t="str">
        <f aca="false">UPPER(TEXT(C555,"mmmm"))</f>
        <v>AUGUST</v>
      </c>
      <c r="AJ555" s="19" t="str">
        <f aca="false">IF(C555="","",TEXT(C555,"rrrr"))</f>
        <v>CE5786CE5786</v>
      </c>
      <c r="AK555" s="10"/>
      <c r="AL555" s="11" t="n">
        <v>0</v>
      </c>
      <c r="AM555" s="10" t="s">
        <v>1003</v>
      </c>
      <c r="AN555" s="10" t="s">
        <v>59</v>
      </c>
      <c r="AO555" s="10"/>
      <c r="AP555" s="10"/>
      <c r="AQ555" s="10"/>
      <c r="AR555" s="10" t="s">
        <v>66</v>
      </c>
      <c r="AS555" s="10"/>
      <c r="AT555" s="15" t="n">
        <v>1</v>
      </c>
    </row>
    <row r="556" customFormat="false" ht="28.5" hidden="false" customHeight="true" outlineLevel="0" collapsed="false">
      <c r="A556" s="12" t="n">
        <v>46262</v>
      </c>
      <c r="B556" s="47" t="s">
        <v>54</v>
      </c>
      <c r="C556" s="12" t="n">
        <v>46262</v>
      </c>
      <c r="D556" s="10" t="s">
        <v>54</v>
      </c>
      <c r="E556" s="10" t="s">
        <v>559</v>
      </c>
      <c r="F556" s="55" t="s">
        <v>1004</v>
      </c>
      <c r="G556" s="14" t="s">
        <v>49</v>
      </c>
      <c r="H556" s="10" t="s">
        <v>76</v>
      </c>
      <c r="I556" s="15" t="n">
        <v>18.4</v>
      </c>
      <c r="J556" s="10" t="s">
        <v>103</v>
      </c>
      <c r="K556" s="15" t="n">
        <v>0</v>
      </c>
      <c r="L556" s="11" t="n">
        <v>0</v>
      </c>
      <c r="M556" s="11" t="n">
        <v>0</v>
      </c>
      <c r="N556" s="10" t="s">
        <v>486</v>
      </c>
      <c r="O556" s="10"/>
      <c r="P556" s="10"/>
      <c r="Q556" s="16" t="n">
        <v>0</v>
      </c>
      <c r="R556" s="10"/>
      <c r="S556" s="10"/>
      <c r="T556" s="10" t="n">
        <v>0</v>
      </c>
      <c r="U556" s="11" t="n">
        <f aca="false">IF(E556="TRANSPORT",IF(T556="","",T556*5),IF(AL556="","",AL556))</f>
        <v>0</v>
      </c>
      <c r="V556" s="10" t="s">
        <v>1005</v>
      </c>
      <c r="W556" s="15" t="s">
        <v>1006</v>
      </c>
      <c r="X556" s="15"/>
      <c r="Y556" s="17" t="n">
        <v>46267.4537615741</v>
      </c>
      <c r="Z556" s="18" t="n">
        <f aca="false">IF(I556="",0,IF(ISNUMBER(SEARCH("mp",LOWER(J556))),I556,IF(ISNUMBER(SEARCH("ton",LOWER(J556))),I556/0.33,IF(ISNUMBER(SEARCH("m3",LOWER(J556))),I556*4,I556))))</f>
        <v>55.7575757575758</v>
      </c>
      <c r="AA556" s="18" t="n">
        <f aca="false">IF(I556="",0,IF(ISNUMBER(SEARCH("mp",LOWER(J556))),I556*0.33,IF(ISNUMBER(SEARCH("ton",LOWER(J556))),I556,I556*0.33)))</f>
        <v>18.4</v>
      </c>
      <c r="AB556" s="18" t="n">
        <f aca="false">Tabela_dane[[#This Row],[Wolumen_t]]*8.5</f>
        <v>156.4</v>
      </c>
      <c r="AC556" s="18" t="n">
        <f aca="false">IF(G556&lt;&gt;"TAK",0,IF(OR(E556="ZAKUP",E556="PRODUKCJA"),Z556,IF(OR(E556="SPRZEDAŻ",E556="ZUŻYCIE"),-Z556,0)))</f>
        <v>-55.7575757575758</v>
      </c>
      <c r="AD556" s="18" t="n">
        <f aca="false">IF(G556&lt;&gt;"TAK",0,IF(OR(E556="ZAKUP",E556="PRODUKCJA"),AA556,IF(OR(E556="SPRZEDAŻ",E556="ZUŻYCIE"),-AA556,0)))</f>
        <v>-18.4</v>
      </c>
      <c r="AE556" s="19" t="n">
        <f aca="false">IF(E556="ZAKUP",IF(L556&lt;&gt;"",L556,IF(K556&lt;&gt;"",Z556*K556,0)),0)</f>
        <v>0</v>
      </c>
      <c r="AF556" s="19" t="n">
        <f aca="false">IF(E556="SPRZEDAŻ",IF(M556&lt;&gt;"",Z556*M556,0),0)</f>
        <v>0</v>
      </c>
      <c r="AG556" s="19" t="str">
        <f aca="false">IF(R556="","",IF(LOWER(R556)="brak","Brak",IF(OR(ISNUMBER(SEARCH("ric pl",LOWER(R556))),ISNUMBER(SEARCH("wojciechowski",LOWER(R556)))),"Własny","Zewnętrzny")))</f>
        <v/>
      </c>
      <c r="AH556" s="19" t="n">
        <f aca="false">Z556*Q556</f>
        <v>0</v>
      </c>
      <c r="AI556" s="19" t="str">
        <f aca="false">UPPER(TEXT(C556,"mmmm"))</f>
        <v>AUGUST</v>
      </c>
      <c r="AJ556" s="19" t="str">
        <f aca="false">IF(C556="","",TEXT(C556,"rrrr"))</f>
        <v>CE5786CE5786</v>
      </c>
      <c r="AK556" s="10"/>
      <c r="AL556" s="11" t="n">
        <v>0</v>
      </c>
      <c r="AM556" s="10" t="s">
        <v>1007</v>
      </c>
      <c r="AN556" s="10" t="s">
        <v>59</v>
      </c>
      <c r="AO556" s="10"/>
      <c r="AP556" s="10"/>
      <c r="AQ556" s="10"/>
      <c r="AR556" s="10" t="s">
        <v>66</v>
      </c>
      <c r="AS556" s="10"/>
      <c r="AT556" s="15" t="n">
        <v>1</v>
      </c>
    </row>
    <row r="557" customFormat="false" ht="28.5" hidden="false" customHeight="true" outlineLevel="0" collapsed="false">
      <c r="A557" s="12" t="n">
        <v>46262</v>
      </c>
      <c r="B557" s="47" t="s">
        <v>54</v>
      </c>
      <c r="C557" s="12" t="n">
        <v>46262</v>
      </c>
      <c r="D557" s="10" t="s">
        <v>54</v>
      </c>
      <c r="E557" s="10" t="s">
        <v>559</v>
      </c>
      <c r="F557" s="55" t="s">
        <v>1008</v>
      </c>
      <c r="G557" s="14" t="s">
        <v>49</v>
      </c>
      <c r="H557" s="10" t="s">
        <v>76</v>
      </c>
      <c r="I557" s="15" t="n">
        <v>20</v>
      </c>
      <c r="J557" s="10" t="s">
        <v>103</v>
      </c>
      <c r="K557" s="15" t="n">
        <v>0</v>
      </c>
      <c r="L557" s="11" t="n">
        <v>0</v>
      </c>
      <c r="M557" s="11" t="n">
        <v>0</v>
      </c>
      <c r="N557" s="10" t="s">
        <v>486</v>
      </c>
      <c r="O557" s="10"/>
      <c r="P557" s="10"/>
      <c r="Q557" s="16" t="n">
        <v>0</v>
      </c>
      <c r="R557" s="10"/>
      <c r="S557" s="10"/>
      <c r="T557" s="10" t="n">
        <v>0</v>
      </c>
      <c r="U557" s="11" t="n">
        <f aca="false">IF(E557="TRANSPORT",IF(T557="","",T557*5),IF(AL557="","",AL557))</f>
        <v>0</v>
      </c>
      <c r="V557" s="10" t="s">
        <v>1005</v>
      </c>
      <c r="W557" s="15" t="s">
        <v>1009</v>
      </c>
      <c r="X557" s="15"/>
      <c r="Y557" s="17" t="n">
        <v>46267.4557986111</v>
      </c>
      <c r="Z557" s="18" t="n">
        <f aca="false">IF(I557="",0,IF(ISNUMBER(SEARCH("mp",LOWER(J557))),I557,IF(ISNUMBER(SEARCH("ton",LOWER(J557))),I557/0.33,IF(ISNUMBER(SEARCH("m3",LOWER(J557))),I557*4,I557))))</f>
        <v>60.6060606060606</v>
      </c>
      <c r="AA557" s="18" t="n">
        <f aca="false">IF(I557="",0,IF(ISNUMBER(SEARCH("mp",LOWER(J557))),I557*0.33,IF(ISNUMBER(SEARCH("ton",LOWER(J557))),I557,I557*0.33)))</f>
        <v>20</v>
      </c>
      <c r="AB557" s="18" t="n">
        <f aca="false">Tabela_dane[[#This Row],[Wolumen_t]]*8.5</f>
        <v>170</v>
      </c>
      <c r="AC557" s="18" t="n">
        <f aca="false">IF(G557&lt;&gt;"TAK",0,IF(OR(E557="ZAKUP",E557="PRODUKCJA"),Z557,IF(OR(E557="SPRZEDAŻ",E557="ZUŻYCIE"),-Z557,0)))</f>
        <v>-60.6060606060606</v>
      </c>
      <c r="AD557" s="18" t="n">
        <f aca="false">IF(G557&lt;&gt;"TAK",0,IF(OR(E557="ZAKUP",E557="PRODUKCJA"),AA557,IF(OR(E557="SPRZEDAŻ",E557="ZUŻYCIE"),-AA557,0)))</f>
        <v>-20</v>
      </c>
      <c r="AE557" s="19" t="n">
        <f aca="false">IF(E557="ZAKUP",IF(L557&lt;&gt;"",L557,IF(K557&lt;&gt;"",Z557*K557,0)),0)</f>
        <v>0</v>
      </c>
      <c r="AF557" s="19" t="n">
        <f aca="false">IF(E557="SPRZEDAŻ",IF(M557&lt;&gt;"",Z557*M557,0),0)</f>
        <v>0</v>
      </c>
      <c r="AG557" s="19" t="str">
        <f aca="false">IF(R557="","",IF(LOWER(R557)="brak","Brak",IF(OR(ISNUMBER(SEARCH("ric pl",LOWER(R557))),ISNUMBER(SEARCH("wojciechowski",LOWER(R557)))),"Własny","Zewnętrzny")))</f>
        <v/>
      </c>
      <c r="AH557" s="19" t="n">
        <f aca="false">Z557*Q557</f>
        <v>0</v>
      </c>
      <c r="AI557" s="19" t="str">
        <f aca="false">UPPER(TEXT(C557,"mmmm"))</f>
        <v>AUGUST</v>
      </c>
      <c r="AJ557" s="19" t="str">
        <f aca="false">IF(C557="","",TEXT(C557,"rrrr"))</f>
        <v>CE5786CE5786</v>
      </c>
      <c r="AK557" s="10"/>
      <c r="AL557" s="11" t="n">
        <v>0</v>
      </c>
      <c r="AM557" s="10" t="s">
        <v>1010</v>
      </c>
      <c r="AN557" s="10" t="s">
        <v>59</v>
      </c>
      <c r="AO557" s="10"/>
      <c r="AP557" s="10"/>
      <c r="AQ557" s="10"/>
      <c r="AR557" s="10" t="s">
        <v>66</v>
      </c>
      <c r="AS557" s="10"/>
      <c r="AT557" s="15" t="n">
        <v>1</v>
      </c>
    </row>
    <row r="558" customFormat="false" ht="28.5" hidden="false" customHeight="true" outlineLevel="0" collapsed="false">
      <c r="A558" s="12" t="n">
        <v>46265</v>
      </c>
      <c r="B558" s="12"/>
      <c r="C558" s="12" t="n">
        <v>46265</v>
      </c>
      <c r="D558" s="10" t="s">
        <v>46</v>
      </c>
      <c r="E558" s="10" t="s">
        <v>63</v>
      </c>
      <c r="F558" s="20" t="s">
        <v>1011</v>
      </c>
      <c r="G558" s="14" t="s">
        <v>49</v>
      </c>
      <c r="H558" s="10" t="s">
        <v>76</v>
      </c>
      <c r="I558" s="15" t="n">
        <v>28.57</v>
      </c>
      <c r="J558" s="10" t="s">
        <v>77</v>
      </c>
      <c r="K558" s="15" t="n">
        <v>230</v>
      </c>
      <c r="L558" s="11" t="n">
        <v>6571.1</v>
      </c>
      <c r="M558" s="11" t="n">
        <v>0</v>
      </c>
      <c r="N558" s="10" t="s">
        <v>64</v>
      </c>
      <c r="O558" s="10"/>
      <c r="P558" s="10"/>
      <c r="Q558" s="16" t="n">
        <v>0</v>
      </c>
      <c r="R558" s="10"/>
      <c r="S558" s="10"/>
      <c r="T558" s="10" t="n">
        <v>0</v>
      </c>
      <c r="U558" s="11" t="n">
        <f aca="false">IF(E558="TRANSPORT",IF(T558="","",T558*5),IF(AL558="","",AL558))</f>
        <v>0</v>
      </c>
      <c r="V558" s="10" t="s">
        <v>54</v>
      </c>
      <c r="W558" s="15" t="s">
        <v>65</v>
      </c>
      <c r="X558" s="15"/>
      <c r="Y558" s="17" t="n">
        <v>46265.4182638889</v>
      </c>
      <c r="Z558" s="18" t="n">
        <f aca="false">IF(I558="",0,IF(ISNUMBER(SEARCH("mp",LOWER(J558))),I558,IF(ISNUMBER(SEARCH("ton",LOWER(J558))),I558/0.33,IF(ISNUMBER(SEARCH("m3",LOWER(J558))),I558*4,I558))))</f>
        <v>114.28</v>
      </c>
      <c r="AA558" s="18" t="n">
        <f aca="false">IF(I558="",0,IF(ISNUMBER(SEARCH("mp",LOWER(J558))),I558*0.33,IF(ISNUMBER(SEARCH("ton",LOWER(J558))),I558,I558*0.33)))</f>
        <v>9.4281</v>
      </c>
      <c r="AB558" s="18" t="n">
        <f aca="false">Tabela_dane[[#This Row],[Wolumen_t]]*8.5</f>
        <v>80.13885</v>
      </c>
      <c r="AC558" s="18" t="n">
        <f aca="false">IF(G558&lt;&gt;"TAK",0,IF(OR(E558="ZAKUP",E558="PRODUKCJA"),Z558,IF(OR(E558="SPRZEDAŻ",E558="ZUŻYCIE"),-Z558,0)))</f>
        <v>114.28</v>
      </c>
      <c r="AD558" s="18" t="n">
        <f aca="false">IF(G558&lt;&gt;"TAK",0,IF(OR(E558="ZAKUP",E558="PRODUKCJA"),AA558,IF(OR(E558="SPRZEDAŻ",E558="ZUŻYCIE"),-AA558,0)))</f>
        <v>9.4281</v>
      </c>
      <c r="AE558" s="19" t="n">
        <f aca="false">IF(E558="ZAKUP",IF(L558&lt;&gt;"",L558,IF(K558&lt;&gt;"",Z558*K558,0)),0)</f>
        <v>6571.1</v>
      </c>
      <c r="AF558" s="19" t="n">
        <f aca="false">IF(E558="SPRZEDAŻ",IF(M558&lt;&gt;"",Z558*M558,0),0)</f>
        <v>0</v>
      </c>
      <c r="AG558" s="19" t="str">
        <f aca="false">IF(R558="","",IF(LOWER(R558)="brak","Brak",IF(OR(ISNUMBER(SEARCH("ric pl",LOWER(R558))),ISNUMBER(SEARCH("wojciechowski",LOWER(R558)))),"Własny","Zewnętrzny")))</f>
        <v/>
      </c>
      <c r="AH558" s="19" t="n">
        <f aca="false">Z558*Q558</f>
        <v>0</v>
      </c>
      <c r="AI558" s="19" t="str">
        <f aca="false">UPPER(TEXT(C558,"mmmm"))</f>
        <v>AUGUST</v>
      </c>
      <c r="AJ558" s="19" t="str">
        <f aca="false">IF(C558="","",TEXT(C558,"rrrr"))</f>
        <v>CE5786CE5786</v>
      </c>
      <c r="AK558" s="10"/>
      <c r="AL558" s="11" t="n">
        <v>0</v>
      </c>
      <c r="AM558" s="10" t="s">
        <v>1012</v>
      </c>
      <c r="AN558" s="10" t="s">
        <v>59</v>
      </c>
      <c r="AO558" s="10"/>
      <c r="AP558" s="10"/>
      <c r="AQ558" s="10"/>
      <c r="AR558" s="10" t="s">
        <v>66</v>
      </c>
      <c r="AS558" s="10"/>
      <c r="AT558" s="15" t="n">
        <v>1</v>
      </c>
    </row>
    <row r="559" customFormat="false" ht="28.5" hidden="false" customHeight="true" outlineLevel="0" collapsed="false">
      <c r="A559" s="12" t="n">
        <v>46265</v>
      </c>
      <c r="B559" s="12"/>
      <c r="C559" s="12" t="n">
        <v>46265</v>
      </c>
      <c r="D559" s="10" t="s">
        <v>46</v>
      </c>
      <c r="E559" s="10" t="s">
        <v>63</v>
      </c>
      <c r="F559" s="20" t="s">
        <v>1013</v>
      </c>
      <c r="G559" s="14" t="s">
        <v>49</v>
      </c>
      <c r="H559" s="10" t="s">
        <v>76</v>
      </c>
      <c r="I559" s="15" t="n">
        <v>30.46</v>
      </c>
      <c r="J559" s="10" t="s">
        <v>77</v>
      </c>
      <c r="K559" s="15" t="n">
        <v>230</v>
      </c>
      <c r="L559" s="11" t="n">
        <v>7005.8</v>
      </c>
      <c r="M559" s="11" t="n">
        <v>0</v>
      </c>
      <c r="N559" s="10" t="s">
        <v>64</v>
      </c>
      <c r="O559" s="10"/>
      <c r="P559" s="10"/>
      <c r="Q559" s="16" t="n">
        <v>0</v>
      </c>
      <c r="R559" s="10"/>
      <c r="S559" s="10"/>
      <c r="T559" s="10" t="n">
        <v>0</v>
      </c>
      <c r="U559" s="11" t="n">
        <f aca="false">IF(E559="TRANSPORT",IF(T559="","",T559*5),IF(AL559="","",AL559))</f>
        <v>0</v>
      </c>
      <c r="V559" s="10" t="s">
        <v>54</v>
      </c>
      <c r="W559" s="15" t="s">
        <v>70</v>
      </c>
      <c r="X559" s="15"/>
      <c r="Y559" s="17" t="n">
        <v>46265.4196180556</v>
      </c>
      <c r="Z559" s="18" t="n">
        <f aca="false">IF(I559="",0,IF(ISNUMBER(SEARCH("mp",LOWER(J559))),I559,IF(ISNUMBER(SEARCH("ton",LOWER(J559))),I559/0.33,IF(ISNUMBER(SEARCH("m3",LOWER(J559))),I559*4,I559))))</f>
        <v>121.84</v>
      </c>
      <c r="AA559" s="18" t="n">
        <f aca="false">IF(I559="",0,IF(ISNUMBER(SEARCH("mp",LOWER(J559))),I559*0.33,IF(ISNUMBER(SEARCH("ton",LOWER(J559))),I559,I559*0.33)))</f>
        <v>10.0518</v>
      </c>
      <c r="AB559" s="18" t="n">
        <f aca="false">Tabela_dane[[#This Row],[Wolumen_t]]*8.5</f>
        <v>85.4403</v>
      </c>
      <c r="AC559" s="18" t="n">
        <f aca="false">IF(G559&lt;&gt;"TAK",0,IF(OR(E559="ZAKUP",E559="PRODUKCJA"),Z559,IF(OR(E559="SPRZEDAŻ",E559="ZUŻYCIE"),-Z559,0)))</f>
        <v>121.84</v>
      </c>
      <c r="AD559" s="18" t="n">
        <f aca="false">IF(G559&lt;&gt;"TAK",0,IF(OR(E559="ZAKUP",E559="PRODUKCJA"),AA559,IF(OR(E559="SPRZEDAŻ",E559="ZUŻYCIE"),-AA559,0)))</f>
        <v>10.0518</v>
      </c>
      <c r="AE559" s="19" t="n">
        <f aca="false">IF(E559="ZAKUP",IF(L559&lt;&gt;"",L559,IF(K559&lt;&gt;"",Z559*K559,0)),0)</f>
        <v>7005.8</v>
      </c>
      <c r="AF559" s="19" t="n">
        <f aca="false">IF(E559="SPRZEDAŻ",IF(M559&lt;&gt;"",Z559*M559,0),0)</f>
        <v>0</v>
      </c>
      <c r="AG559" s="19" t="str">
        <f aca="false">IF(R559="","",IF(LOWER(R559)="brak","Brak",IF(OR(ISNUMBER(SEARCH("ric pl",LOWER(R559))),ISNUMBER(SEARCH("wojciechowski",LOWER(R559)))),"Własny","Zewnętrzny")))</f>
        <v/>
      </c>
      <c r="AH559" s="19" t="n">
        <f aca="false">Z559*Q559</f>
        <v>0</v>
      </c>
      <c r="AI559" s="19" t="str">
        <f aca="false">UPPER(TEXT(C559,"mmmm"))</f>
        <v>AUGUST</v>
      </c>
      <c r="AJ559" s="19" t="str">
        <f aca="false">IF(C559="","",TEXT(C559,"rrrr"))</f>
        <v>CE5786CE5786</v>
      </c>
      <c r="AK559" s="10"/>
      <c r="AL559" s="11" t="n">
        <v>0</v>
      </c>
      <c r="AM559" s="10" t="s">
        <v>1014</v>
      </c>
      <c r="AN559" s="10" t="s">
        <v>59</v>
      </c>
      <c r="AO559" s="10"/>
      <c r="AP559" s="10"/>
      <c r="AQ559" s="10"/>
      <c r="AR559" s="10" t="s">
        <v>66</v>
      </c>
      <c r="AS559" s="10"/>
      <c r="AT559" s="15" t="n">
        <v>1</v>
      </c>
    </row>
    <row r="560" customFormat="false" ht="28.5" hidden="false" customHeight="true" outlineLevel="0" collapsed="false">
      <c r="A560" s="12" t="n">
        <v>46265</v>
      </c>
      <c r="B560" s="12"/>
      <c r="C560" s="12" t="n">
        <v>46265</v>
      </c>
      <c r="D560" s="10" t="s">
        <v>46</v>
      </c>
      <c r="E560" s="10" t="s">
        <v>63</v>
      </c>
      <c r="F560" s="20" t="s">
        <v>1015</v>
      </c>
      <c r="G560" s="14" t="s">
        <v>49</v>
      </c>
      <c r="H560" s="10" t="s">
        <v>76</v>
      </c>
      <c r="I560" s="15" t="n">
        <v>22.57</v>
      </c>
      <c r="J560" s="10" t="s">
        <v>77</v>
      </c>
      <c r="K560" s="15" t="n">
        <v>230</v>
      </c>
      <c r="L560" s="11" t="n">
        <v>5191.1</v>
      </c>
      <c r="M560" s="11" t="n">
        <v>0</v>
      </c>
      <c r="N560" s="10" t="s">
        <v>64</v>
      </c>
      <c r="O560" s="10"/>
      <c r="P560" s="10"/>
      <c r="Q560" s="16" t="n">
        <v>0</v>
      </c>
      <c r="R560" s="10"/>
      <c r="S560" s="10"/>
      <c r="T560" s="10" t="n">
        <v>0</v>
      </c>
      <c r="U560" s="11" t="n">
        <f aca="false">IF(E560="TRANSPORT",IF(T560="","",T560*5),IF(AL560="","",AL560))</f>
        <v>0</v>
      </c>
      <c r="V560" s="10" t="s">
        <v>54</v>
      </c>
      <c r="W560" s="15" t="s">
        <v>70</v>
      </c>
      <c r="X560" s="15"/>
      <c r="Y560" s="17" t="n">
        <v>46265.4472453704</v>
      </c>
      <c r="Z560" s="18" t="n">
        <f aca="false">IF(I560="",0,IF(ISNUMBER(SEARCH("mp",LOWER(J560))),I560,IF(ISNUMBER(SEARCH("ton",LOWER(J560))),I560/0.33,IF(ISNUMBER(SEARCH("m3",LOWER(J560))),I560*4,I560))))</f>
        <v>90.28</v>
      </c>
      <c r="AA560" s="18" t="n">
        <f aca="false">IF(I560="",0,IF(ISNUMBER(SEARCH("mp",LOWER(J560))),I560*0.33,IF(ISNUMBER(SEARCH("ton",LOWER(J560))),I560,I560*0.33)))</f>
        <v>7.4481</v>
      </c>
      <c r="AB560" s="18" t="n">
        <f aca="false">Tabela_dane[[#This Row],[Wolumen_t]]*8.5</f>
        <v>63.30885</v>
      </c>
      <c r="AC560" s="18" t="n">
        <f aca="false">IF(G560&lt;&gt;"TAK",0,IF(OR(E560="ZAKUP",E560="PRODUKCJA"),Z560,IF(OR(E560="SPRZEDAŻ",E560="ZUŻYCIE"),-Z560,0)))</f>
        <v>90.28</v>
      </c>
      <c r="AD560" s="18" t="n">
        <f aca="false">IF(G560&lt;&gt;"TAK",0,IF(OR(E560="ZAKUP",E560="PRODUKCJA"),AA560,IF(OR(E560="SPRZEDAŻ",E560="ZUŻYCIE"),-AA560,0)))</f>
        <v>7.4481</v>
      </c>
      <c r="AE560" s="19" t="n">
        <f aca="false">IF(E560="ZAKUP",IF(L560&lt;&gt;"",L560,IF(K560&lt;&gt;"",Z560*K560,0)),0)</f>
        <v>5191.1</v>
      </c>
      <c r="AF560" s="19" t="n">
        <f aca="false">IF(E560="SPRZEDAŻ",IF(M560&lt;&gt;"",Z560*M560,0),0)</f>
        <v>0</v>
      </c>
      <c r="AG560" s="19" t="str">
        <f aca="false">IF(R560="","",IF(LOWER(R560)="brak","Brak",IF(OR(ISNUMBER(SEARCH("ric pl",LOWER(R560))),ISNUMBER(SEARCH("wojciechowski",LOWER(R560)))),"Własny","Zewnętrzny")))</f>
        <v/>
      </c>
      <c r="AH560" s="19" t="n">
        <f aca="false">Z560*Q560</f>
        <v>0</v>
      </c>
      <c r="AI560" s="19" t="str">
        <f aca="false">UPPER(TEXT(C560,"mmmm"))</f>
        <v>AUGUST</v>
      </c>
      <c r="AJ560" s="19" t="str">
        <f aca="false">IF(C560="","",TEXT(C560,"rrrr"))</f>
        <v>CE5786CE5786</v>
      </c>
      <c r="AK560" s="10"/>
      <c r="AL560" s="11" t="n">
        <v>0</v>
      </c>
      <c r="AM560" s="10" t="s">
        <v>1016</v>
      </c>
      <c r="AN560" s="10" t="s">
        <v>59</v>
      </c>
      <c r="AO560" s="10"/>
      <c r="AP560" s="10"/>
      <c r="AQ560" s="10"/>
      <c r="AR560" s="10" t="s">
        <v>66</v>
      </c>
      <c r="AS560" s="10"/>
      <c r="AT560" s="15" t="n">
        <v>1</v>
      </c>
    </row>
    <row r="561" customFormat="false" ht="28.5" hidden="false" customHeight="true" outlineLevel="0" collapsed="false">
      <c r="A561" s="12" t="n">
        <v>46265</v>
      </c>
      <c r="B561" s="12" t="s">
        <v>1017</v>
      </c>
      <c r="C561" s="12" t="n">
        <v>46265</v>
      </c>
      <c r="D561" s="10" t="s">
        <v>54</v>
      </c>
      <c r="E561" s="10" t="s">
        <v>63</v>
      </c>
      <c r="F561" s="13" t="s">
        <v>1018</v>
      </c>
      <c r="G561" s="14" t="s">
        <v>49</v>
      </c>
      <c r="H561" s="10" t="s">
        <v>50</v>
      </c>
      <c r="I561" s="15" t="n">
        <v>80</v>
      </c>
      <c r="J561" s="10" t="s">
        <v>51</v>
      </c>
      <c r="K561" s="15" t="n">
        <v>0</v>
      </c>
      <c r="L561" s="11" t="n">
        <v>0</v>
      </c>
      <c r="M561" s="11" t="n">
        <v>0</v>
      </c>
      <c r="N561" s="10" t="s">
        <v>52</v>
      </c>
      <c r="O561" s="10" t="s">
        <v>67</v>
      </c>
      <c r="P561" s="10"/>
      <c r="Q561" s="16" t="n">
        <v>0</v>
      </c>
      <c r="R561" s="10" t="s">
        <v>94</v>
      </c>
      <c r="S561" s="10" t="s">
        <v>95</v>
      </c>
      <c r="T561" s="10" t="n">
        <v>100</v>
      </c>
      <c r="U561" s="11" t="n">
        <f aca="false">IF(E561="TRANSPORT",IF(T561="","",T561*5),IF(AL561="","",AL561))</f>
        <v>500</v>
      </c>
      <c r="V561" s="10" t="s">
        <v>54</v>
      </c>
      <c r="W561" s="15" t="s">
        <v>70</v>
      </c>
      <c r="X561" s="15"/>
      <c r="Y561" s="17" t="n">
        <v>46265.5302662037</v>
      </c>
      <c r="Z561" s="18" t="n">
        <f aca="false">IF(I561="",0,IF(ISNUMBER(SEARCH("mp",LOWER(J561))),I561,IF(ISNUMBER(SEARCH("ton",LOWER(J561))),I561/0.33,IF(ISNUMBER(SEARCH("m3",LOWER(J561))),I561*4,I561))))</f>
        <v>80</v>
      </c>
      <c r="AA561" s="18" t="n">
        <f aca="false">IF(I561="",0,IF(ISNUMBER(SEARCH("mp",LOWER(J561))),I561*0.33,IF(ISNUMBER(SEARCH("ton",LOWER(J561))),I561,I561*0.33)))</f>
        <v>26.4</v>
      </c>
      <c r="AB561" s="18" t="n">
        <f aca="false">Tabela_dane[[#This Row],[Wolumen_t]]*8.5</f>
        <v>224.4</v>
      </c>
      <c r="AC561" s="18" t="n">
        <f aca="false">IF(G561&lt;&gt;"TAK",0,IF(OR(E561="ZAKUP",E561="PRODUKCJA"),Z561,IF(OR(E561="SPRZEDAŻ",E561="ZUŻYCIE"),-Z561,0)))</f>
        <v>80</v>
      </c>
      <c r="AD561" s="18" t="n">
        <f aca="false">IF(G561&lt;&gt;"TAK",0,IF(OR(E561="ZAKUP",E561="PRODUKCJA"),AA561,IF(OR(E561="SPRZEDAŻ",E561="ZUŻYCIE"),-AA561,0)))</f>
        <v>26.4</v>
      </c>
      <c r="AE561" s="19" t="n">
        <f aca="false">IF(E561="ZAKUP",IF(L561&lt;&gt;"",L561,IF(K561&lt;&gt;"",Z561*K561,0)),0)</f>
        <v>0</v>
      </c>
      <c r="AF561" s="19" t="n">
        <f aca="false">IF(E561="SPRZEDAŻ",IF(M561&lt;&gt;"",Z561*M561,0),0)</f>
        <v>0</v>
      </c>
      <c r="AG561" s="19" t="str">
        <f aca="false">IF(R561="","",IF(LOWER(R561)="brak","Brak",IF(OR(ISNUMBER(SEARCH("ric pl",LOWER(R561))),ISNUMBER(SEARCH("wojciechowski",LOWER(R561)))),"Własny","Zewnętrzny")))</f>
        <v>Zewnętrzny</v>
      </c>
      <c r="AH561" s="19" t="n">
        <f aca="false">Z561*Q561</f>
        <v>0</v>
      </c>
      <c r="AI561" s="19" t="str">
        <f aca="false">UPPER(TEXT(C561,"mmmm"))</f>
        <v>AUGUST</v>
      </c>
      <c r="AJ561" s="19" t="str">
        <f aca="false">IF(C561="","",TEXT(C561,"rrrr"))</f>
        <v>CE5786CE5786</v>
      </c>
      <c r="AK561" s="10"/>
      <c r="AL561" s="11" t="n">
        <v>500</v>
      </c>
      <c r="AM561" s="10" t="s">
        <v>1019</v>
      </c>
      <c r="AN561" s="10" t="s">
        <v>49</v>
      </c>
      <c r="AO561" s="10"/>
      <c r="AP561" s="10"/>
      <c r="AQ561" s="10"/>
      <c r="AR561" s="10" t="s">
        <v>66</v>
      </c>
      <c r="AS561" s="10"/>
      <c r="AT561" s="15" t="n">
        <v>1</v>
      </c>
    </row>
    <row r="562" customFormat="false" ht="28.5" hidden="false" customHeight="true" outlineLevel="0" collapsed="false">
      <c r="A562" s="12" t="n">
        <v>46265</v>
      </c>
      <c r="B562" s="12"/>
      <c r="C562" s="12" t="n">
        <v>46265</v>
      </c>
      <c r="D562" s="10" t="s">
        <v>46</v>
      </c>
      <c r="E562" s="10" t="s">
        <v>63</v>
      </c>
      <c r="F562" s="20" t="s">
        <v>1020</v>
      </c>
      <c r="G562" s="14" t="s">
        <v>49</v>
      </c>
      <c r="H562" s="10" t="s">
        <v>76</v>
      </c>
      <c r="I562" s="15" t="n">
        <v>22.38</v>
      </c>
      <c r="J562" s="10" t="s">
        <v>77</v>
      </c>
      <c r="K562" s="15" t="n">
        <v>230</v>
      </c>
      <c r="L562" s="11" t="n">
        <v>5147.4</v>
      </c>
      <c r="M562" s="11" t="n">
        <v>0</v>
      </c>
      <c r="N562" s="10" t="s">
        <v>64</v>
      </c>
      <c r="O562" s="10"/>
      <c r="P562" s="10"/>
      <c r="Q562" s="16" t="n">
        <v>0</v>
      </c>
      <c r="R562" s="10"/>
      <c r="S562" s="10"/>
      <c r="T562" s="10" t="n">
        <v>0</v>
      </c>
      <c r="U562" s="11" t="n">
        <f aca="false">IF(E562="TRANSPORT",IF(T562="","",T562*5),IF(AL562="","",AL562))</f>
        <v>0</v>
      </c>
      <c r="V562" s="10" t="s">
        <v>54</v>
      </c>
      <c r="W562" s="15" t="s">
        <v>70</v>
      </c>
      <c r="X562" s="15"/>
      <c r="Y562" s="17" t="n">
        <v>46265.5378125</v>
      </c>
      <c r="Z562" s="18" t="n">
        <f aca="false">IF(I562="",0,IF(ISNUMBER(SEARCH("mp",LOWER(J562))),I562,IF(ISNUMBER(SEARCH("ton",LOWER(J562))),I562/0.33,IF(ISNUMBER(SEARCH("m3",LOWER(J562))),I562*4,I562))))</f>
        <v>89.52</v>
      </c>
      <c r="AA562" s="18" t="n">
        <f aca="false">IF(I562="",0,IF(ISNUMBER(SEARCH("mp",LOWER(J562))),I562*0.33,IF(ISNUMBER(SEARCH("ton",LOWER(J562))),I562,I562*0.33)))</f>
        <v>7.3854</v>
      </c>
      <c r="AB562" s="18" t="n">
        <f aca="false">Tabela_dane[[#This Row],[Wolumen_t]]*8.5</f>
        <v>62.7759</v>
      </c>
      <c r="AC562" s="18" t="n">
        <f aca="false">IF(G562&lt;&gt;"TAK",0,IF(OR(E562="ZAKUP",E562="PRODUKCJA"),Z562,IF(OR(E562="SPRZEDAŻ",E562="ZUŻYCIE"),-Z562,0)))</f>
        <v>89.52</v>
      </c>
      <c r="AD562" s="18" t="n">
        <f aca="false">IF(G562&lt;&gt;"TAK",0,IF(OR(E562="ZAKUP",E562="PRODUKCJA"),AA562,IF(OR(E562="SPRZEDAŻ",E562="ZUŻYCIE"),-AA562,0)))</f>
        <v>7.3854</v>
      </c>
      <c r="AE562" s="19" t="n">
        <f aca="false">IF(E562="ZAKUP",IF(L562&lt;&gt;"",L562,IF(K562&lt;&gt;"",Z562*K562,0)),0)</f>
        <v>5147.4</v>
      </c>
      <c r="AF562" s="19" t="n">
        <f aca="false">IF(E562="SPRZEDAŻ",IF(M562&lt;&gt;"",Z562*M562,0),0)</f>
        <v>0</v>
      </c>
      <c r="AG562" s="19" t="str">
        <f aca="false">IF(R562="","",IF(LOWER(R562)="brak","Brak",IF(OR(ISNUMBER(SEARCH("ric pl",LOWER(R562))),ISNUMBER(SEARCH("wojciechowski",LOWER(R562)))),"Własny","Zewnętrzny")))</f>
        <v/>
      </c>
      <c r="AH562" s="19" t="n">
        <f aca="false">Z562*Q562</f>
        <v>0</v>
      </c>
      <c r="AI562" s="19" t="str">
        <f aca="false">UPPER(TEXT(C562,"mmmm"))</f>
        <v>AUGUST</v>
      </c>
      <c r="AJ562" s="19" t="str">
        <f aca="false">IF(C562="","",TEXT(C562,"rrrr"))</f>
        <v>CE5786CE5786</v>
      </c>
      <c r="AK562" s="10"/>
      <c r="AL562" s="11" t="n">
        <v>0</v>
      </c>
      <c r="AM562" s="10" t="s">
        <v>1021</v>
      </c>
      <c r="AN562" s="10" t="s">
        <v>59</v>
      </c>
      <c r="AO562" s="10"/>
      <c r="AP562" s="10"/>
      <c r="AQ562" s="10"/>
      <c r="AR562" s="10" t="s">
        <v>66</v>
      </c>
      <c r="AS562" s="10"/>
      <c r="AT562" s="15" t="n">
        <v>1</v>
      </c>
    </row>
    <row r="563" customFormat="false" ht="28.5" hidden="false" customHeight="true" outlineLevel="0" collapsed="false">
      <c r="A563" s="12" t="n">
        <v>46265</v>
      </c>
      <c r="B563" s="12" t="s">
        <v>1017</v>
      </c>
      <c r="C563" s="12" t="n">
        <v>46265</v>
      </c>
      <c r="D563" s="10" t="s">
        <v>54</v>
      </c>
      <c r="E563" s="10" t="s">
        <v>63</v>
      </c>
      <c r="F563" s="13" t="s">
        <v>1022</v>
      </c>
      <c r="G563" s="14" t="s">
        <v>49</v>
      </c>
      <c r="H563" s="10" t="s">
        <v>50</v>
      </c>
      <c r="I563" s="15" t="n">
        <v>80</v>
      </c>
      <c r="J563" s="10" t="s">
        <v>51</v>
      </c>
      <c r="K563" s="15" t="n">
        <v>0</v>
      </c>
      <c r="L563" s="11" t="n">
        <v>0</v>
      </c>
      <c r="M563" s="11" t="n">
        <v>0</v>
      </c>
      <c r="N563" s="10" t="s">
        <v>52</v>
      </c>
      <c r="O563" s="10" t="s">
        <v>67</v>
      </c>
      <c r="P563" s="10"/>
      <c r="Q563" s="16" t="n">
        <v>0</v>
      </c>
      <c r="R563" s="10" t="s">
        <v>68</v>
      </c>
      <c r="S563" s="10" t="s">
        <v>69</v>
      </c>
      <c r="T563" s="10" t="n">
        <v>100</v>
      </c>
      <c r="U563" s="11" t="n">
        <f aca="false">IF(E563="TRANSPORT",IF(T563="","",T563*5),IF(AL563="","",AL563))</f>
        <v>500</v>
      </c>
      <c r="V563" s="10" t="s">
        <v>54</v>
      </c>
      <c r="W563" s="15" t="s">
        <v>70</v>
      </c>
      <c r="X563" s="15"/>
      <c r="Y563" s="17" t="n">
        <v>46265.55</v>
      </c>
      <c r="Z563" s="18" t="n">
        <f aca="false">IF(I563="",0,IF(ISNUMBER(SEARCH("mp",LOWER(J563))),I563,IF(ISNUMBER(SEARCH("ton",LOWER(J563))),I563/0.33,IF(ISNUMBER(SEARCH("m3",LOWER(J563))),I563*4,I563))))</f>
        <v>80</v>
      </c>
      <c r="AA563" s="18" t="n">
        <f aca="false">IF(I563="",0,IF(ISNUMBER(SEARCH("mp",LOWER(J563))),I563*0.33,IF(ISNUMBER(SEARCH("ton",LOWER(J563))),I563,I563*0.33)))</f>
        <v>26.4</v>
      </c>
      <c r="AB563" s="18" t="n">
        <f aca="false">Tabela_dane[[#This Row],[Wolumen_t]]*8.5</f>
        <v>224.4</v>
      </c>
      <c r="AC563" s="18" t="n">
        <f aca="false">IF(G563&lt;&gt;"TAK",0,IF(OR(E563="ZAKUP",E563="PRODUKCJA"),Z563,IF(OR(E563="SPRZEDAŻ",E563="ZUŻYCIE"),-Z563,0)))</f>
        <v>80</v>
      </c>
      <c r="AD563" s="18" t="n">
        <f aca="false">IF(G563&lt;&gt;"TAK",0,IF(OR(E563="ZAKUP",E563="PRODUKCJA"),AA563,IF(OR(E563="SPRZEDAŻ",E563="ZUŻYCIE"),-AA563,0)))</f>
        <v>26.4</v>
      </c>
      <c r="AE563" s="19" t="n">
        <f aca="false">IF(E563="ZAKUP",IF(L563&lt;&gt;"",L563,IF(K563&lt;&gt;"",Z563*K563,0)),0)</f>
        <v>0</v>
      </c>
      <c r="AF563" s="19" t="n">
        <f aca="false">IF(E563="SPRZEDAŻ",IF(M563&lt;&gt;"",Z563*M563,0),0)</f>
        <v>0</v>
      </c>
      <c r="AG563" s="19" t="str">
        <f aca="false">IF(R563="","",IF(LOWER(R563)="brak","Brak",IF(OR(ISNUMBER(SEARCH("ric pl",LOWER(R563))),ISNUMBER(SEARCH("wojciechowski",LOWER(R563)))),"Własny","Zewnętrzny")))</f>
        <v>Zewnętrzny</v>
      </c>
      <c r="AH563" s="19" t="n">
        <f aca="false">Z563*Q563</f>
        <v>0</v>
      </c>
      <c r="AI563" s="19" t="str">
        <f aca="false">UPPER(TEXT(C563,"mmmm"))</f>
        <v>AUGUST</v>
      </c>
      <c r="AJ563" s="19" t="str">
        <f aca="false">IF(C563="","",TEXT(C563,"rrrr"))</f>
        <v>CE5786CE5786</v>
      </c>
      <c r="AK563" s="10"/>
      <c r="AL563" s="11" t="n">
        <v>500</v>
      </c>
      <c r="AM563" s="10" t="s">
        <v>1023</v>
      </c>
      <c r="AN563" s="10" t="s">
        <v>49</v>
      </c>
      <c r="AO563" s="10"/>
      <c r="AP563" s="10"/>
      <c r="AQ563" s="10"/>
      <c r="AR563" s="10" t="s">
        <v>66</v>
      </c>
      <c r="AS563" s="10"/>
      <c r="AT563" s="15" t="n">
        <v>1</v>
      </c>
    </row>
    <row r="564" customFormat="false" ht="28.5" hidden="false" customHeight="true" outlineLevel="0" collapsed="false">
      <c r="A564" s="12" t="n">
        <v>46265</v>
      </c>
      <c r="B564" s="12"/>
      <c r="C564" s="12" t="n">
        <v>46265</v>
      </c>
      <c r="D564" s="10" t="s">
        <v>54</v>
      </c>
      <c r="E564" s="10" t="s">
        <v>47</v>
      </c>
      <c r="F564" s="13" t="s">
        <v>1018</v>
      </c>
      <c r="G564" s="14" t="s">
        <v>49</v>
      </c>
      <c r="H564" s="10" t="s">
        <v>50</v>
      </c>
      <c r="I564" s="15" t="n">
        <v>80</v>
      </c>
      <c r="J564" s="10" t="s">
        <v>51</v>
      </c>
      <c r="K564" s="15" t="n">
        <v>0</v>
      </c>
      <c r="L564" s="11" t="n">
        <v>0</v>
      </c>
      <c r="M564" s="11" t="n">
        <v>0</v>
      </c>
      <c r="N564" s="10" t="s">
        <v>52</v>
      </c>
      <c r="O564" s="10" t="s">
        <v>67</v>
      </c>
      <c r="P564" s="10" t="s">
        <v>53</v>
      </c>
      <c r="Q564" s="16" t="n">
        <v>10</v>
      </c>
      <c r="R564" s="10"/>
      <c r="S564" s="10"/>
      <c r="T564" s="10" t="n">
        <v>0</v>
      </c>
      <c r="U564" s="11" t="n">
        <f aca="false">IF(E564="TRANSPORT",IF(T564="","",T564*5),IF(AL564="","",AL564))</f>
        <v>0</v>
      </c>
      <c r="V564" s="10" t="s">
        <v>54</v>
      </c>
      <c r="W564" s="15" t="s">
        <v>70</v>
      </c>
      <c r="X564" s="15"/>
      <c r="Y564" s="17" t="n">
        <v>46265.5295601852</v>
      </c>
      <c r="Z564" s="18" t="n">
        <f aca="false">IF(I564="",0,IF(ISNUMBER(SEARCH("mp",LOWER(J564))),I564,IF(ISNUMBER(SEARCH("ton",LOWER(J564))),I564/0.33,IF(ISNUMBER(SEARCH("m3",LOWER(J564))),I564*4,I564))))</f>
        <v>80</v>
      </c>
      <c r="AA564" s="18" t="n">
        <f aca="false">IF(I564="",0,IF(ISNUMBER(SEARCH("mp",LOWER(J564))),I564*0.33,IF(ISNUMBER(SEARCH("ton",LOWER(J564))),I564,I564*0.33)))</f>
        <v>26.4</v>
      </c>
      <c r="AB564" s="18" t="n">
        <f aca="false">Tabela_dane[[#This Row],[Wolumen_t]]*8.5</f>
        <v>224.4</v>
      </c>
      <c r="AC564" s="18" t="n">
        <f aca="false">IF(G564&lt;&gt;"TAK",0,IF(OR(E564="ZAKUP",E564="PRODUKCJA"),Z564,IF(OR(E564="SPRZEDAŻ",E564="ZUŻYCIE"),-Z564,0)))</f>
        <v>80</v>
      </c>
      <c r="AD564" s="18" t="n">
        <f aca="false">IF(G564&lt;&gt;"TAK",0,IF(OR(E564="ZAKUP",E564="PRODUKCJA"),AA564,IF(OR(E564="SPRZEDAŻ",E564="ZUŻYCIE"),-AA564,0)))</f>
        <v>26.4</v>
      </c>
      <c r="AE564" s="19" t="n">
        <f aca="false">IF(E564="ZAKUP",IF(L564&lt;&gt;"",L564,IF(K564&lt;&gt;"",Z564*K564,0)),0)</f>
        <v>0</v>
      </c>
      <c r="AF564" s="19" t="n">
        <f aca="false">IF(E564="SPRZEDAŻ",IF(M564&lt;&gt;"",Z564*M564,0),0)</f>
        <v>0</v>
      </c>
      <c r="AG564" s="19" t="str">
        <f aca="false">IF(R564="","",IF(LOWER(R564)="brak","Brak",IF(OR(ISNUMBER(SEARCH("ric pl",LOWER(R564))),ISNUMBER(SEARCH("wojciechowski",LOWER(R564)))),"Własny","Zewnętrzny")))</f>
        <v/>
      </c>
      <c r="AH564" s="19" t="n">
        <f aca="false">Z564*Q564</f>
        <v>800</v>
      </c>
      <c r="AI564" s="19" t="str">
        <f aca="false">UPPER(TEXT(C564,"mmmm"))</f>
        <v>AUGUST</v>
      </c>
      <c r="AJ564" s="19" t="str">
        <f aca="false">IF(C564="","",TEXT(C564,"rrrr"))</f>
        <v>CE5786CE5786</v>
      </c>
      <c r="AK564" s="10"/>
      <c r="AL564" s="11" t="n">
        <v>0</v>
      </c>
      <c r="AM564" s="10" t="s">
        <v>1024</v>
      </c>
      <c r="AN564" s="10" t="s">
        <v>59</v>
      </c>
      <c r="AO564" s="10"/>
      <c r="AP564" s="10"/>
      <c r="AQ564" s="10"/>
      <c r="AR564" s="10" t="s">
        <v>66</v>
      </c>
      <c r="AS564" s="10"/>
      <c r="AT564" s="15" t="n">
        <v>1</v>
      </c>
    </row>
    <row r="565" customFormat="false" ht="28.5" hidden="false" customHeight="true" outlineLevel="0" collapsed="false">
      <c r="A565" s="12" t="n">
        <v>46265</v>
      </c>
      <c r="B565" s="12"/>
      <c r="C565" s="12" t="n">
        <v>46265</v>
      </c>
      <c r="D565" s="10" t="s">
        <v>54</v>
      </c>
      <c r="E565" s="10" t="s">
        <v>79</v>
      </c>
      <c r="F565" s="13" t="s">
        <v>1018</v>
      </c>
      <c r="G565" s="14" t="s">
        <v>49</v>
      </c>
      <c r="H565" s="10" t="s">
        <v>50</v>
      </c>
      <c r="I565" s="15" t="n">
        <v>80</v>
      </c>
      <c r="J565" s="10" t="s">
        <v>51</v>
      </c>
      <c r="K565" s="15" t="n">
        <v>0</v>
      </c>
      <c r="L565" s="11" t="n">
        <v>0</v>
      </c>
      <c r="M565" s="11" t="n">
        <v>0</v>
      </c>
      <c r="N565" s="10" t="s">
        <v>52</v>
      </c>
      <c r="O565" s="10" t="s">
        <v>67</v>
      </c>
      <c r="P565" s="10" t="s">
        <v>53</v>
      </c>
      <c r="Q565" s="16" t="n">
        <v>10</v>
      </c>
      <c r="R565" s="10"/>
      <c r="S565" s="10"/>
      <c r="T565" s="10" t="n">
        <v>0</v>
      </c>
      <c r="U565" s="11" t="n">
        <f aca="false">IF(E565="TRANSPORT",IF(T565="","",T565*5),IF(AL565="","",AL565))</f>
        <v>0</v>
      </c>
      <c r="V565" s="10" t="s">
        <v>54</v>
      </c>
      <c r="W565" s="15" t="s">
        <v>260</v>
      </c>
      <c r="X565" s="15"/>
      <c r="Y565" s="17" t="n">
        <v>46265.5295717593</v>
      </c>
      <c r="Z565" s="18" t="n">
        <f aca="false">IF(I565="",0,IF(ISNUMBER(SEARCH("mp",LOWER(J565))),I565,IF(ISNUMBER(SEARCH("ton",LOWER(J565))),I565/0.33,IF(ISNUMBER(SEARCH("m3",LOWER(J565))),I565*4,I565))))</f>
        <v>80</v>
      </c>
      <c r="AA565" s="18" t="n">
        <f aca="false">IF(I565="",0,IF(ISNUMBER(SEARCH("mp",LOWER(J565))),I565*0.33,IF(ISNUMBER(SEARCH("ton",LOWER(J565))),I565,I565*0.33)))</f>
        <v>26.4</v>
      </c>
      <c r="AB565" s="18" t="n">
        <f aca="false">Tabela_dane[[#This Row],[Wolumen_t]]*8.5</f>
        <v>224.4</v>
      </c>
      <c r="AC565" s="18" t="n">
        <f aca="false">IF(G565&lt;&gt;"TAK",0,IF(OR(E565="ZAKUP",E565="PRODUKCJA"),Z565,IF(OR(E565="SPRZEDAŻ",E565="ZUŻYCIE"),-Z565,0)))</f>
        <v>-80</v>
      </c>
      <c r="AD565" s="18" t="n">
        <f aca="false">IF(G565&lt;&gt;"TAK",0,IF(OR(E565="ZAKUP",E565="PRODUKCJA"),AA565,IF(OR(E565="SPRZEDAŻ",E565="ZUŻYCIE"),-AA565,0)))</f>
        <v>-26.4</v>
      </c>
      <c r="AE565" s="19" t="n">
        <f aca="false">IF(E565="ZAKUP",IF(L565&lt;&gt;"",L565,IF(K565&lt;&gt;"",Z565*K565,0)),0)</f>
        <v>0</v>
      </c>
      <c r="AF565" s="19" t="n">
        <f aca="false">IF(E565="SPRZEDAŻ",IF(M565&lt;&gt;"",Z565*M565,0),0)</f>
        <v>0</v>
      </c>
      <c r="AG565" s="19" t="str">
        <f aca="false">IF(R565="","",IF(LOWER(R565)="brak","Brak",IF(OR(ISNUMBER(SEARCH("ric pl",LOWER(R565))),ISNUMBER(SEARCH("wojciechowski",LOWER(R565)))),"Własny","Zewnętrzny")))</f>
        <v/>
      </c>
      <c r="AH565" s="19" t="n">
        <f aca="false">Z565*Q565</f>
        <v>800</v>
      </c>
      <c r="AI565" s="19" t="str">
        <f aca="false">UPPER(TEXT(C565,"mmmm"))</f>
        <v>AUGUST</v>
      </c>
      <c r="AJ565" s="19" t="str">
        <f aca="false">IF(C565="","",TEXT(C565,"rrrr"))</f>
        <v>CE5786CE5786</v>
      </c>
      <c r="AK565" s="10"/>
      <c r="AL565" s="11" t="n">
        <v>0</v>
      </c>
      <c r="AM565" s="10" t="s">
        <v>1024</v>
      </c>
      <c r="AN565" s="10" t="s">
        <v>59</v>
      </c>
      <c r="AO565" s="10"/>
      <c r="AP565" s="10"/>
      <c r="AQ565" s="10"/>
      <c r="AR565" s="10" t="s">
        <v>81</v>
      </c>
      <c r="AS565" s="10"/>
      <c r="AT565" s="15" t="n">
        <v>1</v>
      </c>
    </row>
    <row r="566" customFormat="false" ht="28.5" hidden="false" customHeight="true" outlineLevel="0" collapsed="false">
      <c r="A566" s="12" t="n">
        <v>46265</v>
      </c>
      <c r="B566" s="12"/>
      <c r="C566" s="12" t="n">
        <v>46265</v>
      </c>
      <c r="D566" s="10" t="s">
        <v>1025</v>
      </c>
      <c r="E566" s="10" t="s">
        <v>63</v>
      </c>
      <c r="F566" s="46" t="s">
        <v>1026</v>
      </c>
      <c r="G566" s="14" t="s">
        <v>49</v>
      </c>
      <c r="H566" s="10" t="s">
        <v>50</v>
      </c>
      <c r="I566" s="15" t="n">
        <v>20</v>
      </c>
      <c r="J566" s="10" t="s">
        <v>77</v>
      </c>
      <c r="K566" s="15" t="n">
        <v>0</v>
      </c>
      <c r="L566" s="11" t="n">
        <v>0</v>
      </c>
      <c r="M566" s="11" t="n">
        <v>0</v>
      </c>
      <c r="N566" s="10" t="s">
        <v>64</v>
      </c>
      <c r="O566" s="10"/>
      <c r="P566" s="10"/>
      <c r="Q566" s="16" t="n">
        <v>0</v>
      </c>
      <c r="R566" s="10"/>
      <c r="S566" s="10"/>
      <c r="T566" s="10" t="n">
        <v>0</v>
      </c>
      <c r="U566" s="11" t="n">
        <f aca="false">IF(E566="TRANSPORT",IF(T566="","",T566*5),IF(AL566="","",AL566))</f>
        <v>0</v>
      </c>
      <c r="V566" s="10" t="s">
        <v>54</v>
      </c>
      <c r="W566" s="15" t="s">
        <v>70</v>
      </c>
      <c r="X566" s="15"/>
      <c r="Y566" s="17" t="n">
        <v>46265.5289814815</v>
      </c>
      <c r="Z566" s="18" t="n">
        <f aca="false">IF(I566="",0,IF(ISNUMBER(SEARCH("mp",LOWER(J566))),I566,IF(ISNUMBER(SEARCH("ton",LOWER(J566))),I566/0.33,IF(ISNUMBER(SEARCH("m3",LOWER(J566))),I566*4,I566))))</f>
        <v>80</v>
      </c>
      <c r="AA566" s="18" t="n">
        <f aca="false">IF(I566="",0,IF(ISNUMBER(SEARCH("mp",LOWER(J566))),I566*0.33,IF(ISNUMBER(SEARCH("ton",LOWER(J566))),I566,I566*0.33)))</f>
        <v>6.6</v>
      </c>
      <c r="AB566" s="18" t="n">
        <f aca="false">Tabela_dane[[#This Row],[Wolumen_t]]*8.5</f>
        <v>56.1</v>
      </c>
      <c r="AC566" s="18" t="n">
        <f aca="false">IF(G566&lt;&gt;"TAK",0,IF(OR(E566="ZAKUP",E566="PRODUKCJA"),Z566,IF(OR(E566="SPRZEDAŻ",E566="ZUŻYCIE"),-Z566,0)))</f>
        <v>80</v>
      </c>
      <c r="AD566" s="18" t="n">
        <f aca="false">IF(G566&lt;&gt;"TAK",0,IF(OR(E566="ZAKUP",E566="PRODUKCJA"),AA566,IF(OR(E566="SPRZEDAŻ",E566="ZUŻYCIE"),-AA566,0)))</f>
        <v>6.6</v>
      </c>
      <c r="AE566" s="19" t="n">
        <f aca="false">IF(E566="ZAKUP",IF(L566&lt;&gt;"",L566,IF(K566&lt;&gt;"",Z566*K566,0)),0)</f>
        <v>0</v>
      </c>
      <c r="AF566" s="19" t="n">
        <f aca="false">IF(E566="SPRZEDAŻ",IF(M566&lt;&gt;"",Z566*M566,0),0)</f>
        <v>0</v>
      </c>
      <c r="AG566" s="19" t="str">
        <f aca="false">IF(R566="","",IF(LOWER(R566)="brak","Brak",IF(OR(ISNUMBER(SEARCH("ric pl",LOWER(R566))),ISNUMBER(SEARCH("wojciechowski",LOWER(R566)))),"Własny","Zewnętrzny")))</f>
        <v/>
      </c>
      <c r="AH566" s="19" t="n">
        <f aca="false">Z566*Q566</f>
        <v>0</v>
      </c>
      <c r="AI566" s="19" t="str">
        <f aca="false">UPPER(TEXT(C566,"mmmm"))</f>
        <v>AUGUST</v>
      </c>
      <c r="AJ566" s="19" t="str">
        <f aca="false">IF(C566="","",TEXT(C566,"rrrr"))</f>
        <v>CE5786CE5786</v>
      </c>
      <c r="AK566" s="10"/>
      <c r="AL566" s="11" t="n">
        <v>0</v>
      </c>
      <c r="AM566" s="10" t="s">
        <v>1027</v>
      </c>
      <c r="AN566" s="10" t="s">
        <v>59</v>
      </c>
      <c r="AO566" s="10"/>
      <c r="AP566" s="10"/>
      <c r="AQ566" s="10"/>
      <c r="AR566" s="10" t="s">
        <v>66</v>
      </c>
      <c r="AS566" s="10"/>
      <c r="AT566" s="15" t="n">
        <v>1</v>
      </c>
    </row>
    <row r="567" customFormat="false" ht="28.5" hidden="false" customHeight="true" outlineLevel="0" collapsed="false">
      <c r="A567" s="12" t="n">
        <v>46265</v>
      </c>
      <c r="B567" s="12"/>
      <c r="C567" s="12" t="n">
        <v>46265</v>
      </c>
      <c r="D567" s="10" t="s">
        <v>54</v>
      </c>
      <c r="E567" s="10" t="s">
        <v>47</v>
      </c>
      <c r="F567" s="13" t="s">
        <v>1022</v>
      </c>
      <c r="G567" s="14" t="s">
        <v>49</v>
      </c>
      <c r="H567" s="10" t="s">
        <v>50</v>
      </c>
      <c r="I567" s="15" t="n">
        <v>80</v>
      </c>
      <c r="J567" s="10" t="s">
        <v>51</v>
      </c>
      <c r="K567" s="15" t="n">
        <v>0</v>
      </c>
      <c r="L567" s="11" t="n">
        <v>0</v>
      </c>
      <c r="M567" s="11" t="n">
        <v>0</v>
      </c>
      <c r="N567" s="10" t="s">
        <v>52</v>
      </c>
      <c r="O567" s="10" t="s">
        <v>67</v>
      </c>
      <c r="P567" s="10" t="s">
        <v>53</v>
      </c>
      <c r="Q567" s="16" t="n">
        <v>10</v>
      </c>
      <c r="R567" s="10"/>
      <c r="S567" s="10"/>
      <c r="T567" s="10" t="n">
        <v>0</v>
      </c>
      <c r="U567" s="11" t="n">
        <f aca="false">IF(E567="TRANSPORT",IF(T567="","",T567*5),IF(AL567="","",AL567))</f>
        <v>0</v>
      </c>
      <c r="V567" s="10" t="s">
        <v>54</v>
      </c>
      <c r="W567" s="15" t="s">
        <v>65</v>
      </c>
      <c r="X567" s="15"/>
      <c r="Y567" s="17" t="n">
        <v>46265.5490856482</v>
      </c>
      <c r="Z567" s="18" t="n">
        <f aca="false">IF(I567="",0,IF(ISNUMBER(SEARCH("mp",LOWER(J567))),I567,IF(ISNUMBER(SEARCH("ton",LOWER(J567))),I567/0.33,IF(ISNUMBER(SEARCH("m3",LOWER(J567))),I567*4,I567))))</f>
        <v>80</v>
      </c>
      <c r="AA567" s="18" t="n">
        <f aca="false">IF(I567="",0,IF(ISNUMBER(SEARCH("mp",LOWER(J567))),I567*0.33,IF(ISNUMBER(SEARCH("ton",LOWER(J567))),I567,I567*0.33)))</f>
        <v>26.4</v>
      </c>
      <c r="AB567" s="18" t="n">
        <f aca="false">Tabela_dane[[#This Row],[Wolumen_t]]*8.5</f>
        <v>224.4</v>
      </c>
      <c r="AC567" s="18" t="n">
        <f aca="false">IF(G567&lt;&gt;"TAK",0,IF(OR(E567="ZAKUP",E567="PRODUKCJA"),Z567,IF(OR(E567="SPRZEDAŻ",E567="ZUŻYCIE"),-Z567,0)))</f>
        <v>80</v>
      </c>
      <c r="AD567" s="18" t="n">
        <f aca="false">IF(G567&lt;&gt;"TAK",0,IF(OR(E567="ZAKUP",E567="PRODUKCJA"),AA567,IF(OR(E567="SPRZEDAŻ",E567="ZUŻYCIE"),-AA567,0)))</f>
        <v>26.4</v>
      </c>
      <c r="AE567" s="19" t="n">
        <f aca="false">IF(E567="ZAKUP",IF(L567&lt;&gt;"",L567,IF(K567&lt;&gt;"",Z567*K567,0)),0)</f>
        <v>0</v>
      </c>
      <c r="AF567" s="19" t="n">
        <f aca="false">IF(E567="SPRZEDAŻ",IF(M567&lt;&gt;"",Z567*M567,0),0)</f>
        <v>0</v>
      </c>
      <c r="AG567" s="19" t="str">
        <f aca="false">IF(R567="","",IF(LOWER(R567)="brak","Brak",IF(OR(ISNUMBER(SEARCH("ric pl",LOWER(R567))),ISNUMBER(SEARCH("wojciechowski",LOWER(R567)))),"Własny","Zewnętrzny")))</f>
        <v/>
      </c>
      <c r="AH567" s="19" t="n">
        <f aca="false">Z567*Q567</f>
        <v>800</v>
      </c>
      <c r="AI567" s="19" t="str">
        <f aca="false">UPPER(TEXT(C567,"mmmm"))</f>
        <v>AUGUST</v>
      </c>
      <c r="AJ567" s="19" t="str">
        <f aca="false">IF(C567="","",TEXT(C567,"rrrr"))</f>
        <v>CE5786CE5786</v>
      </c>
      <c r="AK567" s="10"/>
      <c r="AL567" s="11" t="n">
        <v>0</v>
      </c>
      <c r="AM567" s="10" t="s">
        <v>1028</v>
      </c>
      <c r="AN567" s="10" t="s">
        <v>59</v>
      </c>
      <c r="AO567" s="10"/>
      <c r="AP567" s="10"/>
      <c r="AQ567" s="10"/>
      <c r="AR567" s="10" t="s">
        <v>66</v>
      </c>
      <c r="AS567" s="10"/>
      <c r="AT567" s="15" t="n">
        <v>1</v>
      </c>
    </row>
    <row r="568" customFormat="false" ht="28.5" hidden="false" customHeight="true" outlineLevel="0" collapsed="false">
      <c r="A568" s="12" t="n">
        <v>46265</v>
      </c>
      <c r="B568" s="12"/>
      <c r="C568" s="12" t="n">
        <v>46265</v>
      </c>
      <c r="D568" s="10" t="s">
        <v>54</v>
      </c>
      <c r="E568" s="10" t="s">
        <v>79</v>
      </c>
      <c r="F568" s="13" t="s">
        <v>1022</v>
      </c>
      <c r="G568" s="14" t="s">
        <v>49</v>
      </c>
      <c r="H568" s="10" t="s">
        <v>50</v>
      </c>
      <c r="I568" s="15" t="n">
        <v>80</v>
      </c>
      <c r="J568" s="10" t="s">
        <v>51</v>
      </c>
      <c r="K568" s="15" t="n">
        <v>0</v>
      </c>
      <c r="L568" s="11" t="n">
        <v>0</v>
      </c>
      <c r="M568" s="11" t="n">
        <v>0</v>
      </c>
      <c r="N568" s="10" t="s">
        <v>52</v>
      </c>
      <c r="O568" s="10" t="s">
        <v>67</v>
      </c>
      <c r="P568" s="10" t="s">
        <v>53</v>
      </c>
      <c r="Q568" s="16" t="n">
        <v>10</v>
      </c>
      <c r="R568" s="10"/>
      <c r="S568" s="10"/>
      <c r="T568" s="10" t="n">
        <v>0</v>
      </c>
      <c r="U568" s="11" t="n">
        <f aca="false">IF(E568="TRANSPORT",IF(T568="","",T568*5),IF(AL568="","",AL568))</f>
        <v>0</v>
      </c>
      <c r="V568" s="10" t="s">
        <v>54</v>
      </c>
      <c r="W568" s="15" t="s">
        <v>260</v>
      </c>
      <c r="X568" s="15"/>
      <c r="Y568" s="17" t="n">
        <v>46265.5490856482</v>
      </c>
      <c r="Z568" s="18" t="n">
        <f aca="false">IF(I568="",0,IF(ISNUMBER(SEARCH("mp",LOWER(J568))),I568,IF(ISNUMBER(SEARCH("ton",LOWER(J568))),I568/0.33,IF(ISNUMBER(SEARCH("m3",LOWER(J568))),I568*4,I568))))</f>
        <v>80</v>
      </c>
      <c r="AA568" s="18" t="n">
        <f aca="false">IF(I568="",0,IF(ISNUMBER(SEARCH("mp",LOWER(J568))),I568*0.33,IF(ISNUMBER(SEARCH("ton",LOWER(J568))),I568,I568*0.33)))</f>
        <v>26.4</v>
      </c>
      <c r="AB568" s="18" t="n">
        <f aca="false">Tabela_dane[[#This Row],[Wolumen_t]]*8.5</f>
        <v>224.4</v>
      </c>
      <c r="AC568" s="18" t="n">
        <f aca="false">IF(G568&lt;&gt;"TAK",0,IF(OR(E568="ZAKUP",E568="PRODUKCJA"),Z568,IF(OR(E568="SPRZEDAŻ",E568="ZUŻYCIE"),-Z568,0)))</f>
        <v>-80</v>
      </c>
      <c r="AD568" s="18" t="n">
        <f aca="false">IF(G568&lt;&gt;"TAK",0,IF(OR(E568="ZAKUP",E568="PRODUKCJA"),AA568,IF(OR(E568="SPRZEDAŻ",E568="ZUŻYCIE"),-AA568,0)))</f>
        <v>-26.4</v>
      </c>
      <c r="AE568" s="19" t="n">
        <f aca="false">IF(E568="ZAKUP",IF(L568&lt;&gt;"",L568,IF(K568&lt;&gt;"",Z568*K568,0)),0)</f>
        <v>0</v>
      </c>
      <c r="AF568" s="19" t="n">
        <f aca="false">IF(E568="SPRZEDAŻ",IF(M568&lt;&gt;"",Z568*M568,0),0)</f>
        <v>0</v>
      </c>
      <c r="AG568" s="19" t="str">
        <f aca="false">IF(R568="","",IF(LOWER(R568)="brak","Brak",IF(OR(ISNUMBER(SEARCH("ric pl",LOWER(R568))),ISNUMBER(SEARCH("wojciechowski",LOWER(R568)))),"Własny","Zewnętrzny")))</f>
        <v/>
      </c>
      <c r="AH568" s="19" t="n">
        <f aca="false">Z568*Q568</f>
        <v>800</v>
      </c>
      <c r="AI568" s="19" t="str">
        <f aca="false">UPPER(TEXT(C568,"mmmm"))</f>
        <v>AUGUST</v>
      </c>
      <c r="AJ568" s="19" t="str">
        <f aca="false">IF(C568="","",TEXT(C568,"rrrr"))</f>
        <v>CE5786CE5786</v>
      </c>
      <c r="AK568" s="10"/>
      <c r="AL568" s="11" t="n">
        <v>0</v>
      </c>
      <c r="AM568" s="10" t="s">
        <v>1028</v>
      </c>
      <c r="AN568" s="10" t="s">
        <v>59</v>
      </c>
      <c r="AO568" s="10"/>
      <c r="AP568" s="10"/>
      <c r="AQ568" s="10"/>
      <c r="AR568" s="10" t="s">
        <v>81</v>
      </c>
      <c r="AS568" s="10"/>
      <c r="AT568" s="15" t="n">
        <v>1</v>
      </c>
    </row>
    <row r="569" customFormat="false" ht="28.5" hidden="false" customHeight="true" outlineLevel="0" collapsed="false">
      <c r="A569" s="12" t="n">
        <v>46265</v>
      </c>
      <c r="B569" s="12"/>
      <c r="C569" s="12" t="n">
        <v>46265</v>
      </c>
      <c r="D569" s="10" t="s">
        <v>1025</v>
      </c>
      <c r="E569" s="10" t="s">
        <v>63</v>
      </c>
      <c r="F569" s="46" t="s">
        <v>1029</v>
      </c>
      <c r="G569" s="14" t="s">
        <v>49</v>
      </c>
      <c r="H569" s="10" t="s">
        <v>50</v>
      </c>
      <c r="I569" s="15" t="n">
        <v>20</v>
      </c>
      <c r="J569" s="10" t="s">
        <v>77</v>
      </c>
      <c r="K569" s="15" t="n">
        <v>0</v>
      </c>
      <c r="L569" s="11" t="n">
        <v>0</v>
      </c>
      <c r="M569" s="11" t="n">
        <v>0</v>
      </c>
      <c r="N569" s="10" t="s">
        <v>64</v>
      </c>
      <c r="O569" s="10"/>
      <c r="P569" s="10"/>
      <c r="Q569" s="16" t="n">
        <v>0</v>
      </c>
      <c r="R569" s="10"/>
      <c r="S569" s="10"/>
      <c r="T569" s="10" t="n">
        <v>0</v>
      </c>
      <c r="U569" s="11" t="n">
        <f aca="false">IF(E569="TRANSPORT",IF(T569="","",T569*5),IF(AL569="","",AL569))</f>
        <v>0</v>
      </c>
      <c r="V569" s="10" t="s">
        <v>54</v>
      </c>
      <c r="W569" s="15" t="s">
        <v>70</v>
      </c>
      <c r="X569" s="15"/>
      <c r="Y569" s="17" t="n">
        <v>46265.5486111111</v>
      </c>
      <c r="Z569" s="18" t="n">
        <f aca="false">IF(I569="",0,IF(ISNUMBER(SEARCH("mp",LOWER(J569))),I569,IF(ISNUMBER(SEARCH("ton",LOWER(J569))),I569/0.33,IF(ISNUMBER(SEARCH("m3",LOWER(J569))),I569*4,I569))))</f>
        <v>80</v>
      </c>
      <c r="AA569" s="18" t="n">
        <f aca="false">IF(I569="",0,IF(ISNUMBER(SEARCH("mp",LOWER(J569))),I569*0.33,IF(ISNUMBER(SEARCH("ton",LOWER(J569))),I569,I569*0.33)))</f>
        <v>6.6</v>
      </c>
      <c r="AB569" s="18" t="n">
        <f aca="false">Tabela_dane[[#This Row],[Wolumen_t]]*8.5</f>
        <v>56.1</v>
      </c>
      <c r="AC569" s="18" t="n">
        <f aca="false">IF(G569&lt;&gt;"TAK",0,IF(OR(E569="ZAKUP",E569="PRODUKCJA"),Z569,IF(OR(E569="SPRZEDAŻ",E569="ZUŻYCIE"),-Z569,0)))</f>
        <v>80</v>
      </c>
      <c r="AD569" s="18" t="n">
        <f aca="false">IF(G569&lt;&gt;"TAK",0,IF(OR(E569="ZAKUP",E569="PRODUKCJA"),AA569,IF(OR(E569="SPRZEDAŻ",E569="ZUŻYCIE"),-AA569,0)))</f>
        <v>6.6</v>
      </c>
      <c r="AE569" s="19" t="n">
        <f aca="false">IF(E569="ZAKUP",IF(L569&lt;&gt;"",L569,IF(K569&lt;&gt;"",Z569*K569,0)),0)</f>
        <v>0</v>
      </c>
      <c r="AF569" s="19" t="n">
        <f aca="false">IF(E569="SPRZEDAŻ",IF(M569&lt;&gt;"",Z569*M569,0),0)</f>
        <v>0</v>
      </c>
      <c r="AG569" s="19" t="str">
        <f aca="false">IF(R569="","",IF(LOWER(R569)="brak","Brak",IF(OR(ISNUMBER(SEARCH("ric pl",LOWER(R569))),ISNUMBER(SEARCH("wojciechowski",LOWER(R569)))),"Własny","Zewnętrzny")))</f>
        <v/>
      </c>
      <c r="AH569" s="19" t="n">
        <f aca="false">Z569*Q569</f>
        <v>0</v>
      </c>
      <c r="AI569" s="19" t="str">
        <f aca="false">UPPER(TEXT(C569,"mmmm"))</f>
        <v>AUGUST</v>
      </c>
      <c r="AJ569" s="19" t="str">
        <f aca="false">IF(C569="","",TEXT(C569,"rrrr"))</f>
        <v>CE5786CE5786</v>
      </c>
      <c r="AK569" s="10"/>
      <c r="AL569" s="11" t="n">
        <v>0</v>
      </c>
      <c r="AM569" s="10" t="s">
        <v>1030</v>
      </c>
      <c r="AN569" s="10" t="s">
        <v>59</v>
      </c>
      <c r="AO569" s="10"/>
      <c r="AP569" s="10"/>
      <c r="AQ569" s="10"/>
      <c r="AR569" s="10" t="s">
        <v>66</v>
      </c>
      <c r="AS569" s="10"/>
      <c r="AT569" s="15" t="n">
        <v>1</v>
      </c>
    </row>
    <row r="570" customFormat="false" ht="28.5" hidden="false" customHeight="true" outlineLevel="0" collapsed="false">
      <c r="A570" s="12" t="n">
        <v>46265</v>
      </c>
      <c r="B570" s="47"/>
      <c r="C570" s="12" t="n">
        <v>46265</v>
      </c>
      <c r="D570" s="10" t="s">
        <v>1025</v>
      </c>
      <c r="E570" s="10" t="s">
        <v>63</v>
      </c>
      <c r="F570" s="46" t="s">
        <v>1031</v>
      </c>
      <c r="G570" s="14" t="s">
        <v>49</v>
      </c>
      <c r="H570" s="10" t="s">
        <v>50</v>
      </c>
      <c r="I570" s="15" t="n">
        <v>20</v>
      </c>
      <c r="J570" s="10" t="s">
        <v>77</v>
      </c>
      <c r="K570" s="15" t="n">
        <v>0</v>
      </c>
      <c r="L570" s="11" t="n">
        <v>0</v>
      </c>
      <c r="M570" s="11" t="n">
        <v>0</v>
      </c>
      <c r="N570" s="10" t="s">
        <v>64</v>
      </c>
      <c r="O570" s="10"/>
      <c r="P570" s="10"/>
      <c r="Q570" s="16" t="n">
        <v>0</v>
      </c>
      <c r="R570" s="10"/>
      <c r="S570" s="10"/>
      <c r="T570" s="10" t="n">
        <v>0</v>
      </c>
      <c r="U570" s="11" t="n">
        <f aca="false">IF(E570="TRANSPORT",IF(T570="","",T570*5),IF(AL570="","",AL570))</f>
        <v>0</v>
      </c>
      <c r="V570" s="10" t="s">
        <v>54</v>
      </c>
      <c r="W570" s="15" t="s">
        <v>70</v>
      </c>
      <c r="X570" s="15"/>
      <c r="Y570" s="17" t="n">
        <v>46266.2784606482</v>
      </c>
      <c r="Z570" s="18" t="n">
        <f aca="false">IF(I570="",0,IF(ISNUMBER(SEARCH("mp",LOWER(J570))),I570,IF(ISNUMBER(SEARCH("ton",LOWER(J570))),I570/0.33,IF(ISNUMBER(SEARCH("m3",LOWER(J570))),I570*4,I570))))</f>
        <v>80</v>
      </c>
      <c r="AA570" s="18" t="n">
        <f aca="false">IF(I570="",0,IF(ISNUMBER(SEARCH("mp",LOWER(J570))),I570*0.33,IF(ISNUMBER(SEARCH("ton",LOWER(J570))),I570,I570*0.33)))</f>
        <v>6.6</v>
      </c>
      <c r="AB570" s="18" t="n">
        <f aca="false">Tabela_dane[[#This Row],[Wolumen_t]]*8.5</f>
        <v>56.1</v>
      </c>
      <c r="AC570" s="18" t="n">
        <f aca="false">IF(G570&lt;&gt;"TAK",0,IF(OR(E570="ZAKUP",E570="PRODUKCJA"),Z570,IF(OR(E570="SPRZEDAŻ",E570="ZUŻYCIE"),-Z570,0)))</f>
        <v>80</v>
      </c>
      <c r="AD570" s="18" t="n">
        <f aca="false">IF(G570&lt;&gt;"TAK",0,IF(OR(E570="ZAKUP",E570="PRODUKCJA"),AA570,IF(OR(E570="SPRZEDAŻ",E570="ZUŻYCIE"),-AA570,0)))</f>
        <v>6.6</v>
      </c>
      <c r="AE570" s="19" t="n">
        <f aca="false">IF(E570="ZAKUP",IF(L570&lt;&gt;"",L570,IF(K570&lt;&gt;"",Z570*K570,0)),0)</f>
        <v>0</v>
      </c>
      <c r="AF570" s="19" t="n">
        <f aca="false">IF(E570="SPRZEDAŻ",IF(M570&lt;&gt;"",Z570*M570,0),0)</f>
        <v>0</v>
      </c>
      <c r="AG570" s="19" t="str">
        <f aca="false">IF(R570="","",IF(LOWER(R570)="brak","Brak",IF(OR(ISNUMBER(SEARCH("ric pl",LOWER(R570))),ISNUMBER(SEARCH("wojciechowski",LOWER(R570)))),"Własny","Zewnętrzny")))</f>
        <v/>
      </c>
      <c r="AH570" s="19" t="n">
        <f aca="false">Z570*Q570</f>
        <v>0</v>
      </c>
      <c r="AI570" s="19" t="str">
        <f aca="false">UPPER(TEXT(C570,"mmmm"))</f>
        <v>AUGUST</v>
      </c>
      <c r="AJ570" s="19" t="str">
        <f aca="false">IF(C570="","",TEXT(C570,"rrrr"))</f>
        <v>CE5786CE5786</v>
      </c>
      <c r="AK570" s="10"/>
      <c r="AL570" s="11" t="n">
        <v>0</v>
      </c>
      <c r="AM570" s="10" t="s">
        <v>1032</v>
      </c>
      <c r="AN570" s="10" t="s">
        <v>59</v>
      </c>
      <c r="AO570" s="10"/>
      <c r="AP570" s="10"/>
      <c r="AQ570" s="10"/>
      <c r="AR570" s="10" t="s">
        <v>66</v>
      </c>
      <c r="AS570" s="10"/>
      <c r="AT570" s="15" t="n">
        <v>1</v>
      </c>
    </row>
    <row r="571" customFormat="false" ht="28.5" hidden="false" customHeight="true" outlineLevel="0" collapsed="false">
      <c r="A571" s="12" t="n">
        <v>46265</v>
      </c>
      <c r="B571" s="47"/>
      <c r="C571" s="12" t="n">
        <v>46265</v>
      </c>
      <c r="D571" s="10" t="s">
        <v>54</v>
      </c>
      <c r="E571" s="10" t="s">
        <v>47</v>
      </c>
      <c r="F571" s="13" t="s">
        <v>1033</v>
      </c>
      <c r="G571" s="14" t="s">
        <v>49</v>
      </c>
      <c r="H571" s="10" t="s">
        <v>50</v>
      </c>
      <c r="I571" s="15" t="n">
        <v>80</v>
      </c>
      <c r="J571" s="10" t="s">
        <v>51</v>
      </c>
      <c r="K571" s="15" t="n">
        <v>0</v>
      </c>
      <c r="L571" s="11" t="n">
        <v>0</v>
      </c>
      <c r="M571" s="11" t="n">
        <v>0</v>
      </c>
      <c r="N571" s="10" t="s">
        <v>52</v>
      </c>
      <c r="O571" s="10" t="s">
        <v>67</v>
      </c>
      <c r="P571" s="10" t="s">
        <v>53</v>
      </c>
      <c r="Q571" s="16" t="n">
        <v>10</v>
      </c>
      <c r="R571" s="10"/>
      <c r="S571" s="10"/>
      <c r="T571" s="10" t="n">
        <v>0</v>
      </c>
      <c r="U571" s="11" t="n">
        <f aca="false">IF(E571="TRANSPORT",IF(T571="","",T571*5),IF(AL571="","",AL571))</f>
        <v>0</v>
      </c>
      <c r="V571" s="10" t="s">
        <v>54</v>
      </c>
      <c r="W571" s="15" t="s">
        <v>70</v>
      </c>
      <c r="X571" s="15"/>
      <c r="Y571" s="17" t="n">
        <v>46266.2789351852</v>
      </c>
      <c r="Z571" s="18" t="n">
        <f aca="false">IF(I571="",0,IF(ISNUMBER(SEARCH("mp",LOWER(J571))),I571,IF(ISNUMBER(SEARCH("ton",LOWER(J571))),I571/0.33,IF(ISNUMBER(SEARCH("m3",LOWER(J571))),I571*4,I571))))</f>
        <v>80</v>
      </c>
      <c r="AA571" s="18" t="n">
        <f aca="false">IF(I571="",0,IF(ISNUMBER(SEARCH("mp",LOWER(J571))),I571*0.33,IF(ISNUMBER(SEARCH("ton",LOWER(J571))),I571,I571*0.33)))</f>
        <v>26.4</v>
      </c>
      <c r="AB571" s="18" t="n">
        <f aca="false">Tabela_dane[[#This Row],[Wolumen_t]]*8.5</f>
        <v>224.4</v>
      </c>
      <c r="AC571" s="18" t="n">
        <f aca="false">IF(G571&lt;&gt;"TAK",0,IF(OR(E571="ZAKUP",E571="PRODUKCJA"),Z571,IF(OR(E571="SPRZEDAŻ",E571="ZUŻYCIE"),-Z571,0)))</f>
        <v>80</v>
      </c>
      <c r="AD571" s="18" t="n">
        <f aca="false">IF(G571&lt;&gt;"TAK",0,IF(OR(E571="ZAKUP",E571="PRODUKCJA"),AA571,IF(OR(E571="SPRZEDAŻ",E571="ZUŻYCIE"),-AA571,0)))</f>
        <v>26.4</v>
      </c>
      <c r="AE571" s="19" t="n">
        <f aca="false">IF(E571="ZAKUP",IF(L571&lt;&gt;"",L571,IF(K571&lt;&gt;"",Z571*K571,0)),0)</f>
        <v>0</v>
      </c>
      <c r="AF571" s="19" t="n">
        <f aca="false">IF(E571="SPRZEDAŻ",IF(M571&lt;&gt;"",Z571*M571,0),0)</f>
        <v>0</v>
      </c>
      <c r="AG571" s="19" t="str">
        <f aca="false">IF(R571="","",IF(LOWER(R571)="brak","Brak",IF(OR(ISNUMBER(SEARCH("ric pl",LOWER(R571))),ISNUMBER(SEARCH("wojciechowski",LOWER(R571)))),"Własny","Zewnętrzny")))</f>
        <v/>
      </c>
      <c r="AH571" s="19" t="n">
        <f aca="false">Z571*Q571</f>
        <v>800</v>
      </c>
      <c r="AI571" s="19" t="str">
        <f aca="false">UPPER(TEXT(C571,"mmmm"))</f>
        <v>AUGUST</v>
      </c>
      <c r="AJ571" s="19" t="str">
        <f aca="false">IF(C571="","",TEXT(C571,"rrrr"))</f>
        <v>CE5786CE5786</v>
      </c>
      <c r="AK571" s="10"/>
      <c r="AL571" s="11" t="n">
        <v>0</v>
      </c>
      <c r="AM571" s="10" t="s">
        <v>1034</v>
      </c>
      <c r="AN571" s="10" t="s">
        <v>59</v>
      </c>
      <c r="AO571" s="10"/>
      <c r="AP571" s="10"/>
      <c r="AQ571" s="10"/>
      <c r="AR571" s="10" t="s">
        <v>66</v>
      </c>
      <c r="AS571" s="10"/>
      <c r="AT571" s="15" t="n">
        <v>1</v>
      </c>
    </row>
    <row r="572" customFormat="false" ht="45" hidden="false" customHeight="true" outlineLevel="0" collapsed="false">
      <c r="A572" s="12" t="n">
        <v>46265</v>
      </c>
      <c r="B572" s="47"/>
      <c r="C572" s="12" t="n">
        <v>46265</v>
      </c>
      <c r="D572" s="10" t="s">
        <v>54</v>
      </c>
      <c r="E572" s="10" t="s">
        <v>79</v>
      </c>
      <c r="F572" s="13" t="s">
        <v>1033</v>
      </c>
      <c r="G572" s="14" t="s">
        <v>49</v>
      </c>
      <c r="H572" s="10" t="s">
        <v>50</v>
      </c>
      <c r="I572" s="15" t="n">
        <v>80</v>
      </c>
      <c r="J572" s="10" t="s">
        <v>51</v>
      </c>
      <c r="K572" s="15" t="n">
        <v>0</v>
      </c>
      <c r="L572" s="11" t="n">
        <v>0</v>
      </c>
      <c r="M572" s="11" t="n">
        <v>0</v>
      </c>
      <c r="N572" s="10" t="s">
        <v>52</v>
      </c>
      <c r="O572" s="10" t="s">
        <v>67</v>
      </c>
      <c r="P572" s="10" t="s">
        <v>53</v>
      </c>
      <c r="Q572" s="16" t="n">
        <v>10</v>
      </c>
      <c r="R572" s="10"/>
      <c r="S572" s="10"/>
      <c r="T572" s="10" t="n">
        <v>0</v>
      </c>
      <c r="U572" s="11" t="n">
        <f aca="false">IF(E572="TRANSPORT",IF(T572="","",T572*5),IF(AL572="","",AL572))</f>
        <v>0</v>
      </c>
      <c r="V572" s="10" t="s">
        <v>54</v>
      </c>
      <c r="W572" s="15" t="s">
        <v>260</v>
      </c>
      <c r="X572" s="15"/>
      <c r="Y572" s="17" t="n">
        <v>46266.2789467593</v>
      </c>
      <c r="Z572" s="18" t="n">
        <f aca="false">IF(I572="",0,IF(ISNUMBER(SEARCH("mp",LOWER(J572))),I572,IF(ISNUMBER(SEARCH("ton",LOWER(J572))),I572/0.33,IF(ISNUMBER(SEARCH("m3",LOWER(J572))),I572*4,I572))))</f>
        <v>80</v>
      </c>
      <c r="AA572" s="18" t="n">
        <f aca="false">IF(I572="",0,IF(ISNUMBER(SEARCH("mp",LOWER(J572))),I572*0.33,IF(ISNUMBER(SEARCH("ton",LOWER(J572))),I572,I572*0.33)))</f>
        <v>26.4</v>
      </c>
      <c r="AB572" s="18" t="n">
        <f aca="false">Tabela_dane[[#This Row],[Wolumen_t]]*8.5</f>
        <v>224.4</v>
      </c>
      <c r="AC572" s="18" t="n">
        <f aca="false">IF(G572&lt;&gt;"TAK",0,IF(OR(E572="ZAKUP",E572="PRODUKCJA"),Z572,IF(OR(E572="SPRZEDAŻ",E572="ZUŻYCIE"),-Z572,0)))</f>
        <v>-80</v>
      </c>
      <c r="AD572" s="18" t="n">
        <f aca="false">IF(G572&lt;&gt;"TAK",0,IF(OR(E572="ZAKUP",E572="PRODUKCJA"),AA572,IF(OR(E572="SPRZEDAŻ",E572="ZUŻYCIE"),-AA572,0)))</f>
        <v>-26.4</v>
      </c>
      <c r="AE572" s="19" t="n">
        <f aca="false">IF(E572="ZAKUP",IF(L572&lt;&gt;"",L572,IF(K572&lt;&gt;"",Z572*K572,0)),0)</f>
        <v>0</v>
      </c>
      <c r="AF572" s="19" t="n">
        <f aca="false">IF(E572="SPRZEDAŻ",IF(M572&lt;&gt;"",Z572*M572,0),0)</f>
        <v>0</v>
      </c>
      <c r="AG572" s="19" t="str">
        <f aca="false">IF(R572="","",IF(LOWER(R572)="brak","Brak",IF(OR(ISNUMBER(SEARCH("ric pl",LOWER(R572))),ISNUMBER(SEARCH("wojciechowski",LOWER(R572)))),"Własny","Zewnętrzny")))</f>
        <v/>
      </c>
      <c r="AH572" s="19" t="n">
        <f aca="false">Z572*Q572</f>
        <v>800</v>
      </c>
      <c r="AI572" s="19" t="str">
        <f aca="false">UPPER(TEXT(C572,"mmmm"))</f>
        <v>AUGUST</v>
      </c>
      <c r="AJ572" s="19" t="str">
        <f aca="false">IF(C572="","",TEXT(C572,"rrrr"))</f>
        <v>CE5786CE5786</v>
      </c>
      <c r="AK572" s="10"/>
      <c r="AL572" s="11" t="n">
        <v>0</v>
      </c>
      <c r="AM572" s="10" t="s">
        <v>1034</v>
      </c>
      <c r="AN572" s="10" t="s">
        <v>59</v>
      </c>
      <c r="AO572" s="10"/>
      <c r="AP572" s="10"/>
      <c r="AQ572" s="10"/>
      <c r="AR572" s="10" t="s">
        <v>81</v>
      </c>
      <c r="AS572" s="10"/>
      <c r="AT572" s="15" t="n">
        <v>1</v>
      </c>
    </row>
    <row r="573" customFormat="false" ht="44.25" hidden="false" customHeight="true" outlineLevel="0" collapsed="false">
      <c r="A573" s="12" t="n">
        <v>46265</v>
      </c>
      <c r="B573" s="47" t="s">
        <v>1017</v>
      </c>
      <c r="C573" s="12" t="n">
        <v>46265</v>
      </c>
      <c r="D573" s="10" t="s">
        <v>54</v>
      </c>
      <c r="E573" s="10" t="s">
        <v>63</v>
      </c>
      <c r="F573" s="13" t="s">
        <v>1033</v>
      </c>
      <c r="G573" s="14" t="s">
        <v>49</v>
      </c>
      <c r="H573" s="10" t="s">
        <v>50</v>
      </c>
      <c r="I573" s="15" t="n">
        <v>80</v>
      </c>
      <c r="J573" s="10" t="s">
        <v>51</v>
      </c>
      <c r="K573" s="15" t="n">
        <v>0</v>
      </c>
      <c r="L573" s="11" t="n">
        <v>0</v>
      </c>
      <c r="M573" s="11" t="n">
        <v>0</v>
      </c>
      <c r="N573" s="10" t="s">
        <v>52</v>
      </c>
      <c r="O573" s="10" t="s">
        <v>67</v>
      </c>
      <c r="P573" s="10"/>
      <c r="Q573" s="16" t="n">
        <v>0</v>
      </c>
      <c r="R573" s="10" t="s">
        <v>94</v>
      </c>
      <c r="S573" s="10" t="s">
        <v>95</v>
      </c>
      <c r="T573" s="10" t="n">
        <v>100</v>
      </c>
      <c r="U573" s="11" t="n">
        <f aca="false">IF(E573="TRANSPORT",IF(T573="","",T573*5),IF(AL573="","",AL573))</f>
        <v>500</v>
      </c>
      <c r="V573" s="10" t="s">
        <v>54</v>
      </c>
      <c r="W573" s="15" t="s">
        <v>65</v>
      </c>
      <c r="X573" s="15"/>
      <c r="Y573" s="17" t="n">
        <v>46266.2797800926</v>
      </c>
      <c r="Z573" s="18" t="n">
        <f aca="false">IF(I573="",0,IF(ISNUMBER(SEARCH("mp",LOWER(J573))),I573,IF(ISNUMBER(SEARCH("ton",LOWER(J573))),I573/0.33,IF(ISNUMBER(SEARCH("m3",LOWER(J573))),I573*4,I573))))</f>
        <v>80</v>
      </c>
      <c r="AA573" s="18" t="n">
        <f aca="false">IF(I573="",0,IF(ISNUMBER(SEARCH("mp",LOWER(J573))),I573*0.33,IF(ISNUMBER(SEARCH("ton",LOWER(J573))),I573,I573*0.33)))</f>
        <v>26.4</v>
      </c>
      <c r="AB573" s="18" t="n">
        <f aca="false">Tabela_dane[[#This Row],[Wolumen_t]]*8.5</f>
        <v>224.4</v>
      </c>
      <c r="AC573" s="18" t="n">
        <f aca="false">IF(G573&lt;&gt;"TAK",0,IF(OR(E573="ZAKUP",E573="PRODUKCJA"),Z573,IF(OR(E573="SPRZEDAŻ",E573="ZUŻYCIE"),-Z573,0)))</f>
        <v>80</v>
      </c>
      <c r="AD573" s="18" t="n">
        <f aca="false">IF(G573&lt;&gt;"TAK",0,IF(OR(E573="ZAKUP",E573="PRODUKCJA"),AA573,IF(OR(E573="SPRZEDAŻ",E573="ZUŻYCIE"),-AA573,0)))</f>
        <v>26.4</v>
      </c>
      <c r="AE573" s="19" t="n">
        <f aca="false">IF(E573="ZAKUP",IF(L573&lt;&gt;"",L573,IF(K573&lt;&gt;"",Z573*K573,0)),0)</f>
        <v>0</v>
      </c>
      <c r="AF573" s="19" t="n">
        <f aca="false">IF(E573="SPRZEDAŻ",IF(M573&lt;&gt;"",Z573*M573,0),0)</f>
        <v>0</v>
      </c>
      <c r="AG573" s="19" t="str">
        <f aca="false">IF(R573="","",IF(LOWER(R573)="brak","Brak",IF(OR(ISNUMBER(SEARCH("ric pl",LOWER(R573))),ISNUMBER(SEARCH("wojciechowski",LOWER(R573)))),"Własny","Zewnętrzny")))</f>
        <v>Zewnętrzny</v>
      </c>
      <c r="AH573" s="19" t="n">
        <f aca="false">Z573*Q573</f>
        <v>0</v>
      </c>
      <c r="AI573" s="19" t="str">
        <f aca="false">UPPER(TEXT(C573,"mmmm"))</f>
        <v>AUGUST</v>
      </c>
      <c r="AJ573" s="19" t="str">
        <f aca="false">IF(C573="","",TEXT(C573,"rrrr"))</f>
        <v>CE5786CE5786</v>
      </c>
      <c r="AK573" s="10"/>
      <c r="AL573" s="11" t="n">
        <v>500</v>
      </c>
      <c r="AM573" s="10" t="s">
        <v>1035</v>
      </c>
      <c r="AN573" s="10" t="s">
        <v>49</v>
      </c>
      <c r="AO573" s="10"/>
      <c r="AP573" s="10"/>
      <c r="AQ573" s="10"/>
      <c r="AR573" s="10" t="s">
        <v>66</v>
      </c>
      <c r="AS573" s="10"/>
      <c r="AT573" s="15" t="n">
        <v>1</v>
      </c>
    </row>
    <row r="574" customFormat="false" ht="28.5" hidden="false" customHeight="true" outlineLevel="0" collapsed="false">
      <c r="A574" s="12" t="n">
        <v>46265</v>
      </c>
      <c r="B574" s="47"/>
      <c r="C574" s="12" t="n">
        <v>46265</v>
      </c>
      <c r="D574" s="10" t="s">
        <v>1025</v>
      </c>
      <c r="E574" s="10" t="s">
        <v>63</v>
      </c>
      <c r="F574" s="46" t="s">
        <v>1036</v>
      </c>
      <c r="G574" s="14" t="s">
        <v>49</v>
      </c>
      <c r="H574" s="10" t="s">
        <v>50</v>
      </c>
      <c r="I574" s="15" t="n">
        <v>20</v>
      </c>
      <c r="J574" s="10" t="s">
        <v>77</v>
      </c>
      <c r="K574" s="15" t="n">
        <v>0</v>
      </c>
      <c r="L574" s="11" t="n">
        <v>0</v>
      </c>
      <c r="M574" s="11" t="n">
        <v>0</v>
      </c>
      <c r="N574" s="10" t="s">
        <v>64</v>
      </c>
      <c r="O574" s="10"/>
      <c r="P574" s="10"/>
      <c r="Q574" s="16" t="n">
        <v>0</v>
      </c>
      <c r="R574" s="10"/>
      <c r="S574" s="10"/>
      <c r="T574" s="10" t="n">
        <v>0</v>
      </c>
      <c r="U574" s="11" t="n">
        <f aca="false">IF(E574="TRANSPORT",IF(T574="","",T574*5),IF(AL574="","",AL574))</f>
        <v>0</v>
      </c>
      <c r="V574" s="10" t="s">
        <v>54</v>
      </c>
      <c r="W574" s="15" t="s">
        <v>70</v>
      </c>
      <c r="X574" s="15"/>
      <c r="Y574" s="17" t="n">
        <v>46266.2814351852</v>
      </c>
      <c r="Z574" s="18" t="n">
        <f aca="false">IF(I574="",0,IF(ISNUMBER(SEARCH("mp",LOWER(J574))),I574,IF(ISNUMBER(SEARCH("ton",LOWER(J574))),I574/0.33,IF(ISNUMBER(SEARCH("m3",LOWER(J574))),I574*4,I574))))</f>
        <v>80</v>
      </c>
      <c r="AA574" s="18" t="n">
        <f aca="false">IF(I574="",0,IF(ISNUMBER(SEARCH("mp",LOWER(J574))),I574*0.33,IF(ISNUMBER(SEARCH("ton",LOWER(J574))),I574,I574*0.33)))</f>
        <v>6.6</v>
      </c>
      <c r="AB574" s="18" t="n">
        <f aca="false">Tabela_dane[[#This Row],[Wolumen_t]]*8.5</f>
        <v>56.1</v>
      </c>
      <c r="AC574" s="18" t="n">
        <f aca="false">IF(G574&lt;&gt;"TAK",0,IF(OR(E574="ZAKUP",E574="PRODUKCJA"),Z574,IF(OR(E574="SPRZEDAŻ",E574="ZUŻYCIE"),-Z574,0)))</f>
        <v>80</v>
      </c>
      <c r="AD574" s="18" t="n">
        <f aca="false">IF(G574&lt;&gt;"TAK",0,IF(OR(E574="ZAKUP",E574="PRODUKCJA"),AA574,IF(OR(E574="SPRZEDAŻ",E574="ZUŻYCIE"),-AA574,0)))</f>
        <v>6.6</v>
      </c>
      <c r="AE574" s="19" t="n">
        <f aca="false">IF(E574="ZAKUP",IF(L574&lt;&gt;"",L574,IF(K574&lt;&gt;"",Z574*K574,0)),0)</f>
        <v>0</v>
      </c>
      <c r="AF574" s="19" t="n">
        <f aca="false">IF(E574="SPRZEDAŻ",IF(M574&lt;&gt;"",Z574*M574,0),0)</f>
        <v>0</v>
      </c>
      <c r="AG574" s="19" t="str">
        <f aca="false">IF(R574="","",IF(LOWER(R574)="brak","Brak",IF(OR(ISNUMBER(SEARCH("ric pl",LOWER(R574))),ISNUMBER(SEARCH("wojciechowski",LOWER(R574)))),"Własny","Zewnętrzny")))</f>
        <v/>
      </c>
      <c r="AH574" s="19" t="n">
        <f aca="false">Z574*Q574</f>
        <v>0</v>
      </c>
      <c r="AI574" s="19" t="str">
        <f aca="false">UPPER(TEXT(C574,"mmmm"))</f>
        <v>AUGUST</v>
      </c>
      <c r="AJ574" s="19" t="str">
        <f aca="false">IF(C574="","",TEXT(C574,"rrrr"))</f>
        <v>CE5786CE5786</v>
      </c>
      <c r="AK574" s="10"/>
      <c r="AL574" s="11" t="n">
        <v>0</v>
      </c>
      <c r="AM574" s="10" t="s">
        <v>1037</v>
      </c>
      <c r="AN574" s="10" t="s">
        <v>59</v>
      </c>
      <c r="AO574" s="10"/>
      <c r="AP574" s="10"/>
      <c r="AQ574" s="10"/>
      <c r="AR574" s="10" t="s">
        <v>66</v>
      </c>
      <c r="AS574" s="10"/>
      <c r="AT574" s="15" t="n">
        <v>1</v>
      </c>
    </row>
    <row r="575" customFormat="false" ht="28.5" hidden="false" customHeight="true" outlineLevel="0" collapsed="false">
      <c r="A575" s="12" t="n">
        <v>46265</v>
      </c>
      <c r="B575" s="47"/>
      <c r="C575" s="12" t="n">
        <v>46265</v>
      </c>
      <c r="D575" s="10" t="s">
        <v>54</v>
      </c>
      <c r="E575" s="10" t="s">
        <v>47</v>
      </c>
      <c r="F575" s="13" t="s">
        <v>1038</v>
      </c>
      <c r="G575" s="14" t="s">
        <v>49</v>
      </c>
      <c r="H575" s="10" t="s">
        <v>50</v>
      </c>
      <c r="I575" s="15" t="n">
        <v>80</v>
      </c>
      <c r="J575" s="10" t="s">
        <v>51</v>
      </c>
      <c r="K575" s="15" t="n">
        <v>0</v>
      </c>
      <c r="L575" s="11" t="n">
        <v>0</v>
      </c>
      <c r="M575" s="11" t="n">
        <v>0</v>
      </c>
      <c r="N575" s="10" t="s">
        <v>52</v>
      </c>
      <c r="O575" s="10" t="s">
        <v>67</v>
      </c>
      <c r="P575" s="10" t="s">
        <v>53</v>
      </c>
      <c r="Q575" s="16" t="n">
        <v>10</v>
      </c>
      <c r="R575" s="10"/>
      <c r="S575" s="10"/>
      <c r="T575" s="10" t="n">
        <v>0</v>
      </c>
      <c r="U575" s="11" t="n">
        <f aca="false">IF(E575="TRANSPORT",IF(T575="","",T575*5),IF(AL575="","",AL575))</f>
        <v>0</v>
      </c>
      <c r="V575" s="10" t="s">
        <v>54</v>
      </c>
      <c r="W575" s="15" t="s">
        <v>70</v>
      </c>
      <c r="X575" s="15"/>
      <c r="Y575" s="17" t="n">
        <v>46266.2818171296</v>
      </c>
      <c r="Z575" s="18" t="n">
        <f aca="false">IF(I575="",0,IF(ISNUMBER(SEARCH("mp",LOWER(J575))),I575,IF(ISNUMBER(SEARCH("ton",LOWER(J575))),I575/0.33,IF(ISNUMBER(SEARCH("m3",LOWER(J575))),I575*4,I575))))</f>
        <v>80</v>
      </c>
      <c r="AA575" s="18" t="n">
        <f aca="false">IF(I575="",0,IF(ISNUMBER(SEARCH("mp",LOWER(J575))),I575*0.33,IF(ISNUMBER(SEARCH("ton",LOWER(J575))),I575,I575*0.33)))</f>
        <v>26.4</v>
      </c>
      <c r="AB575" s="18" t="n">
        <f aca="false">Tabela_dane[[#This Row],[Wolumen_t]]*8.5</f>
        <v>224.4</v>
      </c>
      <c r="AC575" s="18" t="n">
        <f aca="false">IF(G575&lt;&gt;"TAK",0,IF(OR(E575="ZAKUP",E575="PRODUKCJA"),Z575,IF(OR(E575="SPRZEDAŻ",E575="ZUŻYCIE"),-Z575,0)))</f>
        <v>80</v>
      </c>
      <c r="AD575" s="18" t="n">
        <f aca="false">IF(G575&lt;&gt;"TAK",0,IF(OR(E575="ZAKUP",E575="PRODUKCJA"),AA575,IF(OR(E575="SPRZEDAŻ",E575="ZUŻYCIE"),-AA575,0)))</f>
        <v>26.4</v>
      </c>
      <c r="AE575" s="19" t="n">
        <f aca="false">IF(E575="ZAKUP",IF(L575&lt;&gt;"",L575,IF(K575&lt;&gt;"",Z575*K575,0)),0)</f>
        <v>0</v>
      </c>
      <c r="AF575" s="19" t="n">
        <f aca="false">IF(E575="SPRZEDAŻ",IF(M575&lt;&gt;"",Z575*M575,0),0)</f>
        <v>0</v>
      </c>
      <c r="AG575" s="19" t="str">
        <f aca="false">IF(R575="","",IF(LOWER(R575)="brak","Brak",IF(OR(ISNUMBER(SEARCH("ric pl",LOWER(R575))),ISNUMBER(SEARCH("wojciechowski",LOWER(R575)))),"Własny","Zewnętrzny")))</f>
        <v/>
      </c>
      <c r="AH575" s="19" t="n">
        <f aca="false">Z575*Q575</f>
        <v>800</v>
      </c>
      <c r="AI575" s="19" t="str">
        <f aca="false">UPPER(TEXT(C575,"mmmm"))</f>
        <v>AUGUST</v>
      </c>
      <c r="AJ575" s="19" t="str">
        <f aca="false">IF(C575="","",TEXT(C575,"rrrr"))</f>
        <v>CE5786CE5786</v>
      </c>
      <c r="AK575" s="10"/>
      <c r="AL575" s="11" t="n">
        <v>0</v>
      </c>
      <c r="AM575" s="10" t="s">
        <v>1039</v>
      </c>
      <c r="AN575" s="10" t="s">
        <v>59</v>
      </c>
      <c r="AO575" s="10"/>
      <c r="AP575" s="10"/>
      <c r="AQ575" s="10"/>
      <c r="AR575" s="10" t="s">
        <v>66</v>
      </c>
      <c r="AS575" s="10"/>
      <c r="AT575" s="15" t="n">
        <v>1</v>
      </c>
    </row>
    <row r="576" customFormat="false" ht="43.5" hidden="false" customHeight="true" outlineLevel="0" collapsed="false">
      <c r="A576" s="12" t="n">
        <v>46265</v>
      </c>
      <c r="B576" s="47"/>
      <c r="C576" s="12" t="n">
        <v>46265</v>
      </c>
      <c r="D576" s="10" t="s">
        <v>54</v>
      </c>
      <c r="E576" s="10" t="s">
        <v>79</v>
      </c>
      <c r="F576" s="13" t="s">
        <v>1038</v>
      </c>
      <c r="G576" s="14" t="s">
        <v>49</v>
      </c>
      <c r="H576" s="10" t="s">
        <v>50</v>
      </c>
      <c r="I576" s="15" t="n">
        <v>80</v>
      </c>
      <c r="J576" s="10" t="s">
        <v>51</v>
      </c>
      <c r="K576" s="15" t="n">
        <v>0</v>
      </c>
      <c r="L576" s="11" t="n">
        <v>0</v>
      </c>
      <c r="M576" s="11" t="n">
        <v>0</v>
      </c>
      <c r="N576" s="10" t="s">
        <v>52</v>
      </c>
      <c r="O576" s="10" t="s">
        <v>67</v>
      </c>
      <c r="P576" s="10" t="s">
        <v>53</v>
      </c>
      <c r="Q576" s="16" t="n">
        <v>10</v>
      </c>
      <c r="R576" s="10"/>
      <c r="S576" s="10"/>
      <c r="T576" s="10" t="n">
        <v>0</v>
      </c>
      <c r="U576" s="11" t="n">
        <f aca="false">IF(E576="TRANSPORT",IF(T576="","",T576*5),IF(AL576="","",AL576))</f>
        <v>0</v>
      </c>
      <c r="V576" s="10" t="s">
        <v>54</v>
      </c>
      <c r="W576" s="15" t="s">
        <v>260</v>
      </c>
      <c r="X576" s="15"/>
      <c r="Y576" s="17" t="n">
        <v>46266.2818171296</v>
      </c>
      <c r="Z576" s="18" t="n">
        <f aca="false">IF(I576="",0,IF(ISNUMBER(SEARCH("mp",LOWER(J576))),I576,IF(ISNUMBER(SEARCH("ton",LOWER(J576))),I576/0.33,IF(ISNUMBER(SEARCH("m3",LOWER(J576))),I576*4,I576))))</f>
        <v>80</v>
      </c>
      <c r="AA576" s="18" t="n">
        <f aca="false">IF(I576="",0,IF(ISNUMBER(SEARCH("mp",LOWER(J576))),I576*0.33,IF(ISNUMBER(SEARCH("ton",LOWER(J576))),I576,I576*0.33)))</f>
        <v>26.4</v>
      </c>
      <c r="AB576" s="18" t="n">
        <f aca="false">Tabela_dane[[#This Row],[Wolumen_t]]*8.5</f>
        <v>224.4</v>
      </c>
      <c r="AC576" s="18" t="n">
        <f aca="false">IF(G576&lt;&gt;"TAK",0,IF(OR(E576="ZAKUP",E576="PRODUKCJA"),Z576,IF(OR(E576="SPRZEDAŻ",E576="ZUŻYCIE"),-Z576,0)))</f>
        <v>-80</v>
      </c>
      <c r="AD576" s="18" t="n">
        <f aca="false">IF(G576&lt;&gt;"TAK",0,IF(OR(E576="ZAKUP",E576="PRODUKCJA"),AA576,IF(OR(E576="SPRZEDAŻ",E576="ZUŻYCIE"),-AA576,0)))</f>
        <v>-26.4</v>
      </c>
      <c r="AE576" s="19" t="n">
        <f aca="false">IF(E576="ZAKUP",IF(L576&lt;&gt;"",L576,IF(K576&lt;&gt;"",Z576*K576,0)),0)</f>
        <v>0</v>
      </c>
      <c r="AF576" s="19" t="n">
        <f aca="false">IF(E576="SPRZEDAŻ",IF(M576&lt;&gt;"",Z576*M576,0),0)</f>
        <v>0</v>
      </c>
      <c r="AG576" s="19" t="str">
        <f aca="false">IF(R576="","",IF(LOWER(R576)="brak","Brak",IF(OR(ISNUMBER(SEARCH("ric pl",LOWER(R576))),ISNUMBER(SEARCH("wojciechowski",LOWER(R576)))),"Własny","Zewnętrzny")))</f>
        <v/>
      </c>
      <c r="AH576" s="19" t="n">
        <f aca="false">Z576*Q576</f>
        <v>800</v>
      </c>
      <c r="AI576" s="19" t="str">
        <f aca="false">UPPER(TEXT(C576,"mmmm"))</f>
        <v>AUGUST</v>
      </c>
      <c r="AJ576" s="19" t="str">
        <f aca="false">IF(C576="","",TEXT(C576,"rrrr"))</f>
        <v>CE5786CE5786</v>
      </c>
      <c r="AK576" s="10"/>
      <c r="AL576" s="11" t="n">
        <v>0</v>
      </c>
      <c r="AM576" s="10" t="s">
        <v>1039</v>
      </c>
      <c r="AN576" s="10" t="s">
        <v>59</v>
      </c>
      <c r="AO576" s="10"/>
      <c r="AP576" s="10"/>
      <c r="AQ576" s="10"/>
      <c r="AR576" s="10" t="s">
        <v>81</v>
      </c>
      <c r="AS576" s="10"/>
      <c r="AT576" s="15" t="n">
        <v>1</v>
      </c>
    </row>
    <row r="577" customFormat="false" ht="49.5" hidden="false" customHeight="true" outlineLevel="0" collapsed="false">
      <c r="A577" s="12" t="n">
        <v>46265</v>
      </c>
      <c r="B577" s="47" t="s">
        <v>1017</v>
      </c>
      <c r="C577" s="12" t="n">
        <v>46265</v>
      </c>
      <c r="D577" s="10" t="s">
        <v>54</v>
      </c>
      <c r="E577" s="10" t="s">
        <v>63</v>
      </c>
      <c r="F577" s="13" t="s">
        <v>1038</v>
      </c>
      <c r="G577" s="14" t="s">
        <v>49</v>
      </c>
      <c r="H577" s="10" t="s">
        <v>50</v>
      </c>
      <c r="I577" s="15" t="n">
        <v>80</v>
      </c>
      <c r="J577" s="10" t="s">
        <v>51</v>
      </c>
      <c r="K577" s="15" t="n">
        <v>0</v>
      </c>
      <c r="L577" s="11" t="n">
        <v>0</v>
      </c>
      <c r="M577" s="11" t="n">
        <v>0</v>
      </c>
      <c r="N577" s="10" t="s">
        <v>52</v>
      </c>
      <c r="O577" s="10" t="s">
        <v>67</v>
      </c>
      <c r="P577" s="10"/>
      <c r="Q577" s="16" t="n">
        <v>0</v>
      </c>
      <c r="R577" s="10" t="s">
        <v>68</v>
      </c>
      <c r="S577" s="10" t="s">
        <v>69</v>
      </c>
      <c r="T577" s="10" t="n">
        <v>120</v>
      </c>
      <c r="U577" s="11" t="n">
        <f aca="false">IF(E577="TRANSPORT",IF(T577="","",T577*5),IF(AL577="","",AL577))</f>
        <v>500</v>
      </c>
      <c r="V577" s="10" t="s">
        <v>54</v>
      </c>
      <c r="W577" s="15" t="s">
        <v>65</v>
      </c>
      <c r="X577" s="15"/>
      <c r="Y577" s="17" t="n">
        <v>46266.2824189815</v>
      </c>
      <c r="Z577" s="18" t="n">
        <f aca="false">IF(I577="",0,IF(ISNUMBER(SEARCH("mp",LOWER(J577))),I577,IF(ISNUMBER(SEARCH("ton",LOWER(J577))),I577/0.33,IF(ISNUMBER(SEARCH("m3",LOWER(J577))),I577*4,I577))))</f>
        <v>80</v>
      </c>
      <c r="AA577" s="18" t="n">
        <f aca="false">IF(I577="",0,IF(ISNUMBER(SEARCH("mp",LOWER(J577))),I577*0.33,IF(ISNUMBER(SEARCH("ton",LOWER(J577))),I577,I577*0.33)))</f>
        <v>26.4</v>
      </c>
      <c r="AB577" s="18" t="n">
        <f aca="false">Tabela_dane[[#This Row],[Wolumen_t]]*8.5</f>
        <v>224.4</v>
      </c>
      <c r="AC577" s="18" t="n">
        <f aca="false">IF(G577&lt;&gt;"TAK",0,IF(OR(E577="ZAKUP",E577="PRODUKCJA"),Z577,IF(OR(E577="SPRZEDAŻ",E577="ZUŻYCIE"),-Z577,0)))</f>
        <v>80</v>
      </c>
      <c r="AD577" s="18" t="n">
        <f aca="false">IF(G577&lt;&gt;"TAK",0,IF(OR(E577="ZAKUP",E577="PRODUKCJA"),AA577,IF(OR(E577="SPRZEDAŻ",E577="ZUŻYCIE"),-AA577,0)))</f>
        <v>26.4</v>
      </c>
      <c r="AE577" s="19" t="n">
        <f aca="false">IF(E577="ZAKUP",IF(L577&lt;&gt;"",L577,IF(K577&lt;&gt;"",Z577*K577,0)),0)</f>
        <v>0</v>
      </c>
      <c r="AF577" s="19" t="n">
        <f aca="false">IF(E577="SPRZEDAŻ",IF(M577&lt;&gt;"",Z577*M577,0),0)</f>
        <v>0</v>
      </c>
      <c r="AG577" s="19" t="str">
        <f aca="false">IF(R577="","",IF(LOWER(R577)="brak","Brak",IF(OR(ISNUMBER(SEARCH("ric pl",LOWER(R577))),ISNUMBER(SEARCH("wojciechowski",LOWER(R577)))),"Własny","Zewnętrzny")))</f>
        <v>Zewnętrzny</v>
      </c>
      <c r="AH577" s="19" t="n">
        <f aca="false">Z577*Q577</f>
        <v>0</v>
      </c>
      <c r="AI577" s="19" t="str">
        <f aca="false">UPPER(TEXT(C577,"mmmm"))</f>
        <v>AUGUST</v>
      </c>
      <c r="AJ577" s="19" t="str">
        <f aca="false">IF(C577="","",TEXT(C577,"rrrr"))</f>
        <v>CE5786CE5786</v>
      </c>
      <c r="AK577" s="10"/>
      <c r="AL577" s="11" t="n">
        <v>500</v>
      </c>
      <c r="AM577" s="10" t="s">
        <v>1040</v>
      </c>
      <c r="AN577" s="10" t="s">
        <v>49</v>
      </c>
      <c r="AO577" s="10"/>
      <c r="AP577" s="10"/>
      <c r="AQ577" s="10"/>
      <c r="AR577" s="10" t="s">
        <v>66</v>
      </c>
      <c r="AS577" s="10"/>
      <c r="AT577" s="15" t="n">
        <v>1</v>
      </c>
    </row>
    <row r="578" customFormat="false" ht="36.75" hidden="false" customHeight="true" outlineLevel="0" collapsed="false">
      <c r="A578" s="12" t="n">
        <v>46265</v>
      </c>
      <c r="B578" s="47" t="s">
        <v>641</v>
      </c>
      <c r="C578" s="12" t="n">
        <v>46265</v>
      </c>
      <c r="D578" s="10" t="s">
        <v>641</v>
      </c>
      <c r="E578" s="10" t="s">
        <v>107</v>
      </c>
      <c r="F578" s="22" t="s">
        <v>1041</v>
      </c>
      <c r="G578" s="14" t="s">
        <v>49</v>
      </c>
      <c r="H578" s="10"/>
      <c r="I578" s="15" t="n">
        <v>85</v>
      </c>
      <c r="J578" s="10" t="s">
        <v>51</v>
      </c>
      <c r="K578" s="15" t="n">
        <v>0</v>
      </c>
      <c r="L578" s="11" t="n">
        <v>0</v>
      </c>
      <c r="M578" s="11" t="n">
        <v>0</v>
      </c>
      <c r="N578" s="10" t="s">
        <v>643</v>
      </c>
      <c r="O578" s="10"/>
      <c r="P578" s="10"/>
      <c r="Q578" s="16" t="n">
        <v>0</v>
      </c>
      <c r="R578" s="10" t="s">
        <v>550</v>
      </c>
      <c r="S578" s="10" t="s">
        <v>551</v>
      </c>
      <c r="T578" s="10" t="n">
        <v>800</v>
      </c>
      <c r="U578" s="11" t="n">
        <f aca="false">IF(E578="TRANSPORT",IF(T578="","",T578*5),IF(AL578="","",AL578))</f>
        <v>160</v>
      </c>
      <c r="V578" s="10" t="s">
        <v>54</v>
      </c>
      <c r="W578" s="15" t="s">
        <v>70</v>
      </c>
      <c r="X578" s="15" t="s">
        <v>641</v>
      </c>
      <c r="Y578" s="17" t="n">
        <v>46266.3894444444</v>
      </c>
      <c r="Z578" s="18" t="n">
        <f aca="false">IF(I578="",0,IF(ISNUMBER(SEARCH("mp",LOWER(J578))),I578,IF(ISNUMBER(SEARCH("ton",LOWER(J578))),I578/0.33,IF(ISNUMBER(SEARCH("m3",LOWER(J578))),I578*4,I578))))</f>
        <v>85</v>
      </c>
      <c r="AA578" s="18" t="n">
        <f aca="false">IF(I578="",0,IF(ISNUMBER(SEARCH("mp",LOWER(J578))),I578*0.33,IF(ISNUMBER(SEARCH("ton",LOWER(J578))),I578,I578*0.33)))</f>
        <v>28.05</v>
      </c>
      <c r="AB578" s="18" t="n">
        <f aca="false">Tabela_dane[[#This Row],[Wolumen_t]]*8.5</f>
        <v>238.425</v>
      </c>
      <c r="AC578" s="18" t="n">
        <f aca="false">IF(G578&lt;&gt;"TAK",0,IF(OR(E578="ZAKUP",E578="PRODUKCJA"),Z578,IF(OR(E578="SPRZEDAŻ",E578="ZUŻYCIE"),-Z578,0)))</f>
        <v>0</v>
      </c>
      <c r="AD578" s="18" t="n">
        <f aca="false">IF(G578&lt;&gt;"TAK",0,IF(OR(E578="ZAKUP",E578="PRODUKCJA"),AA578,IF(OR(E578="SPRZEDAŻ",E578="ZUŻYCIE"),-AA578,0)))</f>
        <v>0</v>
      </c>
      <c r="AE578" s="19" t="n">
        <f aca="false">IF(E578="ZAKUP",IF(L578&lt;&gt;"",L578,IF(K578&lt;&gt;"",Z578*K578,0)),0)</f>
        <v>0</v>
      </c>
      <c r="AF578" s="19" t="n">
        <f aca="false">IF(E578="SPRZEDAŻ",IF(M578&lt;&gt;"",Z578*M578,0),0)</f>
        <v>0</v>
      </c>
      <c r="AG578" s="19" t="str">
        <f aca="false">IF(R578="","",IF(LOWER(R578)="brak","Brak",IF(OR(ISNUMBER(SEARCH("ric pl",LOWER(R578))),ISNUMBER(SEARCH("wojciechowski",LOWER(R578)))),"Własny","Zewnętrzny")))</f>
        <v>Własny</v>
      </c>
      <c r="AH578" s="19" t="n">
        <f aca="false">Z578*Q578</f>
        <v>0</v>
      </c>
      <c r="AI578" s="19" t="str">
        <f aca="false">UPPER(TEXT(C578,"mmmm"))</f>
        <v>AUGUST</v>
      </c>
      <c r="AJ578" s="19" t="str">
        <f aca="false">IF(C578="","",TEXT(C578,"rrrr"))</f>
        <v>CE5786CE5786</v>
      </c>
      <c r="AK578" s="10"/>
      <c r="AL578" s="11" t="n">
        <v>160</v>
      </c>
      <c r="AM578" s="10" t="s">
        <v>1042</v>
      </c>
      <c r="AN578" s="10" t="s">
        <v>49</v>
      </c>
      <c r="AO578" s="10"/>
      <c r="AP578" s="10"/>
      <c r="AQ578" s="10"/>
      <c r="AR578" s="10" t="s">
        <v>66</v>
      </c>
      <c r="AS578" s="10"/>
      <c r="AT578" s="15" t="n">
        <v>1</v>
      </c>
    </row>
    <row r="579" customFormat="false" ht="28.5" hidden="false" customHeight="true" outlineLevel="0" collapsed="false">
      <c r="A579" s="1" t="n">
        <v>46303</v>
      </c>
      <c r="C579" s="1" t="n">
        <v>46303</v>
      </c>
      <c r="D579" s="2" t="s">
        <v>1043</v>
      </c>
      <c r="E579" s="2" t="s">
        <v>63</v>
      </c>
      <c r="F579" s="3" t="s">
        <v>1044</v>
      </c>
      <c r="G579" s="2" t="s">
        <v>49</v>
      </c>
      <c r="H579" s="2" t="s">
        <v>76</v>
      </c>
      <c r="I579" s="2" t="n">
        <v>30</v>
      </c>
      <c r="J579" s="2" t="s">
        <v>77</v>
      </c>
      <c r="K579" s="2" t="n">
        <v>230</v>
      </c>
      <c r="L579" s="2" t="n">
        <v>6900</v>
      </c>
      <c r="M579" s="2" t="n">
        <v>0</v>
      </c>
      <c r="N579" s="2" t="s">
        <v>1045</v>
      </c>
      <c r="Q579" s="4" t="n">
        <v>0</v>
      </c>
      <c r="V579" s="2" t="s">
        <v>54</v>
      </c>
      <c r="W579" s="2" t="s">
        <v>1046</v>
      </c>
      <c r="Y579" s="2" t="n">
        <v>46303.8045949074</v>
      </c>
      <c r="AK579" s="2" t="s">
        <v>1047</v>
      </c>
      <c r="AM579" s="2" t="s">
        <v>1048</v>
      </c>
      <c r="AN579" s="2" t="s">
        <v>59</v>
      </c>
      <c r="AR579" s="2" t="s">
        <v>66</v>
      </c>
      <c r="AT579" s="2" t="n">
        <v>1</v>
      </c>
    </row>
    <row r="580" customFormat="false" ht="28.5" hidden="false" customHeight="true" outlineLevel="0" collapsed="false">
      <c r="A580" s="1" t="n">
        <v>46303</v>
      </c>
      <c r="C580" s="1" t="n">
        <v>46303</v>
      </c>
      <c r="D580" s="2" t="s">
        <v>1043</v>
      </c>
      <c r="E580" s="2" t="s">
        <v>63</v>
      </c>
      <c r="F580" s="3" t="s">
        <v>1044</v>
      </c>
      <c r="G580" s="2" t="s">
        <v>49</v>
      </c>
      <c r="H580" s="2" t="s">
        <v>76</v>
      </c>
      <c r="I580" s="2" t="n">
        <v>10</v>
      </c>
      <c r="J580" s="2" t="s">
        <v>77</v>
      </c>
      <c r="K580" s="2" t="n">
        <v>230</v>
      </c>
      <c r="L580" s="2" t="n">
        <v>2300</v>
      </c>
      <c r="M580" s="2" t="n">
        <v>0</v>
      </c>
      <c r="N580" s="2" t="s">
        <v>1045</v>
      </c>
      <c r="Q580" s="4" t="n">
        <v>0</v>
      </c>
      <c r="V580" s="2" t="s">
        <v>54</v>
      </c>
      <c r="W580" s="2" t="s">
        <v>1046</v>
      </c>
      <c r="Y580" s="2" t="n">
        <v>46303.8047222222</v>
      </c>
      <c r="AK580" s="2" t="s">
        <v>1047</v>
      </c>
      <c r="AM580" s="2" t="s">
        <v>1049</v>
      </c>
      <c r="AN580" s="2" t="s">
        <v>59</v>
      </c>
      <c r="AR580" s="2" t="s">
        <v>66</v>
      </c>
      <c r="AT580" s="2" t="n">
        <v>1</v>
      </c>
    </row>
    <row r="581" customFormat="false" ht="28.5" hidden="false" customHeight="true" outlineLevel="0" collapsed="false">
      <c r="A581" s="1" t="n">
        <v>46303</v>
      </c>
      <c r="C581" s="1" t="n">
        <v>46303</v>
      </c>
      <c r="D581" s="2" t="s">
        <v>1043</v>
      </c>
      <c r="E581" s="2" t="s">
        <v>47</v>
      </c>
      <c r="F581" s="3" t="s">
        <v>1050</v>
      </c>
      <c r="G581" s="2" t="s">
        <v>49</v>
      </c>
      <c r="H581" s="2" t="s">
        <v>76</v>
      </c>
      <c r="I581" s="2" t="n">
        <v>120</v>
      </c>
      <c r="J581" s="2" t="s">
        <v>51</v>
      </c>
      <c r="K581" s="2" t="n">
        <v>0</v>
      </c>
      <c r="L581" s="2" t="n">
        <v>0</v>
      </c>
      <c r="M581" s="2" t="n">
        <v>0</v>
      </c>
      <c r="N581" s="2" t="s">
        <v>1051</v>
      </c>
      <c r="Q581" s="4" t="n">
        <v>0</v>
      </c>
      <c r="S581" s="2" t="s">
        <v>509</v>
      </c>
      <c r="T581" s="2" t="n">
        <v>2</v>
      </c>
      <c r="U581" s="2" t="n">
        <v>120</v>
      </c>
      <c r="V581" s="2" t="s">
        <v>54</v>
      </c>
      <c r="W581" s="2" t="s">
        <v>1046</v>
      </c>
      <c r="Y581" s="2" t="n">
        <v>46303.8050115741</v>
      </c>
      <c r="AK581" s="2" t="s">
        <v>1047</v>
      </c>
      <c r="AL581" s="2" t="n">
        <v>120</v>
      </c>
      <c r="AM581" s="2" t="s">
        <v>1052</v>
      </c>
      <c r="AN581" s="2" t="s">
        <v>49</v>
      </c>
      <c r="AO581" s="2" t="s">
        <v>1053</v>
      </c>
      <c r="AP581" s="2" t="s">
        <v>1054</v>
      </c>
      <c r="AQ581" s="2" t="s">
        <v>1055</v>
      </c>
      <c r="AR581" s="2" t="s">
        <v>66</v>
      </c>
      <c r="AS581" s="2" t="s">
        <v>1056</v>
      </c>
      <c r="AT581" s="2" t="n">
        <v>1</v>
      </c>
    </row>
    <row r="582" customFormat="false" ht="28.5" hidden="false" customHeight="true" outlineLevel="0" collapsed="false">
      <c r="A582" s="1" t="n">
        <v>46303</v>
      </c>
      <c r="C582" s="1" t="n">
        <v>46303</v>
      </c>
      <c r="D582" s="2" t="s">
        <v>1043</v>
      </c>
      <c r="E582" s="2" t="s">
        <v>79</v>
      </c>
      <c r="F582" s="3" t="s">
        <v>1050</v>
      </c>
      <c r="G582" s="2" t="s">
        <v>49</v>
      </c>
      <c r="H582" s="2" t="s">
        <v>76</v>
      </c>
      <c r="I582" s="2" t="n">
        <v>30</v>
      </c>
      <c r="J582" s="2" t="s">
        <v>77</v>
      </c>
      <c r="K582" s="2" t="n">
        <v>0</v>
      </c>
      <c r="L582" s="2" t="n">
        <v>0</v>
      </c>
      <c r="M582" s="2" t="n">
        <v>0</v>
      </c>
      <c r="N582" s="2" t="s">
        <v>1045</v>
      </c>
      <c r="Q582" s="4" t="n">
        <v>0</v>
      </c>
      <c r="V582" s="2" t="s">
        <v>54</v>
      </c>
      <c r="W582" s="2" t="s">
        <v>1057</v>
      </c>
      <c r="Y582" s="2" t="n">
        <v>46303.8050115741</v>
      </c>
      <c r="AK582" s="2" t="s">
        <v>1047</v>
      </c>
      <c r="AM582" s="2" t="s">
        <v>1052</v>
      </c>
      <c r="AN582" s="2" t="s">
        <v>49</v>
      </c>
      <c r="AR582" s="2" t="s">
        <v>81</v>
      </c>
      <c r="AS582" s="2" t="s">
        <v>1056</v>
      </c>
      <c r="AT582" s="2" t="n">
        <v>1</v>
      </c>
    </row>
    <row r="583" customFormat="false" ht="28.5" hidden="false" customHeight="true" outlineLevel="0" collapsed="false">
      <c r="A583" s="1" t="n">
        <v>46303</v>
      </c>
      <c r="C583" s="1" t="n">
        <v>46303</v>
      </c>
      <c r="D583" s="2" t="s">
        <v>1043</v>
      </c>
      <c r="E583" s="2" t="s">
        <v>47</v>
      </c>
      <c r="F583" s="3" t="s">
        <v>1050</v>
      </c>
      <c r="G583" s="2" t="s">
        <v>49</v>
      </c>
      <c r="H583" s="2" t="s">
        <v>76</v>
      </c>
      <c r="I583" s="2" t="n">
        <v>20</v>
      </c>
      <c r="J583" s="2" t="s">
        <v>51</v>
      </c>
      <c r="K583" s="2" t="n">
        <v>0</v>
      </c>
      <c r="L583" s="2" t="n">
        <v>0</v>
      </c>
      <c r="M583" s="2" t="n">
        <v>0</v>
      </c>
      <c r="N583" s="2" t="s">
        <v>1051</v>
      </c>
      <c r="Q583" s="4" t="n">
        <v>0</v>
      </c>
      <c r="V583" s="2" t="s">
        <v>54</v>
      </c>
      <c r="W583" s="2" t="s">
        <v>1046</v>
      </c>
      <c r="Y583" s="2" t="n">
        <v>46303.8051273148</v>
      </c>
      <c r="AK583" s="2" t="s">
        <v>1047</v>
      </c>
      <c r="AM583" s="2" t="s">
        <v>1058</v>
      </c>
      <c r="AN583" s="2" t="s">
        <v>59</v>
      </c>
      <c r="AR583" s="2" t="s">
        <v>66</v>
      </c>
      <c r="AS583" s="2" t="s">
        <v>1056</v>
      </c>
      <c r="AT583" s="2" t="n">
        <v>1</v>
      </c>
    </row>
    <row r="584" customFormat="false" ht="28.5" hidden="false" customHeight="true" outlineLevel="0" collapsed="false">
      <c r="A584" s="1" t="n">
        <v>46303</v>
      </c>
      <c r="C584" s="1" t="n">
        <v>46303</v>
      </c>
      <c r="D584" s="2" t="s">
        <v>1043</v>
      </c>
      <c r="E584" s="2" t="s">
        <v>79</v>
      </c>
      <c r="F584" s="3" t="s">
        <v>1050</v>
      </c>
      <c r="G584" s="2" t="s">
        <v>49</v>
      </c>
      <c r="H584" s="2" t="s">
        <v>76</v>
      </c>
      <c r="I584" s="2" t="n">
        <v>5</v>
      </c>
      <c r="J584" s="2" t="s">
        <v>77</v>
      </c>
      <c r="K584" s="2" t="n">
        <v>0</v>
      </c>
      <c r="L584" s="2" t="n">
        <v>0</v>
      </c>
      <c r="M584" s="2" t="n">
        <v>0</v>
      </c>
      <c r="N584" s="2" t="s">
        <v>1045</v>
      </c>
      <c r="Q584" s="4" t="n">
        <v>0</v>
      </c>
      <c r="V584" s="2" t="s">
        <v>54</v>
      </c>
      <c r="W584" s="2" t="s">
        <v>1057</v>
      </c>
      <c r="Y584" s="2" t="n">
        <v>46303.8051273148</v>
      </c>
      <c r="AK584" s="2" t="s">
        <v>1047</v>
      </c>
      <c r="AM584" s="2" t="s">
        <v>1058</v>
      </c>
      <c r="AN584" s="2" t="s">
        <v>59</v>
      </c>
      <c r="AR584" s="2" t="s">
        <v>81</v>
      </c>
      <c r="AS584" s="2" t="s">
        <v>1056</v>
      </c>
      <c r="AT584" s="2" t="n">
        <v>1</v>
      </c>
    </row>
    <row r="585" customFormat="false" ht="28.5" hidden="false" customHeight="true" outlineLevel="0" collapsed="false">
      <c r="A585" s="1" t="n">
        <v>46303</v>
      </c>
      <c r="C585" s="1" t="n">
        <v>46303</v>
      </c>
      <c r="D585" s="2" t="s">
        <v>1043</v>
      </c>
      <c r="E585" s="2" t="s">
        <v>63</v>
      </c>
      <c r="F585" s="3" t="s">
        <v>1044</v>
      </c>
      <c r="G585" s="2" t="s">
        <v>49</v>
      </c>
      <c r="H585" s="2" t="s">
        <v>76</v>
      </c>
      <c r="I585" s="2" t="n">
        <v>5</v>
      </c>
      <c r="J585" s="2" t="s">
        <v>77</v>
      </c>
      <c r="K585" s="2" t="n">
        <v>230</v>
      </c>
      <c r="L585" s="2" t="n">
        <v>1150</v>
      </c>
      <c r="M585" s="2" t="n">
        <v>0</v>
      </c>
      <c r="N585" s="2" t="s">
        <v>1045</v>
      </c>
      <c r="Q585" s="4" t="n">
        <v>0</v>
      </c>
      <c r="R585" s="2" t="s">
        <v>1059</v>
      </c>
      <c r="S585" s="2" t="s">
        <v>1060</v>
      </c>
      <c r="T585" s="2" t="n">
        <v>40</v>
      </c>
      <c r="U585" s="2" t="n">
        <v>200</v>
      </c>
      <c r="V585" s="2" t="s">
        <v>54</v>
      </c>
      <c r="W585" s="2" t="s">
        <v>1046</v>
      </c>
      <c r="Y585" s="2" t="n">
        <v>46303.8051851852</v>
      </c>
      <c r="AK585" s="2" t="s">
        <v>1047</v>
      </c>
      <c r="AL585" s="2" t="n">
        <v>200</v>
      </c>
      <c r="AM585" s="2" t="s">
        <v>1061</v>
      </c>
      <c r="AN585" s="2" t="s">
        <v>49</v>
      </c>
      <c r="AO585" s="2" t="s">
        <v>1062</v>
      </c>
      <c r="AP585" s="2" t="s">
        <v>1063</v>
      </c>
      <c r="AR585" s="2" t="s">
        <v>66</v>
      </c>
      <c r="AT585" s="2" t="n">
        <v>2</v>
      </c>
    </row>
    <row r="586" customFormat="false" ht="28.5" hidden="false" customHeight="true" outlineLevel="0" collapsed="false">
      <c r="A586" s="1" t="n">
        <v>46303</v>
      </c>
      <c r="C586" s="1" t="n">
        <v>46303</v>
      </c>
      <c r="D586" s="2" t="s">
        <v>1064</v>
      </c>
      <c r="E586" s="2" t="s">
        <v>63</v>
      </c>
      <c r="F586" s="3" t="s">
        <v>1044</v>
      </c>
      <c r="G586" s="2" t="s">
        <v>49</v>
      </c>
      <c r="H586" s="2" t="s">
        <v>76</v>
      </c>
      <c r="I586" s="2" t="n">
        <v>30</v>
      </c>
      <c r="J586" s="2" t="s">
        <v>77</v>
      </c>
      <c r="K586" s="2" t="n">
        <v>230</v>
      </c>
      <c r="L586" s="2" t="n">
        <v>6900</v>
      </c>
      <c r="M586" s="2" t="n">
        <v>0</v>
      </c>
      <c r="N586" s="2" t="s">
        <v>1045</v>
      </c>
      <c r="Q586" s="4" t="n">
        <v>0</v>
      </c>
      <c r="V586" s="2" t="s">
        <v>54</v>
      </c>
      <c r="W586" s="2" t="s">
        <v>1046</v>
      </c>
      <c r="Y586" s="2" t="n">
        <v>46303.8052430556</v>
      </c>
      <c r="AK586" s="2" t="s">
        <v>1047</v>
      </c>
      <c r="AM586" s="2" t="s">
        <v>1065</v>
      </c>
      <c r="AN586" s="2" t="s">
        <v>59</v>
      </c>
      <c r="AR586" s="2" t="s">
        <v>66</v>
      </c>
      <c r="AT586" s="2" t="n">
        <v>2</v>
      </c>
    </row>
    <row r="587" customFormat="false" ht="28.5" hidden="false" customHeight="true" outlineLevel="0" collapsed="false">
      <c r="A587" s="1" t="n">
        <v>46303</v>
      </c>
      <c r="C587" s="1" t="n">
        <v>46303</v>
      </c>
      <c r="D587" s="2" t="s">
        <v>1043</v>
      </c>
      <c r="E587" s="2" t="s">
        <v>63</v>
      </c>
      <c r="F587" s="3" t="s">
        <v>1044</v>
      </c>
      <c r="G587" s="2" t="s">
        <v>49</v>
      </c>
      <c r="H587" s="2" t="s">
        <v>76</v>
      </c>
      <c r="I587" s="2" t="n">
        <v>25</v>
      </c>
      <c r="J587" s="2" t="s">
        <v>77</v>
      </c>
      <c r="K587" s="2" t="n">
        <v>230</v>
      </c>
      <c r="L587" s="2" t="n">
        <v>5750</v>
      </c>
      <c r="M587" s="2" t="n">
        <v>0</v>
      </c>
      <c r="N587" s="2" t="s">
        <v>1045</v>
      </c>
      <c r="Q587" s="4" t="n">
        <v>0</v>
      </c>
      <c r="V587" s="2" t="s">
        <v>54</v>
      </c>
      <c r="W587" s="2" t="s">
        <v>1046</v>
      </c>
      <c r="Y587" s="2" t="n">
        <v>46303.8053240741</v>
      </c>
      <c r="AK587" s="2" t="s">
        <v>1047</v>
      </c>
      <c r="AM587" s="2" t="s">
        <v>1066</v>
      </c>
      <c r="AN587" s="2" t="s">
        <v>59</v>
      </c>
      <c r="AR587" s="2" t="s">
        <v>66</v>
      </c>
      <c r="AS587" s="2" t="s">
        <v>1056</v>
      </c>
      <c r="AT587" s="2" t="n">
        <v>1</v>
      </c>
    </row>
    <row r="588" customFormat="false" ht="28.5" hidden="false" customHeight="true" outlineLevel="0" collapsed="false">
      <c r="A588" s="1" t="n">
        <v>46303</v>
      </c>
      <c r="C588" s="1" t="n">
        <v>46303</v>
      </c>
      <c r="D588" s="2" t="s">
        <v>1043</v>
      </c>
      <c r="E588" s="2" t="s">
        <v>47</v>
      </c>
      <c r="F588" s="3" t="s">
        <v>1044</v>
      </c>
      <c r="G588" s="2" t="s">
        <v>49</v>
      </c>
      <c r="H588" s="2" t="s">
        <v>76</v>
      </c>
      <c r="I588" s="2" t="n">
        <v>100</v>
      </c>
      <c r="J588" s="2" t="s">
        <v>51</v>
      </c>
      <c r="K588" s="2" t="n">
        <v>0</v>
      </c>
      <c r="L588" s="2" t="n">
        <v>0</v>
      </c>
      <c r="M588" s="2" t="n">
        <v>0</v>
      </c>
      <c r="N588" s="2" t="s">
        <v>1051</v>
      </c>
      <c r="Q588" s="4" t="n">
        <v>0</v>
      </c>
      <c r="V588" s="2" t="s">
        <v>54</v>
      </c>
      <c r="W588" s="2" t="s">
        <v>55</v>
      </c>
      <c r="Y588" s="2" t="n">
        <v>46303.8053240741</v>
      </c>
      <c r="AK588" s="2" t="s">
        <v>1047</v>
      </c>
      <c r="AM588" s="2" t="s">
        <v>1066</v>
      </c>
      <c r="AN588" s="2" t="s">
        <v>59</v>
      </c>
      <c r="AR588" s="2" t="s">
        <v>60</v>
      </c>
      <c r="AS588" s="2" t="s">
        <v>1056</v>
      </c>
      <c r="AT588" s="2" t="n">
        <v>1</v>
      </c>
    </row>
    <row r="589" customFormat="false" ht="28.5" hidden="false" customHeight="true" outlineLevel="0" collapsed="false">
      <c r="A589" s="1" t="n">
        <v>46303</v>
      </c>
      <c r="C589" s="1" t="n">
        <v>46303</v>
      </c>
      <c r="D589" s="2" t="s">
        <v>1043</v>
      </c>
      <c r="E589" s="2" t="s">
        <v>79</v>
      </c>
      <c r="F589" s="3" t="s">
        <v>1044</v>
      </c>
      <c r="G589" s="2" t="s">
        <v>49</v>
      </c>
      <c r="H589" s="2" t="s">
        <v>76</v>
      </c>
      <c r="I589" s="2" t="n">
        <v>25</v>
      </c>
      <c r="J589" s="2" t="s">
        <v>77</v>
      </c>
      <c r="K589" s="2" t="n">
        <v>0</v>
      </c>
      <c r="L589" s="2" t="n">
        <v>0</v>
      </c>
      <c r="M589" s="2" t="n">
        <v>0</v>
      </c>
      <c r="N589" s="2" t="s">
        <v>1045</v>
      </c>
      <c r="Q589" s="4" t="n">
        <v>0</v>
      </c>
      <c r="V589" s="2" t="s">
        <v>54</v>
      </c>
      <c r="W589" s="2" t="s">
        <v>1057</v>
      </c>
      <c r="Y589" s="2" t="n">
        <v>46303.8053240741</v>
      </c>
      <c r="AK589" s="2" t="s">
        <v>1047</v>
      </c>
      <c r="AM589" s="2" t="s">
        <v>1066</v>
      </c>
      <c r="AN589" s="2" t="s">
        <v>59</v>
      </c>
      <c r="AR589" s="2" t="s">
        <v>81</v>
      </c>
      <c r="AS589" s="2" t="s">
        <v>1056</v>
      </c>
      <c r="AT589" s="2" t="n">
        <v>1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5">
    <dataValidation allowBlank="true" errorStyle="stop" operator="between" showDropDown="false" showErrorMessage="false" showInputMessage="true" sqref="A2:A1589" type="list">
      <formula1>DV_A</formula1>
      <formula2>0</formula2>
    </dataValidation>
    <dataValidation allowBlank="true" errorStyle="stop" operator="between" showDropDown="false" showErrorMessage="false" showInputMessage="true" sqref="B2:B1589" type="list">
      <formula1>DV_B</formula1>
      <formula2>0</formula2>
    </dataValidation>
    <dataValidation allowBlank="true" errorStyle="stop" operator="between" showDropDown="false" showErrorMessage="false" showInputMessage="true" sqref="C2:C1589" type="list">
      <formula1>DV_C</formula1>
      <formula2>0</formula2>
    </dataValidation>
    <dataValidation allowBlank="true" errorStyle="stop" operator="between" showDropDown="false" showErrorMessage="false" showInputMessage="true" sqref="D2:D1589" type="list">
      <formula1>DV_D</formula1>
      <formula2>0</formula2>
    </dataValidation>
    <dataValidation allowBlank="true" errorStyle="stop" operator="between" showDropDown="false" showErrorMessage="false" showInputMessage="true" sqref="E2:E1589" type="list">
      <formula1>DV_E</formula1>
      <formula2>0</formula2>
    </dataValidation>
    <dataValidation allowBlank="true" errorStyle="stop" operator="between" showDropDown="false" showErrorMessage="false" showInputMessage="true" sqref="F2:F1589" type="list">
      <formula1>DV_F</formula1>
      <formula2>0</formula2>
    </dataValidation>
    <dataValidation allowBlank="true" errorStyle="stop" operator="between" showDropDown="false" showErrorMessage="false" showInputMessage="true" sqref="G2:G1589" type="list">
      <formula1>DV_G</formula1>
      <formula2>0</formula2>
    </dataValidation>
    <dataValidation allowBlank="true" errorStyle="stop" operator="between" showDropDown="false" showErrorMessage="false" showInputMessage="true" sqref="H2:H1589" type="list">
      <formula1>DV_H</formula1>
      <formula2>0</formula2>
    </dataValidation>
    <dataValidation allowBlank="true" errorStyle="stop" operator="between" showDropDown="false" showErrorMessage="false" showInputMessage="true" sqref="I2:I1589" type="list">
      <formula1>DV_I</formula1>
      <formula2>0</formula2>
    </dataValidation>
    <dataValidation allowBlank="true" errorStyle="stop" operator="between" showDropDown="false" showErrorMessage="false" showInputMessage="true" sqref="J2:J1589" type="list">
      <formula1>DV_J</formula1>
      <formula2>0</formula2>
    </dataValidation>
    <dataValidation allowBlank="true" errorStyle="stop" operator="between" showDropDown="false" showErrorMessage="false" showInputMessage="true" sqref="K2:K1589" type="list">
      <formula1>DV_K</formula1>
      <formula2>0</formula2>
    </dataValidation>
    <dataValidation allowBlank="true" errorStyle="stop" operator="between" showDropDown="false" showErrorMessage="false" showInputMessage="true" sqref="L2:L1589" type="list">
      <formula1>DV_L</formula1>
      <formula2>0</formula2>
    </dataValidation>
    <dataValidation allowBlank="true" errorStyle="stop" operator="between" showDropDown="false" showErrorMessage="false" showInputMessage="true" sqref="M2:M1589" type="list">
      <formula1>DV_M</formula1>
      <formula2>0</formula2>
    </dataValidation>
    <dataValidation allowBlank="true" errorStyle="stop" operator="between" showDropDown="false" showErrorMessage="false" showInputMessage="true" sqref="N2:N1589" type="list">
      <formula1>DV_N</formula1>
      <formula2>0</formula2>
    </dataValidation>
    <dataValidation allowBlank="true" errorStyle="stop" operator="between" showDropDown="false" showErrorMessage="false" showInputMessage="true" sqref="O2:O1589" type="list">
      <formula1>DV_O</formula1>
      <formula2>0</formula2>
    </dataValidation>
    <dataValidation allowBlank="true" errorStyle="stop" operator="between" showDropDown="false" showErrorMessage="false" showInputMessage="true" sqref="P2:P1589" type="list">
      <formula1>DV_P</formula1>
      <formula2>0</formula2>
    </dataValidation>
    <dataValidation allowBlank="true" errorStyle="stop" operator="between" showDropDown="false" showErrorMessage="false" showInputMessage="true" sqref="Q2:Q1589" type="list">
      <formula1>DV_Q</formula1>
      <formula2>0</formula2>
    </dataValidation>
    <dataValidation allowBlank="true" errorStyle="stop" operator="between" showDropDown="false" showErrorMessage="false" showInputMessage="true" sqref="R2:R1589" type="list">
      <formula1>DV_R</formula1>
      <formula2>0</formula2>
    </dataValidation>
    <dataValidation allowBlank="true" errorStyle="stop" operator="between" showDropDown="false" showErrorMessage="false" showInputMessage="true" sqref="S2:S1589" type="list">
      <formula1>DV_S</formula1>
      <formula2>0</formula2>
    </dataValidation>
    <dataValidation allowBlank="true" errorStyle="stop" operator="between" showDropDown="false" showErrorMessage="false" showInputMessage="true" sqref="T2:T1589" type="list">
      <formula1>DV_T</formula1>
      <formula2>0</formula2>
    </dataValidation>
    <dataValidation allowBlank="true" errorStyle="stop" operator="between" showDropDown="false" showErrorMessage="false" showInputMessage="true" sqref="V2:V1589" type="list">
      <formula1>DV_V</formula1>
      <formula2>0</formula2>
    </dataValidation>
    <dataValidation allowBlank="true" errorStyle="stop" operator="between" showDropDown="false" showErrorMessage="false" showInputMessage="true" sqref="W2:W1589" type="list">
      <formula1>DV_W</formula1>
      <formula2>0</formula2>
    </dataValidation>
    <dataValidation allowBlank="true" errorStyle="stop" operator="between" showDropDown="false" showErrorMessage="false" showInputMessage="true" sqref="X2:X1589" type="list">
      <formula1>DV_X</formula1>
      <formula2>0</formula2>
    </dataValidation>
    <dataValidation allowBlank="true" errorStyle="stop" operator="between" showDropDown="false" showErrorMessage="false" showInputMessage="true" sqref="Y2:Y1589" type="list">
      <formula1>DV_Y</formula1>
      <formula2>0</formula2>
    </dataValidation>
    <dataValidation allowBlank="true" errorStyle="stop" operator="between" showDropDown="false" showErrorMessage="false" showInputMessage="true" sqref="AK2:AK1589" type="list">
      <formula1>DV_AK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1" sqref="A1 C9"/>
    </sheetView>
  </sheetViews>
  <sheetFormatPr defaultColWidth="10.75" defaultRowHeight="14.25" zeroHeight="false" outlineLevelRow="0" outlineLevelCol="0"/>
  <cols>
    <col collapsed="false" customWidth="true" hidden="false" outlineLevel="0" max="1" min="1" style="56" width="21.25"/>
    <col collapsed="false" customWidth="true" hidden="false" outlineLevel="0" max="2" min="2" style="0" width="3.75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8.5"/>
    <col collapsed="false" customWidth="true" hidden="false" outlineLevel="0" max="6" min="6" style="0" width="37"/>
    <col collapsed="false" customWidth="true" hidden="false" outlineLevel="0" max="7" min="7" style="0" width="33.13"/>
    <col collapsed="false" customWidth="true" hidden="false" outlineLevel="0" max="8" min="8" style="0" width="15.51"/>
    <col collapsed="false" customWidth="true" hidden="false" outlineLevel="0" max="10" min="9" style="0" width="16"/>
    <col collapsed="false" customWidth="true" hidden="false" outlineLevel="0" max="12" min="11" style="0" width="13.13"/>
    <col collapsed="false" customWidth="true" hidden="false" outlineLevel="0" max="13" min="13" style="0" width="15"/>
    <col collapsed="false" customWidth="true" hidden="false" outlineLevel="0" max="15" min="14" style="0" width="13.13"/>
    <col collapsed="false" customWidth="true" hidden="false" outlineLevel="0" max="16" min="16" style="0" width="15"/>
    <col collapsed="false" customWidth="true" hidden="false" outlineLevel="0" max="18" min="17" style="0" width="10.87"/>
    <col collapsed="false" customWidth="true" hidden="false" outlineLevel="0" max="19" min="19" style="0" width="15"/>
    <col collapsed="false" customWidth="true" hidden="false" outlineLevel="0" max="21" min="20" style="0" width="10.87"/>
    <col collapsed="false" customWidth="true" hidden="false" outlineLevel="0" max="22" min="22" style="0" width="15"/>
    <col collapsed="false" customWidth="true" hidden="false" outlineLevel="0" max="23" min="23" style="0" width="10.87"/>
    <col collapsed="false" customWidth="true" hidden="false" outlineLevel="0" max="27" min="27" style="0" width="22"/>
    <col collapsed="false" customWidth="true" hidden="false" outlineLevel="0" max="28" min="28" style="0" width="18"/>
    <col collapsed="false" customWidth="true" hidden="false" outlineLevel="0" max="29" min="29" style="0" width="20"/>
    <col collapsed="false" customWidth="true" hidden="false" outlineLevel="0" max="32" min="30" style="0" width="16"/>
  </cols>
  <sheetData>
    <row r="1" s="57" customFormat="true" ht="14.25" hidden="false" customHeight="false" outlineLevel="0" collapsed="false"/>
    <row r="2" s="57" customFormat="true" ht="14.25" hidden="false" customHeight="false" outlineLevel="0" collapsed="false"/>
    <row r="3" s="57" customFormat="true" ht="14.25" hidden="false" customHeight="false" outlineLevel="0" collapsed="false"/>
    <row r="4" customFormat="false" ht="15" hidden="false" customHeight="true" outlineLevel="0" collapsed="false">
      <c r="B4" s="56"/>
    </row>
    <row r="5" customFormat="false" ht="15" hidden="false" customHeight="false" outlineLevel="0" collapsed="false">
      <c r="C5" s="58" t="s">
        <v>1067</v>
      </c>
    </row>
    <row r="6" customFormat="false" ht="14.25" hidden="false" customHeight="false" outlineLevel="0" collapsed="false">
      <c r="B6" s="59"/>
      <c r="C6" s="60" t="s">
        <v>13</v>
      </c>
      <c r="D6" s="61"/>
      <c r="E6" s="61"/>
      <c r="F6" s="61"/>
      <c r="G6" s="61"/>
      <c r="H6" s="61"/>
      <c r="I6" s="61"/>
      <c r="J6" s="61"/>
      <c r="K6" s="61"/>
      <c r="L6" s="61"/>
      <c r="M6" s="62"/>
      <c r="O6" s="63" t="s">
        <v>15</v>
      </c>
      <c r="P6" s="64"/>
    </row>
    <row r="7" customFormat="false" ht="14.25" hidden="false" customHeight="false" outlineLevel="0" collapsed="false">
      <c r="B7" s="65" t="s">
        <v>1068</v>
      </c>
      <c r="C7" s="66" t="s">
        <v>104</v>
      </c>
      <c r="D7" s="67" t="s">
        <v>549</v>
      </c>
      <c r="E7" s="67" t="s">
        <v>258</v>
      </c>
      <c r="F7" s="67" t="s">
        <v>643</v>
      </c>
      <c r="G7" s="67" t="s">
        <v>52</v>
      </c>
      <c r="H7" s="67" t="s">
        <v>64</v>
      </c>
      <c r="I7" s="67" t="s">
        <v>255</v>
      </c>
      <c r="J7" s="67" t="s">
        <v>220</v>
      </c>
      <c r="K7" s="67" t="s">
        <v>486</v>
      </c>
      <c r="L7" s="67" t="s">
        <v>489</v>
      </c>
      <c r="M7" s="68" t="s">
        <v>625</v>
      </c>
      <c r="O7" s="69"/>
      <c r="P7" s="70"/>
    </row>
    <row r="8" customFormat="false" ht="14.25" hidden="false" customHeight="false" outlineLevel="0" collapsed="false">
      <c r="B8" s="71" t="s">
        <v>1069</v>
      </c>
      <c r="C8" s="72" t="n">
        <v>2243.59515151515</v>
      </c>
      <c r="D8" s="73" t="n">
        <v>-67.84</v>
      </c>
      <c r="E8" s="73" t="n">
        <v>2368</v>
      </c>
      <c r="F8" s="73" t="n">
        <v>0</v>
      </c>
      <c r="G8" s="73" t="n">
        <v>3767.32</v>
      </c>
      <c r="H8" s="73" t="n">
        <v>9150.24</v>
      </c>
      <c r="I8" s="73" t="n">
        <v>1016</v>
      </c>
      <c r="J8" s="73" t="n">
        <v>12085.1515151515</v>
      </c>
      <c r="K8" s="73" t="n">
        <v>840.30303030303</v>
      </c>
      <c r="L8" s="73" t="n">
        <v>822.272727272727</v>
      </c>
      <c r="M8" s="74" t="n">
        <v>3511.66666666667</v>
      </c>
    </row>
    <row r="9" customFormat="false" ht="14.25" hidden="false" customHeight="false" outlineLevel="0" collapsed="false">
      <c r="B9" s="75" t="s">
        <v>1070</v>
      </c>
      <c r="C9" s="76" t="n">
        <v>740.3864</v>
      </c>
      <c r="D9" s="77" t="n">
        <v>-22.3872</v>
      </c>
      <c r="E9" s="77" t="n">
        <v>781.44</v>
      </c>
      <c r="F9" s="77" t="n">
        <v>0</v>
      </c>
      <c r="G9" s="77" t="n">
        <v>1243.2156</v>
      </c>
      <c r="H9" s="77" t="n">
        <v>766.4481</v>
      </c>
      <c r="I9" s="77" t="n">
        <v>335.28</v>
      </c>
      <c r="J9" s="77" t="n">
        <v>3988.1</v>
      </c>
      <c r="K9" s="77" t="n">
        <v>277.3</v>
      </c>
      <c r="L9" s="77" t="n">
        <v>271.35</v>
      </c>
      <c r="M9" s="78" t="n">
        <v>1158.85</v>
      </c>
    </row>
    <row r="10" customFormat="false" ht="14.25" hidden="false" customHeight="false" outlineLevel="0" collapsed="false">
      <c r="J10" s="59"/>
      <c r="K10" s="79" t="s">
        <v>1071</v>
      </c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1"/>
      <c r="AA10" s="10" t="s">
        <v>1072</v>
      </c>
    </row>
    <row r="11" customFormat="false" ht="14.25" hidden="false" customHeight="false" outlineLevel="0" collapsed="false">
      <c r="C11" s="82"/>
      <c r="J11" s="83"/>
      <c r="K11" s="84" t="s">
        <v>559</v>
      </c>
      <c r="L11" s="85"/>
      <c r="M11" s="85"/>
      <c r="N11" s="85" t="s">
        <v>63</v>
      </c>
      <c r="O11" s="85"/>
      <c r="P11" s="85"/>
      <c r="Q11" s="85" t="s">
        <v>47</v>
      </c>
      <c r="R11" s="85"/>
      <c r="S11" s="85"/>
      <c r="T11" s="85" t="s">
        <v>79</v>
      </c>
      <c r="U11" s="85"/>
      <c r="V11" s="85"/>
      <c r="W11" s="85" t="s">
        <v>107</v>
      </c>
      <c r="X11" s="85"/>
      <c r="Y11" s="86"/>
      <c r="AA11" s="10" t="s">
        <v>1073</v>
      </c>
      <c r="AB11" s="10" t="s">
        <v>19</v>
      </c>
      <c r="AC11" s="10" t="s">
        <v>20</v>
      </c>
    </row>
    <row r="12" customFormat="false" ht="14.25" hidden="false" customHeight="false" outlineLevel="0" collapsed="false">
      <c r="J12" s="65" t="s">
        <v>13</v>
      </c>
      <c r="K12" s="66" t="s">
        <v>51</v>
      </c>
      <c r="L12" s="67" t="s">
        <v>1070</v>
      </c>
      <c r="M12" s="67" t="s">
        <v>1074</v>
      </c>
      <c r="N12" s="67" t="s">
        <v>51</v>
      </c>
      <c r="O12" s="67" t="s">
        <v>1070</v>
      </c>
      <c r="P12" s="67" t="s">
        <v>1074</v>
      </c>
      <c r="Q12" s="67" t="s">
        <v>51</v>
      </c>
      <c r="R12" s="67" t="s">
        <v>1070</v>
      </c>
      <c r="S12" s="67" t="s">
        <v>1074</v>
      </c>
      <c r="T12" s="67" t="s">
        <v>51</v>
      </c>
      <c r="U12" s="67" t="s">
        <v>1070</v>
      </c>
      <c r="V12" s="67" t="s">
        <v>1074</v>
      </c>
      <c r="W12" s="67" t="s">
        <v>51</v>
      </c>
      <c r="X12" s="67" t="s">
        <v>1070</v>
      </c>
      <c r="Y12" s="68" t="s">
        <v>1074</v>
      </c>
      <c r="AA12" s="10" t="n">
        <f aca="false">COUNTIFS(Dane!$AN:$AN,"TAK",Dane!$AR:$AR,"GŁÓWNY")</f>
        <v>206</v>
      </c>
      <c r="AB12" s="10" t="n">
        <f aca="false">SUMIFS(Dane!$T:$T,Dane!$AN:$AN,"TAK")</f>
        <v>21818</v>
      </c>
      <c r="AC12" s="10" t="n">
        <f aca="false">SUMIFS(Dane!$U:$U,Dane!$AN:$AN,"TAK")</f>
        <v>108487</v>
      </c>
    </row>
    <row r="13" customFormat="false" ht="14.25" hidden="false" customHeight="false" outlineLevel="0" collapsed="false">
      <c r="J13" s="71" t="s">
        <v>104</v>
      </c>
      <c r="K13" s="87"/>
      <c r="L13" s="88"/>
      <c r="M13" s="89"/>
      <c r="N13" s="90" t="n">
        <v>2243.59515151515</v>
      </c>
      <c r="O13" s="90" t="n">
        <v>740.3864</v>
      </c>
      <c r="P13" s="91" t="n">
        <v>209853</v>
      </c>
      <c r="Q13" s="87"/>
      <c r="R13" s="88"/>
      <c r="S13" s="89"/>
      <c r="T13" s="92"/>
      <c r="U13" s="92"/>
      <c r="V13" s="92"/>
      <c r="W13" s="87"/>
      <c r="X13" s="88"/>
      <c r="Y13" s="93"/>
      <c r="AA13" s="10" t="s">
        <v>1075</v>
      </c>
      <c r="AB13" s="10" t="s">
        <v>1076</v>
      </c>
    </row>
    <row r="14" customFormat="false" ht="14.25" hidden="false" customHeight="false" outlineLevel="0" collapsed="false">
      <c r="J14" s="94" t="s">
        <v>549</v>
      </c>
      <c r="K14" s="95"/>
      <c r="L14" s="92"/>
      <c r="M14" s="96"/>
      <c r="N14" s="92"/>
      <c r="O14" s="92"/>
      <c r="P14" s="92"/>
      <c r="Q14" s="95"/>
      <c r="R14" s="92"/>
      <c r="S14" s="96"/>
      <c r="T14" s="90" t="n">
        <v>67.84</v>
      </c>
      <c r="U14" s="90" t="n">
        <v>22.3872</v>
      </c>
      <c r="V14" s="91" t="n">
        <v>0</v>
      </c>
      <c r="W14" s="95"/>
      <c r="X14" s="92"/>
      <c r="Y14" s="97"/>
      <c r="AA14" s="10" t="s">
        <v>1077</v>
      </c>
      <c r="AC14" s="10" t="n">
        <f aca="false">IFERROR(AC12/AA12,0)</f>
        <v>526.635922330097</v>
      </c>
    </row>
    <row r="15" customFormat="false" ht="35.05" hidden="false" customHeight="false" outlineLevel="0" collapsed="false">
      <c r="C15" s="59"/>
      <c r="D15" s="60" t="s">
        <v>1068</v>
      </c>
      <c r="E15" s="61"/>
      <c r="F15" s="61"/>
      <c r="G15" s="62"/>
      <c r="J15" s="94" t="s">
        <v>258</v>
      </c>
      <c r="K15" s="95"/>
      <c r="L15" s="92"/>
      <c r="M15" s="96"/>
      <c r="N15" s="90" t="n">
        <v>2368</v>
      </c>
      <c r="O15" s="90" t="n">
        <v>781.44</v>
      </c>
      <c r="P15" s="91" t="n">
        <v>3960</v>
      </c>
      <c r="Q15" s="98" t="n">
        <v>2280</v>
      </c>
      <c r="R15" s="90" t="n">
        <v>752.4</v>
      </c>
      <c r="S15" s="99" t="n">
        <v>0</v>
      </c>
      <c r="T15" s="90" t="n">
        <v>2280</v>
      </c>
      <c r="U15" s="90" t="n">
        <v>752.4</v>
      </c>
      <c r="V15" s="91" t="n">
        <v>0</v>
      </c>
      <c r="W15" s="95"/>
      <c r="X15" s="92"/>
      <c r="Y15" s="97"/>
      <c r="AA15" s="10" t="s">
        <v>1078</v>
      </c>
    </row>
    <row r="16" customFormat="false" ht="14.25" hidden="false" customHeight="false" outlineLevel="0" collapsed="false">
      <c r="C16" s="65" t="s">
        <v>13</v>
      </c>
      <c r="D16" s="66" t="s">
        <v>1069</v>
      </c>
      <c r="E16" s="67" t="s">
        <v>1070</v>
      </c>
      <c r="F16" s="67" t="s">
        <v>1079</v>
      </c>
      <c r="G16" s="68" t="s">
        <v>1080</v>
      </c>
      <c r="J16" s="94" t="s">
        <v>643</v>
      </c>
      <c r="K16" s="95"/>
      <c r="L16" s="92"/>
      <c r="M16" s="96"/>
      <c r="N16" s="92"/>
      <c r="O16" s="92"/>
      <c r="P16" s="92"/>
      <c r="Q16" s="95"/>
      <c r="R16" s="92"/>
      <c r="S16" s="96"/>
      <c r="T16" s="92"/>
      <c r="U16" s="92"/>
      <c r="V16" s="92"/>
      <c r="W16" s="98" t="n">
        <v>424</v>
      </c>
      <c r="X16" s="90" t="n">
        <v>139.92</v>
      </c>
      <c r="Y16" s="100" t="n">
        <v>0</v>
      </c>
    </row>
    <row r="17" customFormat="false" ht="14.25" hidden="false" customHeight="false" outlineLevel="0" collapsed="false">
      <c r="C17" s="71" t="s">
        <v>104</v>
      </c>
      <c r="D17" s="72" t="n">
        <v>2243.59515151515</v>
      </c>
      <c r="E17" s="73" t="n">
        <v>740.3864</v>
      </c>
      <c r="F17" s="101" t="n">
        <v>209853</v>
      </c>
      <c r="G17" s="102" t="n">
        <v>0</v>
      </c>
      <c r="J17" s="94" t="s">
        <v>52</v>
      </c>
      <c r="K17" s="98" t="n">
        <v>1890</v>
      </c>
      <c r="L17" s="90" t="n">
        <v>623.7</v>
      </c>
      <c r="M17" s="99" t="n">
        <v>0</v>
      </c>
      <c r="N17" s="90" t="n">
        <v>4984.98</v>
      </c>
      <c r="O17" s="90" t="n">
        <v>1645.0434</v>
      </c>
      <c r="P17" s="91" t="n">
        <v>45513</v>
      </c>
      <c r="Q17" s="98" t="n">
        <v>5006.98</v>
      </c>
      <c r="R17" s="90" t="n">
        <v>1652.3034</v>
      </c>
      <c r="S17" s="99" t="n">
        <v>0</v>
      </c>
      <c r="T17" s="90" t="n">
        <v>4334.64</v>
      </c>
      <c r="U17" s="90" t="n">
        <v>1430.4312</v>
      </c>
      <c r="V17" s="91" t="n">
        <v>0</v>
      </c>
      <c r="W17" s="98" t="n">
        <v>5880.3</v>
      </c>
      <c r="X17" s="90" t="n">
        <v>1940.499</v>
      </c>
      <c r="Y17" s="100" t="n">
        <v>0</v>
      </c>
      <c r="AA17" s="10" t="s">
        <v>1081</v>
      </c>
    </row>
    <row r="18" customFormat="false" ht="14.25" hidden="false" customHeight="false" outlineLevel="0" collapsed="false">
      <c r="C18" s="94" t="s">
        <v>549</v>
      </c>
      <c r="D18" s="98" t="n">
        <v>67.84</v>
      </c>
      <c r="E18" s="90" t="n">
        <v>22.3872</v>
      </c>
      <c r="F18" s="91" t="n">
        <v>0</v>
      </c>
      <c r="G18" s="100" t="n">
        <v>0</v>
      </c>
      <c r="J18" s="94" t="s">
        <v>64</v>
      </c>
      <c r="K18" s="95"/>
      <c r="L18" s="92"/>
      <c r="M18" s="96"/>
      <c r="N18" s="90" t="n">
        <v>10235.46</v>
      </c>
      <c r="O18" s="90" t="n">
        <v>1005.5925</v>
      </c>
      <c r="P18" s="91" t="n">
        <v>407314.15</v>
      </c>
      <c r="Q18" s="95"/>
      <c r="R18" s="92"/>
      <c r="S18" s="96"/>
      <c r="T18" s="90" t="n">
        <v>604.5</v>
      </c>
      <c r="U18" s="90" t="n">
        <v>178.695</v>
      </c>
      <c r="V18" s="91" t="n">
        <v>0</v>
      </c>
      <c r="W18" s="98" t="n">
        <v>100</v>
      </c>
      <c r="X18" s="90" t="n">
        <v>8.25</v>
      </c>
      <c r="Y18" s="100" t="n">
        <v>0</v>
      </c>
      <c r="AA18" s="10" t="s">
        <v>63</v>
      </c>
      <c r="AB18" s="10" t="s">
        <v>47</v>
      </c>
      <c r="AC18" s="10" t="s">
        <v>559</v>
      </c>
      <c r="AD18" s="10" t="s">
        <v>79</v>
      </c>
      <c r="AE18" s="10" t="s">
        <v>107</v>
      </c>
      <c r="AF18" s="10" t="s">
        <v>1072</v>
      </c>
    </row>
    <row r="19" customFormat="false" ht="14.25" hidden="false" customHeight="false" outlineLevel="0" collapsed="false">
      <c r="C19" s="94" t="s">
        <v>258</v>
      </c>
      <c r="D19" s="98" t="n">
        <v>6928</v>
      </c>
      <c r="E19" s="90" t="n">
        <v>2286.24</v>
      </c>
      <c r="F19" s="91" t="n">
        <v>3960</v>
      </c>
      <c r="G19" s="100" t="n">
        <v>0</v>
      </c>
      <c r="J19" s="94" t="s">
        <v>255</v>
      </c>
      <c r="K19" s="95"/>
      <c r="L19" s="92"/>
      <c r="M19" s="96"/>
      <c r="N19" s="90" t="n">
        <v>2192</v>
      </c>
      <c r="O19" s="90" t="n">
        <v>723.36</v>
      </c>
      <c r="P19" s="91" t="n">
        <v>96320</v>
      </c>
      <c r="Q19" s="95"/>
      <c r="R19" s="92"/>
      <c r="S19" s="96"/>
      <c r="T19" s="92"/>
      <c r="U19" s="92"/>
      <c r="V19" s="92"/>
      <c r="W19" s="95"/>
      <c r="X19" s="92"/>
      <c r="Y19" s="97"/>
    </row>
    <row r="20" customFormat="false" ht="14.25" hidden="false" customHeight="false" outlineLevel="0" collapsed="false">
      <c r="C20" s="94" t="s">
        <v>643</v>
      </c>
      <c r="D20" s="98" t="n">
        <v>424</v>
      </c>
      <c r="E20" s="90" t="n">
        <v>139.92</v>
      </c>
      <c r="F20" s="91" t="n">
        <v>0</v>
      </c>
      <c r="G20" s="100" t="n">
        <v>0</v>
      </c>
      <c r="J20" s="94" t="s">
        <v>220</v>
      </c>
      <c r="K20" s="95"/>
      <c r="L20" s="92"/>
      <c r="M20" s="96"/>
      <c r="N20" s="90" t="n">
        <v>12085.1515151515</v>
      </c>
      <c r="O20" s="90" t="n">
        <v>3988.1</v>
      </c>
      <c r="P20" s="91" t="n">
        <v>0</v>
      </c>
      <c r="Q20" s="95"/>
      <c r="R20" s="92"/>
      <c r="S20" s="96"/>
      <c r="T20" s="92"/>
      <c r="U20" s="92"/>
      <c r="V20" s="92"/>
      <c r="W20" s="95"/>
      <c r="X20" s="92"/>
      <c r="Y20" s="97"/>
    </row>
    <row r="21" customFormat="false" ht="14.25" hidden="false" customHeight="false" outlineLevel="0" collapsed="false">
      <c r="C21" s="94" t="s">
        <v>52</v>
      </c>
      <c r="D21" s="98" t="n">
        <v>22096.9</v>
      </c>
      <c r="E21" s="90" t="n">
        <v>7291.97699999999</v>
      </c>
      <c r="F21" s="91" t="n">
        <v>45513</v>
      </c>
      <c r="G21" s="100" t="n">
        <v>0</v>
      </c>
      <c r="J21" s="94" t="s">
        <v>486</v>
      </c>
      <c r="K21" s="98" t="n">
        <v>116.363636363636</v>
      </c>
      <c r="L21" s="90" t="n">
        <v>38.4</v>
      </c>
      <c r="M21" s="99" t="n">
        <v>0</v>
      </c>
      <c r="N21" s="90" t="n">
        <v>956.666666666667</v>
      </c>
      <c r="O21" s="90" t="n">
        <v>315.7</v>
      </c>
      <c r="P21" s="91" t="n">
        <v>0</v>
      </c>
      <c r="Q21" s="95"/>
      <c r="R21" s="92"/>
      <c r="S21" s="96"/>
      <c r="T21" s="92"/>
      <c r="U21" s="92"/>
      <c r="V21" s="92"/>
      <c r="W21" s="95"/>
      <c r="X21" s="92"/>
      <c r="Y21" s="97"/>
    </row>
    <row r="22" customFormat="false" ht="14.25" hidden="false" customHeight="false" outlineLevel="0" collapsed="false">
      <c r="C22" s="94" t="s">
        <v>64</v>
      </c>
      <c r="D22" s="98" t="n">
        <v>10939.96</v>
      </c>
      <c r="E22" s="90" t="n">
        <v>1192.5375</v>
      </c>
      <c r="F22" s="91" t="n">
        <v>407314.15</v>
      </c>
      <c r="G22" s="100" t="n">
        <v>0</v>
      </c>
      <c r="J22" s="94" t="s">
        <v>489</v>
      </c>
      <c r="K22" s="95"/>
      <c r="L22" s="92"/>
      <c r="M22" s="96"/>
      <c r="N22" s="90" t="n">
        <v>822.272727272727</v>
      </c>
      <c r="O22" s="90" t="n">
        <v>271.35</v>
      </c>
      <c r="P22" s="91" t="n">
        <v>0</v>
      </c>
      <c r="Q22" s="95"/>
      <c r="R22" s="92"/>
      <c r="S22" s="96"/>
      <c r="T22" s="92"/>
      <c r="U22" s="92"/>
      <c r="V22" s="92"/>
      <c r="W22" s="95"/>
      <c r="X22" s="92"/>
      <c r="Y22" s="97"/>
    </row>
    <row r="23" customFormat="false" ht="14.25" hidden="false" customHeight="false" outlineLevel="0" collapsed="false">
      <c r="C23" s="94" t="s">
        <v>255</v>
      </c>
      <c r="D23" s="98" t="n">
        <v>2192</v>
      </c>
      <c r="E23" s="90" t="n">
        <v>723.36</v>
      </c>
      <c r="F23" s="91" t="n">
        <v>96320</v>
      </c>
      <c r="G23" s="100" t="n">
        <v>0</v>
      </c>
      <c r="J23" s="94" t="s">
        <v>625</v>
      </c>
      <c r="K23" s="103"/>
      <c r="L23" s="104"/>
      <c r="M23" s="105"/>
      <c r="N23" s="90" t="n">
        <v>3511.66666666667</v>
      </c>
      <c r="O23" s="90" t="n">
        <v>1158.85</v>
      </c>
      <c r="P23" s="91" t="n">
        <v>0</v>
      </c>
      <c r="Q23" s="103"/>
      <c r="R23" s="104"/>
      <c r="S23" s="105"/>
      <c r="T23" s="92"/>
      <c r="U23" s="92"/>
      <c r="V23" s="92"/>
      <c r="W23" s="103"/>
      <c r="X23" s="104"/>
      <c r="Y23" s="106"/>
    </row>
    <row r="24" customFormat="false" ht="14.25" hidden="false" customHeight="false" outlineLevel="0" collapsed="false">
      <c r="C24" s="94" t="s">
        <v>220</v>
      </c>
      <c r="D24" s="98" t="n">
        <v>12085.1515151515</v>
      </c>
      <c r="E24" s="90" t="n">
        <v>3988.1</v>
      </c>
      <c r="F24" s="91" t="n">
        <v>0</v>
      </c>
      <c r="G24" s="100" t="n">
        <v>0</v>
      </c>
      <c r="J24" s="107" t="s">
        <v>1082</v>
      </c>
      <c r="K24" s="108" t="n">
        <v>2006.36363636364</v>
      </c>
      <c r="L24" s="109" t="n">
        <v>662.1</v>
      </c>
      <c r="M24" s="110" t="n">
        <v>0</v>
      </c>
      <c r="N24" s="108" t="n">
        <v>39399.7927272727</v>
      </c>
      <c r="O24" s="109" t="n">
        <v>10629.8223</v>
      </c>
      <c r="P24" s="110" t="n">
        <v>762960.15</v>
      </c>
      <c r="Q24" s="108" t="n">
        <v>7286.98</v>
      </c>
      <c r="R24" s="109" t="n">
        <v>2404.7034</v>
      </c>
      <c r="S24" s="110" t="n">
        <v>0</v>
      </c>
      <c r="T24" s="108" t="n">
        <v>7286.98</v>
      </c>
      <c r="U24" s="109" t="n">
        <v>2383.9134</v>
      </c>
      <c r="V24" s="110" t="n">
        <v>0</v>
      </c>
      <c r="W24" s="108" t="n">
        <v>6404.3</v>
      </c>
      <c r="X24" s="109" t="n">
        <v>2088.669</v>
      </c>
      <c r="Y24" s="111" t="n">
        <v>0</v>
      </c>
    </row>
    <row r="25" customFormat="false" ht="14.25" hidden="false" customHeight="false" outlineLevel="0" collapsed="false">
      <c r="C25" s="94" t="s">
        <v>486</v>
      </c>
      <c r="D25" s="98" t="n">
        <v>1073.0303030303</v>
      </c>
      <c r="E25" s="90" t="n">
        <v>354.1</v>
      </c>
      <c r="F25" s="91" t="n">
        <v>0</v>
      </c>
      <c r="G25" s="100" t="n">
        <v>0</v>
      </c>
    </row>
    <row r="26" customFormat="false" ht="14.25" hidden="false" customHeight="false" outlineLevel="0" collapsed="false">
      <c r="C26" s="112"/>
      <c r="D26" s="80"/>
      <c r="E26" s="80"/>
      <c r="F26" s="113"/>
      <c r="G26" s="60" t="s">
        <v>1068</v>
      </c>
      <c r="H26" s="62"/>
    </row>
    <row r="27" customFormat="false" ht="14.25" hidden="false" customHeight="false" outlineLevel="0" collapsed="false">
      <c r="C27" s="65" t="s">
        <v>4</v>
      </c>
      <c r="D27" s="114" t="s">
        <v>13</v>
      </c>
      <c r="E27" s="114" t="s">
        <v>3</v>
      </c>
      <c r="F27" s="114" t="s">
        <v>21</v>
      </c>
      <c r="G27" s="66" t="s">
        <v>51</v>
      </c>
      <c r="H27" s="68" t="s">
        <v>1070</v>
      </c>
    </row>
    <row r="28" customFormat="false" ht="14.25" hidden="false" customHeight="false" outlineLevel="0" collapsed="false">
      <c r="C28" s="71" t="s">
        <v>63</v>
      </c>
      <c r="D28" s="115" t="s">
        <v>104</v>
      </c>
      <c r="E28" s="116" t="s">
        <v>101</v>
      </c>
      <c r="F28" s="116" t="s">
        <v>54</v>
      </c>
      <c r="G28" s="117" t="n">
        <v>425.454545454545</v>
      </c>
      <c r="H28" s="118" t="n">
        <v>140.4</v>
      </c>
    </row>
    <row r="29" customFormat="false" ht="14.25" hidden="false" customHeight="false" outlineLevel="0" collapsed="false">
      <c r="C29" s="94"/>
      <c r="D29" s="119"/>
      <c r="E29" s="116" t="s">
        <v>124</v>
      </c>
      <c r="F29" s="116" t="s">
        <v>54</v>
      </c>
      <c r="G29" s="117" t="n">
        <v>1551.1103030303</v>
      </c>
      <c r="H29" s="118" t="n">
        <v>511.8664</v>
      </c>
    </row>
    <row r="30" customFormat="false" ht="14.25" hidden="false" customHeight="false" outlineLevel="0" collapsed="false">
      <c r="C30" s="94"/>
      <c r="D30" s="119"/>
      <c r="E30" s="116" t="s">
        <v>691</v>
      </c>
      <c r="F30" s="116" t="s">
        <v>54</v>
      </c>
      <c r="G30" s="117" t="n">
        <v>184</v>
      </c>
      <c r="H30" s="118" t="n">
        <v>60.72</v>
      </c>
    </row>
    <row r="31" customFormat="false" ht="14.25" hidden="false" customHeight="false" outlineLevel="0" collapsed="false">
      <c r="C31" s="94"/>
      <c r="D31" s="120"/>
      <c r="E31" s="116" t="s">
        <v>986</v>
      </c>
      <c r="F31" s="116" t="s">
        <v>54</v>
      </c>
      <c r="G31" s="117" t="n">
        <v>83.030303030303</v>
      </c>
      <c r="H31" s="118" t="n">
        <v>27.4</v>
      </c>
    </row>
    <row r="32" customFormat="false" ht="14.25" hidden="false" customHeight="false" outlineLevel="0" collapsed="false">
      <c r="C32" s="94"/>
      <c r="D32" s="115" t="s">
        <v>258</v>
      </c>
      <c r="E32" s="116" t="s">
        <v>54</v>
      </c>
      <c r="F32" s="116" t="s">
        <v>54</v>
      </c>
      <c r="G32" s="117" t="n">
        <v>2280</v>
      </c>
      <c r="H32" s="118" t="n">
        <v>752.4</v>
      </c>
    </row>
    <row r="33" customFormat="false" ht="14.25" hidden="false" customHeight="false" outlineLevel="0" collapsed="false">
      <c r="C33" s="94"/>
      <c r="D33" s="120"/>
      <c r="E33" s="116" t="s">
        <v>376</v>
      </c>
      <c r="F33" s="116" t="s">
        <v>54</v>
      </c>
      <c r="G33" s="117" t="n">
        <v>88</v>
      </c>
      <c r="H33" s="118" t="n">
        <v>29.04</v>
      </c>
    </row>
    <row r="34" customFormat="false" ht="14.25" hidden="false" customHeight="false" outlineLevel="0" collapsed="false">
      <c r="C34" s="94"/>
      <c r="D34" s="116" t="s">
        <v>52</v>
      </c>
      <c r="E34" s="116" t="s">
        <v>54</v>
      </c>
      <c r="F34" s="116" t="s">
        <v>54</v>
      </c>
      <c r="G34" s="117" t="n">
        <v>4984.98</v>
      </c>
      <c r="H34" s="118" t="n">
        <v>1645.0434</v>
      </c>
      <c r="L34" s="121"/>
    </row>
    <row r="35" customFormat="false" ht="14.25" hidden="false" customHeight="false" outlineLevel="0" collapsed="false">
      <c r="C35" s="94"/>
      <c r="D35" s="115" t="s">
        <v>64</v>
      </c>
      <c r="E35" s="116" t="s">
        <v>46</v>
      </c>
      <c r="F35" s="116" t="s">
        <v>54</v>
      </c>
      <c r="G35" s="117" t="n">
        <v>5883.5</v>
      </c>
      <c r="H35" s="118" t="n">
        <v>642.3483</v>
      </c>
      <c r="L35" s="121"/>
    </row>
    <row r="36" customFormat="false" ht="14.25" hidden="false" customHeight="false" outlineLevel="0" collapsed="false">
      <c r="C36" s="94"/>
      <c r="D36" s="119"/>
      <c r="E36" s="116" t="s">
        <v>304</v>
      </c>
      <c r="F36" s="116" t="s">
        <v>54</v>
      </c>
      <c r="G36" s="117" t="n">
        <v>480.72</v>
      </c>
      <c r="H36" s="118" t="n">
        <v>39.6594</v>
      </c>
      <c r="L36" s="121"/>
    </row>
    <row r="37" customFormat="false" ht="14.25" hidden="false" customHeight="false" outlineLevel="0" collapsed="false">
      <c r="C37" s="94"/>
      <c r="D37" s="119"/>
      <c r="E37" s="116" t="s">
        <v>436</v>
      </c>
      <c r="F37" s="116" t="s">
        <v>54</v>
      </c>
      <c r="G37" s="117" t="n">
        <v>612.6</v>
      </c>
      <c r="H37" s="118" t="n">
        <v>50.5395</v>
      </c>
      <c r="L37" s="121"/>
    </row>
    <row r="38" customFormat="false" ht="14.25" hidden="false" customHeight="false" outlineLevel="0" collapsed="false">
      <c r="C38" s="94"/>
      <c r="D38" s="119"/>
      <c r="E38" s="116" t="s">
        <v>462</v>
      </c>
      <c r="F38" s="116" t="s">
        <v>54</v>
      </c>
      <c r="G38" s="117" t="n">
        <v>535.6</v>
      </c>
      <c r="H38" s="118" t="n">
        <v>44.187</v>
      </c>
      <c r="L38" s="121"/>
    </row>
    <row r="39" customFormat="false" ht="14.25" hidden="false" customHeight="false" outlineLevel="0" collapsed="false">
      <c r="C39" s="94"/>
      <c r="D39" s="119"/>
      <c r="E39" s="116" t="s">
        <v>511</v>
      </c>
      <c r="F39" s="116" t="s">
        <v>54</v>
      </c>
      <c r="G39" s="117" t="n">
        <v>475.92</v>
      </c>
      <c r="H39" s="118" t="n">
        <v>39.2634</v>
      </c>
      <c r="L39" s="121"/>
    </row>
    <row r="40" customFormat="false" ht="14.25" hidden="false" customHeight="false" outlineLevel="0" collapsed="false">
      <c r="C40" s="94"/>
      <c r="D40" s="119"/>
      <c r="E40" s="116" t="s">
        <v>650</v>
      </c>
      <c r="F40" s="116" t="s">
        <v>54</v>
      </c>
      <c r="G40" s="117" t="n">
        <v>480</v>
      </c>
      <c r="H40" s="118" t="n">
        <v>39.6</v>
      </c>
      <c r="L40" s="121"/>
    </row>
    <row r="41" customFormat="false" ht="14.25" hidden="false" customHeight="false" outlineLevel="0" collapsed="false">
      <c r="C41" s="94"/>
      <c r="D41" s="119"/>
      <c r="E41" s="116" t="s">
        <v>694</v>
      </c>
      <c r="F41" s="116" t="s">
        <v>54</v>
      </c>
      <c r="G41" s="117" t="n">
        <v>789</v>
      </c>
      <c r="H41" s="118" t="n">
        <v>69.3</v>
      </c>
      <c r="L41" s="121"/>
    </row>
    <row r="42" customFormat="false" ht="14.25" hidden="false" customHeight="false" outlineLevel="0" collapsed="false">
      <c r="C42" s="94"/>
      <c r="D42" s="119"/>
      <c r="E42" s="116" t="s">
        <v>896</v>
      </c>
      <c r="F42" s="116" t="s">
        <v>54</v>
      </c>
      <c r="G42" s="117" t="n">
        <v>64.88</v>
      </c>
      <c r="H42" s="118" t="n">
        <v>5.3526</v>
      </c>
      <c r="L42" s="121"/>
    </row>
    <row r="43" customFormat="false" ht="14.25" hidden="false" customHeight="false" outlineLevel="0" collapsed="false">
      <c r="C43" s="94"/>
      <c r="D43" s="119"/>
      <c r="E43" s="116" t="s">
        <v>945</v>
      </c>
      <c r="F43" s="116" t="s">
        <v>54</v>
      </c>
      <c r="G43" s="117" t="n">
        <v>593.24</v>
      </c>
      <c r="H43" s="118" t="n">
        <v>48.9423</v>
      </c>
      <c r="L43" s="121"/>
    </row>
    <row r="44" customFormat="false" ht="14.25" hidden="false" customHeight="false" outlineLevel="0" collapsed="false">
      <c r="C44" s="94"/>
      <c r="D44" s="120"/>
      <c r="E44" s="116" t="s">
        <v>1025</v>
      </c>
      <c r="F44" s="116" t="s">
        <v>54</v>
      </c>
      <c r="G44" s="117" t="n">
        <v>320</v>
      </c>
      <c r="H44" s="118" t="n">
        <v>26.4</v>
      </c>
      <c r="L44" s="121"/>
    </row>
    <row r="45" customFormat="false" ht="14.25" hidden="false" customHeight="false" outlineLevel="0" collapsed="false">
      <c r="C45" s="94"/>
      <c r="D45" s="115" t="s">
        <v>255</v>
      </c>
      <c r="E45" s="116" t="s">
        <v>253</v>
      </c>
      <c r="F45" s="116" t="s">
        <v>54</v>
      </c>
      <c r="G45" s="117" t="n">
        <v>178</v>
      </c>
      <c r="H45" s="118" t="n">
        <v>58.74</v>
      </c>
      <c r="L45" s="121"/>
    </row>
    <row r="46" customFormat="false" ht="14.25" hidden="false" customHeight="false" outlineLevel="0" collapsed="false">
      <c r="C46" s="94"/>
      <c r="D46" s="119"/>
      <c r="E46" s="116" t="s">
        <v>277</v>
      </c>
      <c r="F46" s="116" t="s">
        <v>54</v>
      </c>
      <c r="G46" s="117" t="n">
        <v>320</v>
      </c>
      <c r="H46" s="118" t="n">
        <v>105.6</v>
      </c>
      <c r="L46" s="121"/>
    </row>
    <row r="47" customFormat="false" ht="14.25" hidden="false" customHeight="false" outlineLevel="0" collapsed="false">
      <c r="C47" s="94"/>
      <c r="D47" s="120"/>
      <c r="E47" s="116" t="s">
        <v>376</v>
      </c>
      <c r="F47" s="116" t="s">
        <v>54</v>
      </c>
      <c r="G47" s="117" t="n">
        <v>1694</v>
      </c>
      <c r="H47" s="118" t="n">
        <v>559.02</v>
      </c>
      <c r="L47" s="121"/>
    </row>
    <row r="48" customFormat="false" ht="14.25" hidden="false" customHeight="false" outlineLevel="0" collapsed="false">
      <c r="C48" s="94"/>
      <c r="D48" s="116" t="s">
        <v>220</v>
      </c>
      <c r="E48" s="116" t="s">
        <v>218</v>
      </c>
      <c r="F48" s="116" t="s">
        <v>54</v>
      </c>
      <c r="G48" s="117" t="n">
        <v>12085.1515151515</v>
      </c>
      <c r="H48" s="118" t="n">
        <v>3988.1</v>
      </c>
      <c r="L48" s="121"/>
    </row>
    <row r="49" customFormat="false" ht="14.25" hidden="false" customHeight="false" outlineLevel="0" collapsed="false">
      <c r="C49" s="94"/>
      <c r="D49" s="116" t="s">
        <v>486</v>
      </c>
      <c r="E49" s="116" t="s">
        <v>218</v>
      </c>
      <c r="F49" s="116" t="s">
        <v>54</v>
      </c>
      <c r="G49" s="117" t="n">
        <v>956.666666666667</v>
      </c>
      <c r="H49" s="118" t="n">
        <v>315.7</v>
      </c>
      <c r="L49" s="121"/>
    </row>
    <row r="50" customFormat="false" ht="14.25" hidden="false" customHeight="false" outlineLevel="0" collapsed="false">
      <c r="C50" s="94"/>
      <c r="D50" s="116" t="s">
        <v>489</v>
      </c>
      <c r="E50" s="116" t="s">
        <v>218</v>
      </c>
      <c r="F50" s="116" t="s">
        <v>54</v>
      </c>
      <c r="G50" s="117" t="n">
        <v>822.272727272727</v>
      </c>
      <c r="H50" s="118" t="n">
        <v>271.35</v>
      </c>
      <c r="L50" s="121"/>
    </row>
    <row r="51" customFormat="false" ht="14.25" hidden="false" customHeight="false" outlineLevel="0" collapsed="false">
      <c r="C51" s="122"/>
      <c r="D51" s="116" t="s">
        <v>625</v>
      </c>
      <c r="E51" s="116" t="s">
        <v>218</v>
      </c>
      <c r="F51" s="116" t="s">
        <v>54</v>
      </c>
      <c r="G51" s="117" t="n">
        <v>3511.66666666667</v>
      </c>
      <c r="H51" s="118" t="n">
        <v>1158.85</v>
      </c>
      <c r="L51" s="121"/>
    </row>
    <row r="52" customFormat="false" ht="14.25" hidden="false" customHeight="false" outlineLevel="0" collapsed="false">
      <c r="C52" s="123" t="s">
        <v>1082</v>
      </c>
      <c r="D52" s="124"/>
      <c r="E52" s="124"/>
      <c r="F52" s="125"/>
      <c r="G52" s="108" t="n">
        <v>39399.7927272727</v>
      </c>
      <c r="H52" s="126" t="n">
        <v>10629.8223</v>
      </c>
      <c r="L52" s="121"/>
    </row>
    <row r="53" customFormat="false" ht="14.25" hidden="false" customHeight="false" outlineLevel="0" collapsed="false">
      <c r="L53" s="121"/>
    </row>
    <row r="54" customFormat="false" ht="14.25" hidden="false" customHeight="false" outlineLevel="0" collapsed="false">
      <c r="L54" s="121"/>
    </row>
    <row r="55" customFormat="false" ht="14.25" hidden="false" customHeight="false" outlineLevel="0" collapsed="false">
      <c r="L55" s="121"/>
    </row>
    <row r="56" customFormat="false" ht="14.25" hidden="false" customHeight="false" outlineLevel="0" collapsed="false">
      <c r="L56" s="121"/>
    </row>
    <row r="57" customFormat="false" ht="14.25" hidden="false" customHeight="false" outlineLevel="0" collapsed="false">
      <c r="L57" s="121"/>
    </row>
    <row r="58" customFormat="false" ht="14.25" hidden="false" customHeight="false" outlineLevel="0" collapsed="false">
      <c r="L58" s="121"/>
    </row>
    <row r="59" customFormat="false" ht="14.25" hidden="false" customHeight="false" outlineLevel="0" collapsed="false">
      <c r="L59" s="1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5" defaultRowHeight="14.25" zeroHeight="false" outlineLevelRow="0" outlineLevelCol="0"/>
  <cols>
    <col collapsed="false" customWidth="true" hidden="false" outlineLevel="0" max="1" min="1" style="56" width="21.25"/>
    <col collapsed="false" customWidth="true" hidden="false" outlineLevel="0" max="2" min="2" style="0" width="3.75"/>
    <col collapsed="false" customWidth="true" hidden="false" outlineLevel="0" max="3" min="3" style="0" width="48.38"/>
    <col collapsed="false" customWidth="true" hidden="false" outlineLevel="0" max="4" min="4" style="0" width="18.5"/>
    <col collapsed="false" customWidth="true" hidden="false" outlineLevel="0" max="5" min="5" style="0" width="12"/>
    <col collapsed="false" customWidth="true" hidden="false" outlineLevel="0" max="7" min="6" style="0" width="18.62"/>
    <col collapsed="false" customWidth="true" hidden="false" outlineLevel="0" max="8" min="8" style="0" width="17.75"/>
    <col collapsed="false" customWidth="true" hidden="false" outlineLevel="0" max="9" min="9" style="0" width="21.25"/>
    <col collapsed="false" customWidth="true" hidden="false" outlineLevel="0" max="10" min="10" style="0" width="3.75"/>
    <col collapsed="false" customWidth="true" hidden="false" outlineLevel="0" max="11" min="11" style="0" width="18.5"/>
    <col collapsed="false" customWidth="true" hidden="false" outlineLevel="0" max="12" min="12" style="0" width="8.87"/>
    <col collapsed="false" customWidth="true" hidden="false" outlineLevel="0" max="13" min="13" style="0" width="13.25"/>
    <col collapsed="false" customWidth="true" hidden="false" outlineLevel="0" max="14" min="14" style="0" width="15"/>
    <col collapsed="false" customWidth="true" hidden="false" outlineLevel="0" max="15" min="15" style="0" width="17.75"/>
    <col collapsed="false" customWidth="true" hidden="false" outlineLevel="0" max="16" min="16" style="0" width="21.25"/>
    <col collapsed="false" customWidth="true" hidden="false" outlineLevel="0" max="17" min="17" style="0" width="25.75"/>
  </cols>
  <sheetData>
    <row r="1" s="57" customFormat="true" ht="14.25" hidden="false" customHeight="false" outlineLevel="0" collapsed="false"/>
    <row r="2" s="57" customFormat="true" ht="14.25" hidden="false" customHeight="false" outlineLevel="0" collapsed="false"/>
    <row r="3" s="57" customFormat="true" ht="14.25" hidden="false" customHeight="false" outlineLevel="0" collapsed="false"/>
    <row r="4" customFormat="false" ht="15" hidden="false" customHeight="true" outlineLevel="0" collapsed="false"/>
    <row r="7" customFormat="false" ht="14.25" hidden="false" customHeight="false" outlineLevel="0" collapsed="false">
      <c r="I7" s="121"/>
      <c r="J7" s="121"/>
    </row>
    <row r="8" customFormat="false" ht="14.25" hidden="false" customHeight="false" outlineLevel="0" collapsed="false">
      <c r="I8" s="121"/>
      <c r="J8" s="121"/>
    </row>
    <row r="9" customFormat="false" ht="14.25" hidden="false" customHeight="false" outlineLevel="0" collapsed="false">
      <c r="C9" s="112"/>
      <c r="D9" s="113"/>
      <c r="E9" s="60" t="s">
        <v>1068</v>
      </c>
      <c r="F9" s="61"/>
      <c r="G9" s="61"/>
      <c r="H9" s="61"/>
      <c r="I9" s="62"/>
      <c r="J9" s="127"/>
      <c r="K9" s="59"/>
      <c r="L9" s="60" t="s">
        <v>1068</v>
      </c>
      <c r="M9" s="61"/>
      <c r="N9" s="61"/>
      <c r="O9" s="61"/>
      <c r="P9" s="62"/>
    </row>
    <row r="10" customFormat="false" ht="14.25" hidden="false" customHeight="false" outlineLevel="0" collapsed="false">
      <c r="C10" s="65" t="s">
        <v>3</v>
      </c>
      <c r="D10" s="114" t="s">
        <v>21</v>
      </c>
      <c r="E10" s="66" t="s">
        <v>51</v>
      </c>
      <c r="F10" s="67" t="s">
        <v>1070</v>
      </c>
      <c r="G10" s="67" t="s">
        <v>1079</v>
      </c>
      <c r="H10" s="67" t="s">
        <v>1080</v>
      </c>
      <c r="I10" s="68" t="s">
        <v>1083</v>
      </c>
      <c r="J10" s="121"/>
      <c r="K10" s="65" t="s">
        <v>21</v>
      </c>
      <c r="L10" s="66" t="s">
        <v>51</v>
      </c>
      <c r="M10" s="67" t="s">
        <v>1070</v>
      </c>
      <c r="N10" s="67" t="s">
        <v>1079</v>
      </c>
      <c r="O10" s="67" t="s">
        <v>1080</v>
      </c>
      <c r="P10" s="68" t="s">
        <v>1084</v>
      </c>
    </row>
    <row r="11" customFormat="false" ht="14.25" hidden="false" customHeight="false" outlineLevel="0" collapsed="false">
      <c r="C11" s="128" t="s">
        <v>641</v>
      </c>
      <c r="D11" s="116" t="s">
        <v>54</v>
      </c>
      <c r="E11" s="117" t="n">
        <v>424</v>
      </c>
      <c r="F11" s="129" t="n">
        <v>139.92</v>
      </c>
      <c r="G11" s="130" t="n">
        <v>0</v>
      </c>
      <c r="H11" s="130" t="n">
        <v>0</v>
      </c>
      <c r="I11" s="131" t="n">
        <v>6060</v>
      </c>
      <c r="J11" s="121"/>
      <c r="K11" s="71" t="s">
        <v>106</v>
      </c>
      <c r="L11" s="72" t="n">
        <v>1710</v>
      </c>
      <c r="M11" s="73" t="n">
        <v>564.3</v>
      </c>
      <c r="N11" s="101" t="n">
        <v>0</v>
      </c>
      <c r="O11" s="101" t="n">
        <v>0</v>
      </c>
      <c r="P11" s="102" t="n">
        <v>3800</v>
      </c>
    </row>
    <row r="12" customFormat="false" ht="14.25" hidden="false" customHeight="false" outlineLevel="0" collapsed="false">
      <c r="C12" s="132" t="s">
        <v>106</v>
      </c>
      <c r="D12" s="115" t="s">
        <v>54</v>
      </c>
      <c r="E12" s="72" t="n">
        <v>4270.3</v>
      </c>
      <c r="F12" s="73" t="n">
        <v>1384.449</v>
      </c>
      <c r="G12" s="101" t="n">
        <v>0</v>
      </c>
      <c r="H12" s="101" t="n">
        <v>0</v>
      </c>
      <c r="I12" s="102" t="n">
        <v>15960</v>
      </c>
      <c r="J12" s="121"/>
      <c r="K12" s="94" t="s">
        <v>54</v>
      </c>
      <c r="L12" s="98" t="n">
        <v>58668.0527272726</v>
      </c>
      <c r="M12" s="90" t="n">
        <v>16942.8081</v>
      </c>
      <c r="N12" s="91" t="n">
        <v>762960.15</v>
      </c>
      <c r="O12" s="91" t="n">
        <v>0</v>
      </c>
      <c r="P12" s="100" t="n">
        <v>93132</v>
      </c>
    </row>
    <row r="13" customFormat="false" ht="14.25" hidden="false" customHeight="false" outlineLevel="0" collapsed="false">
      <c r="C13" s="122"/>
      <c r="D13" s="120" t="s">
        <v>561</v>
      </c>
      <c r="E13" s="133" t="n">
        <v>1710</v>
      </c>
      <c r="F13" s="134" t="n">
        <v>564.3</v>
      </c>
      <c r="G13" s="135" t="n">
        <v>0</v>
      </c>
      <c r="H13" s="135" t="n">
        <v>0</v>
      </c>
      <c r="I13" s="136" t="n">
        <v>10165</v>
      </c>
      <c r="J13" s="121"/>
      <c r="K13" s="94" t="s">
        <v>561</v>
      </c>
      <c r="L13" s="98" t="n">
        <v>1890</v>
      </c>
      <c r="M13" s="90" t="n">
        <v>623.7</v>
      </c>
      <c r="N13" s="91" t="n">
        <v>0</v>
      </c>
      <c r="O13" s="91" t="n">
        <v>0</v>
      </c>
      <c r="P13" s="100" t="n">
        <v>11235</v>
      </c>
    </row>
    <row r="14" customFormat="false" ht="14.25" hidden="false" customHeight="false" outlineLevel="0" collapsed="false">
      <c r="C14" s="123" t="s">
        <v>1082</v>
      </c>
      <c r="D14" s="125"/>
      <c r="E14" s="108" t="n">
        <v>6404.3</v>
      </c>
      <c r="F14" s="109" t="n">
        <v>2088.669</v>
      </c>
      <c r="G14" s="137" t="n">
        <v>0</v>
      </c>
      <c r="H14" s="137" t="n">
        <v>0</v>
      </c>
      <c r="I14" s="111" t="n">
        <v>32185</v>
      </c>
      <c r="J14" s="121"/>
      <c r="K14" s="94" t="s">
        <v>1005</v>
      </c>
      <c r="L14" s="133" t="n">
        <v>116.363636363636</v>
      </c>
      <c r="M14" s="134" t="n">
        <v>38.4</v>
      </c>
      <c r="N14" s="135" t="n">
        <v>0</v>
      </c>
      <c r="O14" s="135" t="n">
        <v>0</v>
      </c>
      <c r="P14" s="136" t="n">
        <v>0</v>
      </c>
    </row>
    <row r="15" customFormat="false" ht="14.25" hidden="false" customHeight="false" outlineLevel="0" collapsed="false">
      <c r="J15" s="121"/>
      <c r="K15" s="107" t="s">
        <v>1082</v>
      </c>
      <c r="L15" s="108" t="n">
        <v>62384.4163636362</v>
      </c>
      <c r="M15" s="109" t="n">
        <v>18169.2081</v>
      </c>
      <c r="N15" s="137" t="n">
        <v>762960.15</v>
      </c>
      <c r="O15" s="137" t="n">
        <v>0</v>
      </c>
      <c r="P15" s="111" t="n">
        <v>108167</v>
      </c>
    </row>
    <row r="16" customFormat="false" ht="14.25" hidden="false" customHeight="false" outlineLevel="0" collapsed="false">
      <c r="J16" s="121"/>
    </row>
    <row r="17" customFormat="false" ht="14.25" hidden="false" customHeight="false" outlineLevel="0" collapsed="false">
      <c r="J17" s="121"/>
    </row>
    <row r="18" customFormat="false" ht="14.25" hidden="false" customHeight="false" outlineLevel="0" collapsed="false">
      <c r="J18" s="121"/>
    </row>
    <row r="19" customFormat="false" ht="14.25" hidden="false" customHeight="false" outlineLevel="0" collapsed="false">
      <c r="J19" s="121"/>
    </row>
    <row r="20" customFormat="false" ht="14.25" hidden="false" customHeight="false" outlineLevel="0" collapsed="false">
      <c r="J20" s="121"/>
    </row>
    <row r="21" customFormat="false" ht="14.25" hidden="false" customHeight="false" outlineLevel="0" collapsed="false">
      <c r="J21" s="1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F18" activeCellId="1" sqref="A1 F18"/>
    </sheetView>
  </sheetViews>
  <sheetFormatPr defaultColWidth="10.75" defaultRowHeight="14.25" zeroHeight="false" outlineLevelRow="0" outlineLevelCol="0"/>
  <cols>
    <col collapsed="false" customWidth="true" hidden="false" outlineLevel="0" max="1" min="1" style="56" width="21.25"/>
    <col collapsed="false" customWidth="true" hidden="false" outlineLevel="0" max="2" min="2" style="0" width="3.75"/>
    <col collapsed="false" customWidth="true" hidden="false" outlineLevel="0" max="3" min="3" style="0" width="32.25"/>
    <col collapsed="false" customWidth="true" hidden="false" outlineLevel="0" max="4" min="4" style="0" width="30"/>
    <col collapsed="false" customWidth="true" hidden="false" outlineLevel="0" max="6" min="5" style="0" width="32.87"/>
    <col collapsed="false" customWidth="true" hidden="false" outlineLevel="0" max="7" min="7" style="0" width="28.38"/>
    <col collapsed="false" customWidth="true" hidden="false" outlineLevel="0" max="8" min="8" style="0" width="4.25"/>
    <col collapsed="false" customWidth="true" hidden="false" outlineLevel="0" max="9" min="9" style="0" width="26.75"/>
    <col collapsed="false" customWidth="true" hidden="false" outlineLevel="0" max="10" min="10" style="0" width="11.5"/>
    <col collapsed="false" customWidth="true" hidden="false" outlineLevel="0" max="11" min="11" style="0" width="16"/>
    <col collapsed="false" customWidth="true" hidden="false" outlineLevel="0" max="12" min="12" style="0" width="24.51"/>
    <col collapsed="false" customWidth="true" hidden="false" outlineLevel="0" max="13" min="13" style="0" width="15"/>
    <col collapsed="false" customWidth="true" hidden="false" outlineLevel="0" max="15" min="14" style="0" width="25.75"/>
  </cols>
  <sheetData>
    <row r="1" s="57" customFormat="true" ht="14.25" hidden="false" customHeight="false" outlineLevel="0" collapsed="false"/>
    <row r="2" s="57" customFormat="true" ht="14.25" hidden="false" customHeight="false" outlineLevel="0" collapsed="false"/>
    <row r="3" s="57" customFormat="true" ht="14.25" hidden="false" customHeight="false" outlineLevel="0" collapsed="false"/>
    <row r="4" customFormat="false" ht="15" hidden="false" customHeight="true" outlineLevel="0" collapsed="false">
      <c r="E4" s="82"/>
    </row>
    <row r="6" customFormat="false" ht="14.25" hidden="false" customHeight="false" outlineLevel="0" collapsed="false">
      <c r="C6" s="59"/>
      <c r="D6" s="60" t="s">
        <v>1068</v>
      </c>
      <c r="E6" s="61"/>
      <c r="F6" s="61"/>
      <c r="G6" s="62"/>
    </row>
    <row r="7" customFormat="false" ht="14.25" hidden="false" customHeight="false" outlineLevel="0" collapsed="false">
      <c r="B7" s="121"/>
      <c r="C7" s="138" t="s">
        <v>1085</v>
      </c>
      <c r="D7" s="66" t="s">
        <v>1073</v>
      </c>
      <c r="E7" s="67" t="s">
        <v>1086</v>
      </c>
      <c r="F7" s="67" t="s">
        <v>1087</v>
      </c>
      <c r="G7" s="68" t="s">
        <v>1088</v>
      </c>
    </row>
    <row r="8" customFormat="false" ht="14.25" hidden="false" customHeight="false" outlineLevel="0" collapsed="false">
      <c r="B8" s="121"/>
      <c r="C8" s="128" t="s">
        <v>1089</v>
      </c>
      <c r="D8" s="139" t="n">
        <v>8</v>
      </c>
      <c r="E8" s="129" t="n">
        <v>202.8972</v>
      </c>
      <c r="F8" s="129" t="n">
        <v>614.84</v>
      </c>
      <c r="G8" s="131" t="n">
        <v>6895</v>
      </c>
    </row>
    <row r="9" customFormat="false" ht="14.25" hidden="false" customHeight="false" outlineLevel="0" collapsed="false">
      <c r="B9" s="127"/>
      <c r="C9" s="132" t="s">
        <v>1090</v>
      </c>
      <c r="D9" s="139" t="n">
        <v>189</v>
      </c>
      <c r="E9" s="129" t="n">
        <v>10640.9152</v>
      </c>
      <c r="F9" s="129" t="n">
        <v>32320.1975757576</v>
      </c>
      <c r="G9" s="131" t="n">
        <v>101272</v>
      </c>
    </row>
    <row r="10" customFormat="false" ht="14.25" hidden="false" customHeight="false" outlineLevel="0" collapsed="false">
      <c r="B10" s="121"/>
      <c r="C10" s="140" t="s">
        <v>94</v>
      </c>
      <c r="D10" s="141" t="n">
        <v>46</v>
      </c>
      <c r="E10" s="73" t="n">
        <v>1195.854</v>
      </c>
      <c r="F10" s="73" t="n">
        <v>3623.8</v>
      </c>
      <c r="G10" s="102" t="n">
        <v>23662</v>
      </c>
    </row>
    <row r="11" customFormat="false" ht="14.25" hidden="false" customHeight="false" outlineLevel="0" collapsed="false">
      <c r="B11" s="121"/>
      <c r="C11" s="142" t="s">
        <v>95</v>
      </c>
      <c r="D11" s="143" t="n">
        <v>46</v>
      </c>
      <c r="E11" s="134" t="n">
        <v>1195.854</v>
      </c>
      <c r="F11" s="134" t="n">
        <v>3623.8</v>
      </c>
      <c r="G11" s="136" t="n">
        <v>23662</v>
      </c>
    </row>
    <row r="12" customFormat="false" ht="14.25" hidden="false" customHeight="false" outlineLevel="0" collapsed="false">
      <c r="B12" s="121"/>
      <c r="C12" s="140" t="s">
        <v>68</v>
      </c>
      <c r="D12" s="141" t="n">
        <v>63</v>
      </c>
      <c r="E12" s="73" t="n">
        <v>1712.9244</v>
      </c>
      <c r="F12" s="73" t="n">
        <v>5190.68</v>
      </c>
      <c r="G12" s="102" t="n">
        <v>32225</v>
      </c>
    </row>
    <row r="13" customFormat="false" ht="14.25" hidden="false" customHeight="false" outlineLevel="0" collapsed="false">
      <c r="B13" s="121"/>
      <c r="C13" s="144" t="s">
        <v>95</v>
      </c>
      <c r="D13" s="145" t="n">
        <v>5</v>
      </c>
      <c r="E13" s="90" t="n">
        <v>110.9592</v>
      </c>
      <c r="F13" s="90" t="n">
        <v>336.24</v>
      </c>
      <c r="G13" s="100" t="n">
        <v>2935</v>
      </c>
    </row>
    <row r="14" customFormat="false" ht="14.25" hidden="false" customHeight="false" outlineLevel="0" collapsed="false">
      <c r="B14" s="121"/>
      <c r="C14" s="142" t="s">
        <v>69</v>
      </c>
      <c r="D14" s="143" t="n">
        <v>58</v>
      </c>
      <c r="E14" s="134" t="n">
        <v>1601.9652</v>
      </c>
      <c r="F14" s="134" t="n">
        <v>4854.44</v>
      </c>
      <c r="G14" s="136" t="n">
        <v>29290</v>
      </c>
    </row>
    <row r="15" customFormat="false" ht="14.25" hidden="false" customHeight="false" outlineLevel="0" collapsed="false">
      <c r="B15" s="121"/>
      <c r="C15" s="140" t="s">
        <v>97</v>
      </c>
      <c r="D15" s="141" t="n">
        <v>17</v>
      </c>
      <c r="E15" s="73" t="n">
        <v>480.1137</v>
      </c>
      <c r="F15" s="73" t="n">
        <v>1454.89</v>
      </c>
      <c r="G15" s="102" t="n">
        <v>12350</v>
      </c>
    </row>
    <row r="16" customFormat="false" ht="14.25" hidden="false" customHeight="false" outlineLevel="0" collapsed="false">
      <c r="B16" s="121"/>
      <c r="C16" s="144" t="s">
        <v>98</v>
      </c>
      <c r="D16" s="145" t="n">
        <v>9</v>
      </c>
      <c r="E16" s="90" t="n">
        <v>256.2945</v>
      </c>
      <c r="F16" s="90" t="n">
        <v>776.65</v>
      </c>
      <c r="G16" s="100" t="n">
        <v>7150</v>
      </c>
    </row>
    <row r="17" customFormat="false" ht="14.25" hidden="false" customHeight="false" outlineLevel="0" collapsed="false">
      <c r="B17" s="121"/>
      <c r="C17" s="144" t="s">
        <v>196</v>
      </c>
      <c r="D17" s="145" t="n">
        <v>5</v>
      </c>
      <c r="E17" s="90" t="n">
        <v>138.6792</v>
      </c>
      <c r="F17" s="90" t="n">
        <v>420.24</v>
      </c>
      <c r="G17" s="100" t="n">
        <v>3400</v>
      </c>
    </row>
    <row r="18" customFormat="false" ht="14.25" hidden="false" customHeight="false" outlineLevel="0" collapsed="false">
      <c r="B18" s="121"/>
      <c r="C18" s="142" t="s">
        <v>230</v>
      </c>
      <c r="D18" s="143" t="n">
        <v>3</v>
      </c>
      <c r="E18" s="134" t="n">
        <v>85.14</v>
      </c>
      <c r="F18" s="134" t="n">
        <v>258</v>
      </c>
      <c r="G18" s="136" t="n">
        <v>1800</v>
      </c>
    </row>
    <row r="19" customFormat="false" ht="14.25" hidden="false" customHeight="false" outlineLevel="0" collapsed="false">
      <c r="B19" s="121"/>
      <c r="C19" s="140" t="s">
        <v>46</v>
      </c>
      <c r="D19" s="141" t="n">
        <v>3</v>
      </c>
      <c r="E19" s="73" t="n">
        <v>57.948</v>
      </c>
      <c r="F19" s="73" t="n">
        <v>175.6</v>
      </c>
      <c r="G19" s="102" t="n">
        <v>1200</v>
      </c>
    </row>
    <row r="20" customFormat="false" ht="14.25" hidden="false" customHeight="false" outlineLevel="0" collapsed="false">
      <c r="B20" s="121"/>
      <c r="C20" s="142" t="s">
        <v>851</v>
      </c>
      <c r="D20" s="143" t="n">
        <v>3</v>
      </c>
      <c r="E20" s="134" t="n">
        <v>57.948</v>
      </c>
      <c r="F20" s="134" t="n">
        <v>175.6</v>
      </c>
      <c r="G20" s="136" t="n">
        <v>1200</v>
      </c>
    </row>
    <row r="21" customFormat="false" ht="14.25" hidden="false" customHeight="false" outlineLevel="0" collapsed="false">
      <c r="B21" s="121"/>
      <c r="C21" s="140" t="s">
        <v>72</v>
      </c>
      <c r="D21" s="141" t="n">
        <v>25</v>
      </c>
      <c r="E21" s="73" t="n">
        <v>512.3151</v>
      </c>
      <c r="F21" s="73" t="n">
        <v>1627.47</v>
      </c>
      <c r="G21" s="102" t="n">
        <v>10110</v>
      </c>
    </row>
    <row r="22" customFormat="false" ht="14.25" hidden="false" customHeight="false" outlineLevel="0" collapsed="false">
      <c r="C22" s="142" t="s">
        <v>73</v>
      </c>
      <c r="D22" s="143" t="n">
        <v>25</v>
      </c>
      <c r="E22" s="134" t="n">
        <v>512.3151</v>
      </c>
      <c r="F22" s="134" t="n">
        <v>1627.47</v>
      </c>
      <c r="G22" s="136" t="n">
        <v>10110</v>
      </c>
    </row>
    <row r="23" customFormat="false" ht="14.25" hidden="false" customHeight="false" outlineLevel="0" collapsed="false">
      <c r="C23" s="140" t="s">
        <v>182</v>
      </c>
      <c r="D23" s="141" t="n">
        <v>35</v>
      </c>
      <c r="E23" s="73" t="n">
        <v>947.76</v>
      </c>
      <c r="F23" s="73" t="n">
        <v>2872</v>
      </c>
      <c r="G23" s="102" t="n">
        <v>21725</v>
      </c>
    </row>
    <row r="24" customFormat="false" ht="14.25" hidden="false" customHeight="false" outlineLevel="0" collapsed="false">
      <c r="C24" s="144" t="s">
        <v>95</v>
      </c>
      <c r="D24" s="145" t="n">
        <v>4</v>
      </c>
      <c r="E24" s="90" t="n">
        <v>113.19</v>
      </c>
      <c r="F24" s="90" t="n">
        <v>343</v>
      </c>
      <c r="G24" s="100" t="n">
        <v>800</v>
      </c>
    </row>
    <row r="25" customFormat="false" ht="14.25" hidden="false" customHeight="false" outlineLevel="0" collapsed="false">
      <c r="C25" s="144" t="s">
        <v>460</v>
      </c>
      <c r="D25" s="145" t="n">
        <v>2</v>
      </c>
      <c r="E25" s="90" t="n">
        <v>56.8788</v>
      </c>
      <c r="F25" s="90" t="n">
        <v>172.36</v>
      </c>
      <c r="G25" s="100" t="n">
        <v>2000</v>
      </c>
    </row>
    <row r="26" customFormat="false" ht="14.25" hidden="false" customHeight="false" outlineLevel="0" collapsed="false">
      <c r="C26" s="144" t="s">
        <v>509</v>
      </c>
      <c r="D26" s="145" t="n">
        <v>28</v>
      </c>
      <c r="E26" s="90" t="n">
        <v>747.9912</v>
      </c>
      <c r="F26" s="90" t="n">
        <v>2266.64</v>
      </c>
      <c r="G26" s="100" t="n">
        <v>18725</v>
      </c>
    </row>
    <row r="27" customFormat="false" ht="14.25" hidden="false" customHeight="false" outlineLevel="0" collapsed="false">
      <c r="C27" s="142" t="s">
        <v>580</v>
      </c>
      <c r="D27" s="143" t="n">
        <v>1</v>
      </c>
      <c r="E27" s="134" t="n">
        <v>29.7</v>
      </c>
      <c r="F27" s="134" t="n">
        <v>90</v>
      </c>
      <c r="G27" s="136" t="n">
        <v>200</v>
      </c>
    </row>
    <row r="28" customFormat="false" ht="14.25" hidden="false" customHeight="false" outlineLevel="0" collapsed="false">
      <c r="C28" s="140" t="s">
        <v>221</v>
      </c>
      <c r="D28" s="146"/>
      <c r="E28" s="73" t="n">
        <v>5734</v>
      </c>
      <c r="F28" s="73" t="n">
        <v>17375.7575757576</v>
      </c>
      <c r="G28" s="102" t="n">
        <v>0</v>
      </c>
    </row>
    <row r="29" customFormat="false" ht="14.25" hidden="false" customHeight="false" outlineLevel="0" collapsed="false">
      <c r="C29" s="142" t="s">
        <v>1091</v>
      </c>
      <c r="D29" s="147"/>
      <c r="E29" s="134" t="n">
        <v>5734</v>
      </c>
      <c r="F29" s="134" t="n">
        <v>17375.7575757576</v>
      </c>
      <c r="G29" s="136" t="n">
        <v>0</v>
      </c>
    </row>
    <row r="30" customFormat="false" ht="14.25" hidden="false" customHeight="false" outlineLevel="0" collapsed="false">
      <c r="C30" s="128" t="s">
        <v>1091</v>
      </c>
      <c r="D30" s="148"/>
      <c r="E30" s="129" t="n">
        <v>7325.39569999999</v>
      </c>
      <c r="F30" s="129" t="n">
        <v>29449.3787878788</v>
      </c>
      <c r="G30" s="131" t="n">
        <v>0</v>
      </c>
    </row>
    <row r="31" customFormat="false" ht="14.25" hidden="false" customHeight="false" outlineLevel="0" collapsed="false">
      <c r="C31" s="107" t="s">
        <v>1082</v>
      </c>
      <c r="D31" s="149" t="n">
        <v>197</v>
      </c>
      <c r="E31" s="109" t="n">
        <v>18169.2081</v>
      </c>
      <c r="F31" s="109" t="n">
        <v>62384.4163636362</v>
      </c>
      <c r="G31" s="111" t="n">
        <v>108167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1" sqref="A1 G2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8.75"/>
  </cols>
  <sheetData>
    <row r="1" customFormat="false" ht="14.25" hidden="false" customHeight="false" outlineLevel="0" collapsed="false">
      <c r="A1" s="150" t="s">
        <v>1092</v>
      </c>
      <c r="B1" s="151" t="s">
        <v>0</v>
      </c>
      <c r="C1" s="151" t="s">
        <v>1</v>
      </c>
      <c r="D1" s="151" t="s">
        <v>2</v>
      </c>
      <c r="E1" s="151" t="s">
        <v>3</v>
      </c>
      <c r="F1" s="151" t="s">
        <v>4</v>
      </c>
      <c r="G1" s="151" t="s">
        <v>5</v>
      </c>
      <c r="H1" s="151" t="s">
        <v>6</v>
      </c>
      <c r="I1" s="151" t="s">
        <v>7</v>
      </c>
      <c r="J1" s="151" t="s">
        <v>8</v>
      </c>
      <c r="K1" s="151" t="s">
        <v>9</v>
      </c>
      <c r="L1" s="151" t="s">
        <v>10</v>
      </c>
      <c r="M1" s="151" t="s">
        <v>11</v>
      </c>
      <c r="N1" s="151" t="s">
        <v>12</v>
      </c>
      <c r="O1" s="151" t="s">
        <v>13</v>
      </c>
      <c r="P1" s="151" t="s">
        <v>14</v>
      </c>
      <c r="Q1" s="151" t="s">
        <v>15</v>
      </c>
      <c r="R1" s="151" t="s">
        <v>16</v>
      </c>
      <c r="S1" s="151" t="s">
        <v>17</v>
      </c>
      <c r="T1" s="151" t="s">
        <v>18</v>
      </c>
      <c r="U1" s="151" t="s">
        <v>19</v>
      </c>
      <c r="V1" s="151" t="s">
        <v>20</v>
      </c>
      <c r="W1" s="151" t="s">
        <v>21</v>
      </c>
      <c r="X1" s="151" t="s">
        <v>22</v>
      </c>
      <c r="Y1" s="151" t="s">
        <v>23</v>
      </c>
      <c r="Z1" s="151" t="s">
        <v>24</v>
      </c>
      <c r="AA1" s="151" t="s">
        <v>36</v>
      </c>
    </row>
    <row r="2" customFormat="false" ht="14.25" hidden="false" customHeight="false" outlineLevel="0" collapsed="false">
      <c r="A2" s="0" t="s">
        <v>1093</v>
      </c>
      <c r="B2" s="0" t="n">
        <v>46209</v>
      </c>
      <c r="C2" s="0" t="s">
        <v>56</v>
      </c>
      <c r="D2" s="0" t="n">
        <v>46209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50</v>
      </c>
      <c r="J2" s="0" t="n">
        <v>86.5</v>
      </c>
      <c r="K2" s="0" t="s">
        <v>51</v>
      </c>
      <c r="L2" s="0" t="n">
        <v>0</v>
      </c>
      <c r="M2" s="0" t="n">
        <v>0</v>
      </c>
      <c r="N2" s="0" t="n">
        <v>0</v>
      </c>
      <c r="O2" s="0" t="s">
        <v>52</v>
      </c>
      <c r="P2" s="0" t="s">
        <v>67</v>
      </c>
      <c r="Q2" s="0" t="s">
        <v>53</v>
      </c>
      <c r="R2" s="0" t="n">
        <v>10</v>
      </c>
      <c r="S2" s="0" t="s">
        <v>68</v>
      </c>
      <c r="T2" s="0" t="s">
        <v>69</v>
      </c>
      <c r="U2" s="0" t="n">
        <v>0</v>
      </c>
      <c r="V2" s="0" t="n">
        <v>0</v>
      </c>
      <c r="W2" s="0" t="s">
        <v>54</v>
      </c>
      <c r="X2" s="0" t="s">
        <v>55</v>
      </c>
      <c r="Y2" s="0" t="s">
        <v>56</v>
      </c>
      <c r="Z2" s="0" t="n">
        <v>46212.304224537</v>
      </c>
      <c r="AA2" s="0" t="s">
        <v>57</v>
      </c>
    </row>
    <row r="3" customFormat="false" ht="14.25" hidden="false" customHeight="false" outlineLevel="0" collapsed="false">
      <c r="A3" s="0" t="s">
        <v>549</v>
      </c>
      <c r="B3" s="0" t="n">
        <v>46210</v>
      </c>
      <c r="C3" s="0" t="s">
        <v>106</v>
      </c>
      <c r="D3" s="0" t="n">
        <v>46210</v>
      </c>
      <c r="E3" s="0" t="s">
        <v>54</v>
      </c>
      <c r="F3" s="0" t="s">
        <v>63</v>
      </c>
      <c r="G3" s="0" t="s">
        <v>61</v>
      </c>
      <c r="H3" s="0" t="s">
        <v>59</v>
      </c>
      <c r="I3" s="0" t="s">
        <v>76</v>
      </c>
      <c r="J3" s="0" t="n">
        <v>82</v>
      </c>
      <c r="K3" s="0" t="s">
        <v>77</v>
      </c>
      <c r="L3" s="0" t="n">
        <v>78</v>
      </c>
      <c r="M3" s="0" t="n">
        <v>6747</v>
      </c>
      <c r="O3" s="0" t="s">
        <v>64</v>
      </c>
      <c r="P3" s="0" t="s">
        <v>1094</v>
      </c>
      <c r="Q3" s="0" t="s">
        <v>1095</v>
      </c>
      <c r="R3" s="0" t="n">
        <v>0</v>
      </c>
      <c r="S3" s="0" t="s">
        <v>72</v>
      </c>
      <c r="T3" s="0" t="s">
        <v>73</v>
      </c>
      <c r="U3" s="0" t="n">
        <v>110</v>
      </c>
      <c r="V3" s="0" t="n">
        <v>550</v>
      </c>
      <c r="W3" s="0" t="s">
        <v>106</v>
      </c>
      <c r="X3" s="0" t="s">
        <v>65</v>
      </c>
      <c r="Y3" s="0" t="s">
        <v>106</v>
      </c>
      <c r="Z3" s="0" t="n">
        <v>46213.4149074074</v>
      </c>
    </row>
    <row r="4" customFormat="false" ht="28.35" hidden="false" customHeight="false" outlineLevel="0" collapsed="false">
      <c r="A4" s="0" t="s">
        <v>104</v>
      </c>
      <c r="B4" s="0" t="n">
        <v>46211</v>
      </c>
      <c r="C4" s="0" t="s">
        <v>217</v>
      </c>
      <c r="D4" s="0" t="n">
        <v>46211</v>
      </c>
      <c r="E4" s="0" t="s">
        <v>101</v>
      </c>
      <c r="F4" s="0" t="s">
        <v>79</v>
      </c>
      <c r="G4" s="0" t="s">
        <v>75</v>
      </c>
      <c r="J4" s="0" t="n">
        <v>29.5</v>
      </c>
      <c r="K4" s="0" t="s">
        <v>103</v>
      </c>
      <c r="L4" s="0" t="n">
        <v>70</v>
      </c>
      <c r="M4" s="0" t="n">
        <v>6396</v>
      </c>
      <c r="O4" s="0" t="s">
        <v>104</v>
      </c>
      <c r="S4" s="0" t="s">
        <v>94</v>
      </c>
      <c r="T4" s="0" t="s">
        <v>95</v>
      </c>
      <c r="U4" s="0" t="n">
        <v>40</v>
      </c>
      <c r="V4" s="0" t="n">
        <v>660</v>
      </c>
      <c r="W4" s="0" t="s">
        <v>561</v>
      </c>
      <c r="X4" s="152" t="s">
        <v>70</v>
      </c>
      <c r="Y4" s="0" t="s">
        <v>54</v>
      </c>
      <c r="Z4" s="0" t="n">
        <v>46216.5304398148</v>
      </c>
    </row>
    <row r="5" customFormat="false" ht="14.25" hidden="false" customHeight="false" outlineLevel="0" collapsed="false">
      <c r="A5" s="0" t="s">
        <v>643</v>
      </c>
      <c r="B5" s="0" t="n">
        <v>46212</v>
      </c>
      <c r="C5" s="0" t="s">
        <v>261</v>
      </c>
      <c r="D5" s="0" t="n">
        <v>46212</v>
      </c>
      <c r="E5" s="0" t="s">
        <v>106</v>
      </c>
      <c r="F5" s="0" t="s">
        <v>107</v>
      </c>
      <c r="G5" s="0" t="s">
        <v>82</v>
      </c>
      <c r="J5" s="0" t="n">
        <v>88</v>
      </c>
      <c r="K5" s="0" t="s">
        <v>1096</v>
      </c>
      <c r="L5" s="0" t="n">
        <v>230</v>
      </c>
      <c r="M5" s="0" t="n">
        <v>6785</v>
      </c>
      <c r="O5" s="0" t="s">
        <v>220</v>
      </c>
      <c r="S5" s="0" t="s">
        <v>97</v>
      </c>
      <c r="T5" s="0" t="s">
        <v>98</v>
      </c>
      <c r="U5" s="0" t="n">
        <v>120</v>
      </c>
      <c r="V5" s="0" t="n">
        <v>200</v>
      </c>
      <c r="W5" s="0" t="s">
        <v>1005</v>
      </c>
      <c r="X5" s="0" t="s">
        <v>80</v>
      </c>
      <c r="Y5" s="0" t="s">
        <v>641</v>
      </c>
      <c r="Z5" s="0" t="n">
        <v>46217.4322106482</v>
      </c>
    </row>
    <row r="6" customFormat="false" ht="14.25" hidden="false" customHeight="false" outlineLevel="0" collapsed="false">
      <c r="A6" s="0" t="s">
        <v>258</v>
      </c>
      <c r="B6" s="0" t="n">
        <v>46213</v>
      </c>
      <c r="C6" s="0" t="s">
        <v>281</v>
      </c>
      <c r="D6" s="0" t="n">
        <v>46213</v>
      </c>
      <c r="E6" s="0" t="s">
        <v>124</v>
      </c>
      <c r="F6" s="0" t="s">
        <v>559</v>
      </c>
      <c r="G6" s="0" t="s">
        <v>84</v>
      </c>
      <c r="J6" s="0" t="n">
        <v>84</v>
      </c>
      <c r="L6" s="0" t="n">
        <v>265</v>
      </c>
      <c r="M6" s="0" t="n">
        <v>6864</v>
      </c>
      <c r="O6" s="0" t="s">
        <v>255</v>
      </c>
      <c r="S6" s="0" t="s">
        <v>182</v>
      </c>
      <c r="T6" s="0" t="s">
        <v>196</v>
      </c>
      <c r="U6" s="0" t="n">
        <v>140</v>
      </c>
      <c r="V6" s="0" t="n">
        <v>240</v>
      </c>
      <c r="X6" s="0" t="s">
        <v>193</v>
      </c>
      <c r="Z6" s="0" t="n">
        <v>46218.3292476852</v>
      </c>
    </row>
    <row r="7" customFormat="false" ht="28.35" hidden="false" customHeight="false" outlineLevel="0" collapsed="false">
      <c r="A7" s="0" t="s">
        <v>52</v>
      </c>
      <c r="B7" s="0" t="n">
        <v>46216</v>
      </c>
      <c r="C7" s="0" t="s">
        <v>309</v>
      </c>
      <c r="D7" s="0" t="n">
        <v>46216</v>
      </c>
      <c r="E7" s="0" t="s">
        <v>218</v>
      </c>
      <c r="G7" s="0" t="s">
        <v>86</v>
      </c>
      <c r="J7" s="0" t="n">
        <v>63</v>
      </c>
      <c r="L7" s="0" t="n">
        <v>275</v>
      </c>
      <c r="M7" s="0" t="n">
        <v>4914</v>
      </c>
      <c r="O7" s="0" t="s">
        <v>258</v>
      </c>
      <c r="S7" s="0" t="s">
        <v>221</v>
      </c>
      <c r="T7" s="0" t="s">
        <v>230</v>
      </c>
      <c r="U7" s="0" t="n">
        <v>122</v>
      </c>
      <c r="V7" s="0" t="n">
        <v>600</v>
      </c>
      <c r="X7" s="152" t="s">
        <v>209</v>
      </c>
      <c r="Z7" s="0" t="n">
        <v>46224.4310185185</v>
      </c>
    </row>
    <row r="8" customFormat="false" ht="14.25" hidden="false" customHeight="false" outlineLevel="0" collapsed="false">
      <c r="A8" s="0" t="s">
        <v>255</v>
      </c>
      <c r="B8" s="0" t="n">
        <v>46217</v>
      </c>
      <c r="C8" s="0" t="s">
        <v>380</v>
      </c>
      <c r="D8" s="0" t="n">
        <v>46217</v>
      </c>
      <c r="E8" s="0" t="s">
        <v>253</v>
      </c>
      <c r="G8" s="0" t="s">
        <v>88</v>
      </c>
      <c r="J8" s="0" t="n">
        <v>26.36</v>
      </c>
      <c r="L8" s="0" t="n">
        <v>50</v>
      </c>
      <c r="M8" s="0" t="n">
        <v>6985.4</v>
      </c>
      <c r="O8" s="0" t="s">
        <v>486</v>
      </c>
      <c r="S8" s="0" t="s">
        <v>550</v>
      </c>
      <c r="T8" s="0" t="s">
        <v>460</v>
      </c>
      <c r="U8" s="0" t="n">
        <v>610</v>
      </c>
      <c r="V8" s="0" t="n">
        <v>700</v>
      </c>
      <c r="X8" s="0" t="s">
        <v>212</v>
      </c>
      <c r="Z8" s="0" t="n">
        <v>46219.4508912037</v>
      </c>
    </row>
    <row r="9" customFormat="false" ht="14.25" hidden="false" customHeight="false" outlineLevel="0" collapsed="false">
      <c r="A9" s="0" t="s">
        <v>64</v>
      </c>
      <c r="B9" s="0" t="n">
        <v>46218</v>
      </c>
      <c r="C9" s="0" t="s">
        <v>404</v>
      </c>
      <c r="D9" s="0" t="n">
        <v>46218</v>
      </c>
      <c r="E9" s="0" t="s">
        <v>277</v>
      </c>
      <c r="G9" s="0" t="s">
        <v>90</v>
      </c>
      <c r="J9" s="0" t="n">
        <v>21</v>
      </c>
      <c r="L9" s="0" t="n">
        <v>40</v>
      </c>
      <c r="M9" s="0" t="n">
        <v>6467.6</v>
      </c>
      <c r="O9" s="0" t="s">
        <v>489</v>
      </c>
      <c r="S9" s="0" t="s">
        <v>742</v>
      </c>
      <c r="T9" s="0" t="s">
        <v>509</v>
      </c>
      <c r="U9" s="0" t="n">
        <v>200</v>
      </c>
      <c r="V9" s="0" t="n">
        <v>610</v>
      </c>
      <c r="X9" s="0" t="s">
        <v>215</v>
      </c>
      <c r="Z9" s="0" t="n">
        <v>46220.371087963</v>
      </c>
    </row>
    <row r="10" customFormat="false" ht="28.35" hidden="false" customHeight="false" outlineLevel="0" collapsed="false">
      <c r="A10" s="0" t="s">
        <v>1097</v>
      </c>
      <c r="B10" s="0" t="n">
        <v>46219</v>
      </c>
      <c r="C10" s="0" t="s">
        <v>414</v>
      </c>
      <c r="D10" s="0" t="n">
        <v>46219</v>
      </c>
      <c r="E10" s="0" t="s">
        <v>304</v>
      </c>
      <c r="G10" s="0" t="s">
        <v>102</v>
      </c>
      <c r="J10" s="0" t="n">
        <v>86</v>
      </c>
      <c r="L10" s="0" t="n">
        <v>141</v>
      </c>
      <c r="M10" s="0" t="n">
        <v>7051.8</v>
      </c>
      <c r="O10" s="0" t="s">
        <v>549</v>
      </c>
      <c r="S10" s="0" t="s">
        <v>46</v>
      </c>
      <c r="T10" s="0" t="s">
        <v>551</v>
      </c>
      <c r="U10" s="0" t="n">
        <v>105</v>
      </c>
      <c r="V10" s="0" t="n">
        <v>122</v>
      </c>
      <c r="X10" s="152" t="s">
        <v>239</v>
      </c>
      <c r="Z10" s="0" t="n">
        <v>46231.3022222222</v>
      </c>
    </row>
    <row r="11" customFormat="false" ht="14.25" hidden="false" customHeight="false" outlineLevel="0" collapsed="false">
      <c r="A11" s="0" t="s">
        <v>486</v>
      </c>
      <c r="B11" s="0" t="n">
        <v>46220</v>
      </c>
      <c r="C11" s="0" t="s">
        <v>440</v>
      </c>
      <c r="D11" s="0" t="n">
        <v>46220</v>
      </c>
      <c r="E11" s="0" t="s">
        <v>376</v>
      </c>
      <c r="G11" s="0" t="s">
        <v>108</v>
      </c>
      <c r="J11" s="0" t="n">
        <v>61</v>
      </c>
      <c r="L11" s="0" t="n">
        <v>45</v>
      </c>
      <c r="M11" s="0" t="n">
        <v>6776</v>
      </c>
      <c r="O11" s="0" t="s">
        <v>625</v>
      </c>
      <c r="T11" s="0" t="s">
        <v>580</v>
      </c>
      <c r="U11" s="0" t="n">
        <v>107</v>
      </c>
      <c r="V11" s="0" t="n">
        <v>800</v>
      </c>
      <c r="X11" s="0" t="s">
        <v>242</v>
      </c>
      <c r="Z11" s="0" t="n">
        <v>46225.4821643519</v>
      </c>
    </row>
    <row r="12" customFormat="false" ht="14.25" hidden="false" customHeight="false" outlineLevel="0" collapsed="false">
      <c r="A12" s="0" t="s">
        <v>220</v>
      </c>
      <c r="B12" s="0" t="n">
        <v>46223</v>
      </c>
      <c r="C12" s="0" t="s">
        <v>516</v>
      </c>
      <c r="D12" s="0" t="n">
        <v>46223</v>
      </c>
      <c r="E12" s="0" t="s">
        <v>436</v>
      </c>
      <c r="G12" s="0" t="s">
        <v>110</v>
      </c>
      <c r="J12" s="0" t="n">
        <v>25</v>
      </c>
      <c r="L12" s="0" t="n">
        <v>20</v>
      </c>
      <c r="M12" s="0" t="n">
        <v>7023.5</v>
      </c>
      <c r="O12" s="0" t="s">
        <v>643</v>
      </c>
      <c r="T12" s="0" t="s">
        <v>743</v>
      </c>
      <c r="U12" s="0" t="n">
        <v>340</v>
      </c>
      <c r="V12" s="0" t="n">
        <v>1200</v>
      </c>
      <c r="X12" s="0" t="s">
        <v>245</v>
      </c>
      <c r="Z12" s="0" t="n">
        <v>46233.6141782407</v>
      </c>
    </row>
    <row r="13" customFormat="false" ht="28.35" hidden="false" customHeight="false" outlineLevel="0" collapsed="false">
      <c r="A13" s="0" t="s">
        <v>625</v>
      </c>
      <c r="B13" s="0" t="n">
        <v>46224</v>
      </c>
      <c r="C13" s="0" t="s">
        <v>54</v>
      </c>
      <c r="D13" s="0" t="n">
        <v>46224</v>
      </c>
      <c r="E13" s="0" t="s">
        <v>462</v>
      </c>
      <c r="G13" s="0" t="s">
        <v>112</v>
      </c>
      <c r="J13" s="0" t="n">
        <v>28.12</v>
      </c>
      <c r="L13" s="0" t="n">
        <v>117</v>
      </c>
      <c r="M13" s="0" t="n">
        <v>6622</v>
      </c>
      <c r="T13" s="0" t="s">
        <v>851</v>
      </c>
      <c r="U13" s="0" t="n">
        <v>134</v>
      </c>
      <c r="V13" s="0" t="n">
        <v>1000</v>
      </c>
      <c r="X13" s="152" t="s">
        <v>248</v>
      </c>
      <c r="Z13" s="0" t="n">
        <v>46226.3500115741</v>
      </c>
    </row>
    <row r="14" customFormat="false" ht="14.25" hidden="false" customHeight="false" outlineLevel="0" collapsed="false">
      <c r="B14" s="0" t="n">
        <v>46225</v>
      </c>
      <c r="C14" s="0" t="s">
        <v>641</v>
      </c>
      <c r="D14" s="0" t="n">
        <v>46225</v>
      </c>
      <c r="E14" s="0" t="s">
        <v>511</v>
      </c>
      <c r="G14" s="0" t="s">
        <v>114</v>
      </c>
      <c r="J14" s="0" t="n">
        <v>30.66</v>
      </c>
      <c r="L14" s="0" t="n">
        <v>112</v>
      </c>
      <c r="M14" s="0" t="n">
        <v>6214.6</v>
      </c>
      <c r="U14" s="0" t="n">
        <v>62</v>
      </c>
      <c r="V14" s="0" t="n">
        <v>525</v>
      </c>
      <c r="X14" s="0" t="s">
        <v>251</v>
      </c>
      <c r="Z14" s="0" t="n">
        <v>46229.8399305556</v>
      </c>
    </row>
    <row r="15" customFormat="false" ht="14.25" hidden="false" customHeight="false" outlineLevel="0" collapsed="false">
      <c r="B15" s="0" t="n">
        <v>46226</v>
      </c>
      <c r="C15" s="0" t="s">
        <v>657</v>
      </c>
      <c r="D15" s="0" t="n">
        <v>46226</v>
      </c>
      <c r="E15" s="0" t="s">
        <v>641</v>
      </c>
      <c r="G15" s="0" t="s">
        <v>116</v>
      </c>
      <c r="J15" s="0" t="n">
        <v>24.64</v>
      </c>
      <c r="L15" s="0" t="n">
        <v>105</v>
      </c>
      <c r="M15" s="0" t="n">
        <v>7435.9</v>
      </c>
      <c r="U15" s="0" t="n">
        <v>210</v>
      </c>
      <c r="V15" s="0" t="n">
        <v>630</v>
      </c>
      <c r="X15" s="0" t="s">
        <v>260</v>
      </c>
      <c r="Z15" s="0" t="n">
        <v>46230.7396875</v>
      </c>
    </row>
    <row r="16" customFormat="false" ht="28.35" hidden="false" customHeight="false" outlineLevel="0" collapsed="false">
      <c r="B16" s="0" t="n">
        <v>46227</v>
      </c>
      <c r="C16" s="0" t="s">
        <v>700</v>
      </c>
      <c r="D16" s="0" t="n">
        <v>46227</v>
      </c>
      <c r="E16" s="0" t="s">
        <v>650</v>
      </c>
      <c r="G16" s="0" t="s">
        <v>118</v>
      </c>
      <c r="J16" s="0" t="n">
        <v>61.48</v>
      </c>
      <c r="M16" s="0" t="n">
        <v>6611</v>
      </c>
      <c r="U16" s="0" t="n">
        <v>182</v>
      </c>
      <c r="V16" s="0" t="n">
        <v>535</v>
      </c>
      <c r="X16" s="152" t="s">
        <v>275</v>
      </c>
      <c r="Z16" s="0" t="n">
        <v>46234.2800462963</v>
      </c>
    </row>
    <row r="17" customFormat="false" ht="28.35" hidden="false" customHeight="false" outlineLevel="0" collapsed="false">
      <c r="B17" s="0" t="n">
        <v>46230</v>
      </c>
      <c r="C17" s="0" t="s">
        <v>737</v>
      </c>
      <c r="D17" s="0" t="n">
        <v>46230</v>
      </c>
      <c r="E17" s="0" t="s">
        <v>691</v>
      </c>
      <c r="G17" s="0" t="s">
        <v>120</v>
      </c>
      <c r="J17" s="0" t="n">
        <v>69</v>
      </c>
      <c r="M17" s="0" t="n">
        <v>6567</v>
      </c>
      <c r="U17" s="0" t="n">
        <v>150</v>
      </c>
      <c r="V17" s="0" t="n">
        <v>1700</v>
      </c>
      <c r="X17" s="152" t="s">
        <v>284</v>
      </c>
      <c r="Z17" s="0" t="n">
        <v>46232.5276851852</v>
      </c>
    </row>
    <row r="18" customFormat="false" ht="14.25" hidden="false" customHeight="false" outlineLevel="0" collapsed="false">
      <c r="B18" s="0" t="n">
        <v>46231</v>
      </c>
      <c r="C18" s="0" t="s">
        <v>903</v>
      </c>
      <c r="D18" s="0" t="n">
        <v>46231</v>
      </c>
      <c r="E18" s="0" t="s">
        <v>694</v>
      </c>
      <c r="G18" s="0" t="s">
        <v>122</v>
      </c>
      <c r="J18" s="0" t="n">
        <v>25.54</v>
      </c>
      <c r="M18" s="0" t="n">
        <v>6138.7</v>
      </c>
      <c r="U18" s="0" t="n">
        <v>160</v>
      </c>
      <c r="V18" s="0" t="n">
        <v>670</v>
      </c>
      <c r="X18" s="0" t="s">
        <v>299</v>
      </c>
      <c r="Z18" s="0" t="n">
        <v>46237.4555787037</v>
      </c>
    </row>
    <row r="19" customFormat="false" ht="28.35" hidden="false" customHeight="false" outlineLevel="0" collapsed="false">
      <c r="B19" s="0" t="n">
        <v>46232</v>
      </c>
      <c r="C19" s="0" t="s">
        <v>950</v>
      </c>
      <c r="D19" s="0" t="n">
        <v>46232</v>
      </c>
      <c r="E19" s="0" t="s">
        <v>896</v>
      </c>
      <c r="G19" s="0" t="s">
        <v>125</v>
      </c>
      <c r="J19" s="0" t="n">
        <v>24.08</v>
      </c>
      <c r="M19" s="0" t="n">
        <v>6665.4</v>
      </c>
      <c r="U19" s="0" t="n">
        <v>100</v>
      </c>
      <c r="V19" s="0" t="n">
        <v>310</v>
      </c>
      <c r="X19" s="152" t="s">
        <v>302</v>
      </c>
      <c r="Z19" s="0" t="n">
        <v>46240.4081134259</v>
      </c>
    </row>
    <row r="20" customFormat="false" ht="14.25" hidden="false" customHeight="false" outlineLevel="0" collapsed="false">
      <c r="B20" s="0" t="n">
        <v>46233</v>
      </c>
      <c r="C20" s="0" t="s">
        <v>1017</v>
      </c>
      <c r="D20" s="0" t="n">
        <v>46233</v>
      </c>
      <c r="E20" s="0" t="s">
        <v>945</v>
      </c>
      <c r="G20" s="0" t="s">
        <v>127</v>
      </c>
      <c r="J20" s="0" t="n">
        <v>85</v>
      </c>
      <c r="M20" s="0" t="n">
        <v>6552.7</v>
      </c>
      <c r="U20" s="0" t="n">
        <v>800</v>
      </c>
      <c r="V20" s="0" t="n">
        <v>1050</v>
      </c>
      <c r="X20" s="0" t="s">
        <v>361</v>
      </c>
      <c r="Z20" s="0" t="n">
        <v>46238.2872569444</v>
      </c>
    </row>
    <row r="21" customFormat="false" ht="14.25" hidden="false" customHeight="false" outlineLevel="0" collapsed="false">
      <c r="B21" s="0" t="n">
        <v>46234</v>
      </c>
      <c r="D21" s="0" t="n">
        <v>46234</v>
      </c>
      <c r="E21" s="0" t="s">
        <v>986</v>
      </c>
      <c r="G21" s="0" t="s">
        <v>129</v>
      </c>
      <c r="J21" s="0" t="n">
        <v>67</v>
      </c>
      <c r="M21" s="0" t="n">
        <v>7373.8</v>
      </c>
      <c r="V21" s="0" t="n">
        <v>910</v>
      </c>
      <c r="X21" s="0" t="s">
        <v>364</v>
      </c>
      <c r="Z21" s="0" t="n">
        <v>46244.3861226852</v>
      </c>
    </row>
    <row r="22" customFormat="false" ht="14.25" hidden="false" customHeight="false" outlineLevel="0" collapsed="false">
      <c r="B22" s="0" t="n">
        <v>46237</v>
      </c>
      <c r="D22" s="0" t="n">
        <v>46237</v>
      </c>
      <c r="E22" s="0" t="s">
        <v>1025</v>
      </c>
      <c r="G22" s="0" t="s">
        <v>131</v>
      </c>
      <c r="J22" s="0" t="n">
        <v>87</v>
      </c>
      <c r="M22" s="0" t="n">
        <v>6223.8</v>
      </c>
      <c r="V22" s="0" t="n">
        <v>750</v>
      </c>
      <c r="X22" s="0" t="s">
        <v>367</v>
      </c>
      <c r="Z22" s="0" t="n">
        <v>46267.3670833333</v>
      </c>
    </row>
    <row r="23" customFormat="false" ht="28.35" hidden="false" customHeight="false" outlineLevel="0" collapsed="false">
      <c r="B23" s="0" t="n">
        <v>46238</v>
      </c>
      <c r="D23" s="0" t="n">
        <v>46238</v>
      </c>
      <c r="G23" s="0" t="s">
        <v>133</v>
      </c>
      <c r="J23" s="0" t="n">
        <v>70</v>
      </c>
      <c r="M23" s="0" t="n">
        <v>6900</v>
      </c>
      <c r="V23" s="0" t="n">
        <v>500</v>
      </c>
      <c r="X23" s="152" t="s">
        <v>374</v>
      </c>
      <c r="Z23" s="0" t="n">
        <v>46249.567037037</v>
      </c>
    </row>
    <row r="24" customFormat="false" ht="28.35" hidden="false" customHeight="false" outlineLevel="0" collapsed="false">
      <c r="B24" s="0" t="n">
        <v>46239</v>
      </c>
      <c r="D24" s="0" t="n">
        <v>46239</v>
      </c>
      <c r="G24" s="0" t="s">
        <v>135</v>
      </c>
      <c r="J24" s="0" t="n">
        <v>27.02</v>
      </c>
      <c r="M24" s="0" t="n">
        <v>6877</v>
      </c>
      <c r="V24" s="0" t="n">
        <v>160</v>
      </c>
      <c r="X24" s="152" t="s">
        <v>434</v>
      </c>
      <c r="Z24" s="0" t="n">
        <v>46255.5832523148</v>
      </c>
    </row>
    <row r="25" customFormat="false" ht="14.25" hidden="false" customHeight="false" outlineLevel="0" collapsed="false">
      <c r="B25" s="0" t="n">
        <v>46240</v>
      </c>
      <c r="D25" s="0" t="n">
        <v>46240</v>
      </c>
      <c r="G25" s="0" t="s">
        <v>137</v>
      </c>
      <c r="J25" s="0" t="n">
        <v>28.06</v>
      </c>
      <c r="M25" s="0" t="n">
        <v>6571.1</v>
      </c>
      <c r="X25" s="0" t="s">
        <v>484</v>
      </c>
      <c r="Z25" s="0" t="n">
        <v>46246.9708564815</v>
      </c>
    </row>
    <row r="26" customFormat="false" ht="28.35" hidden="false" customHeight="false" outlineLevel="0" collapsed="false">
      <c r="B26" s="0" t="n">
        <v>46241</v>
      </c>
      <c r="D26" s="0" t="n">
        <v>46241</v>
      </c>
      <c r="G26" s="0" t="s">
        <v>139</v>
      </c>
      <c r="J26" s="0" t="n">
        <v>24.04</v>
      </c>
      <c r="M26" s="0" t="n">
        <v>6637.8</v>
      </c>
      <c r="X26" s="152" t="s">
        <v>487</v>
      </c>
      <c r="Z26" s="0" t="n">
        <v>46257.8318287037</v>
      </c>
    </row>
    <row r="27" customFormat="false" ht="14.25" hidden="false" customHeight="false" outlineLevel="0" collapsed="false">
      <c r="B27" s="0" t="n">
        <v>46244</v>
      </c>
      <c r="D27" s="0" t="n">
        <v>46242</v>
      </c>
      <c r="G27" s="0" t="s">
        <v>141</v>
      </c>
      <c r="J27" s="0" t="n">
        <v>23.88</v>
      </c>
      <c r="M27" s="0" t="n">
        <v>8082.5</v>
      </c>
      <c r="X27" s="0" t="s">
        <v>490</v>
      </c>
      <c r="Z27" s="0" t="n">
        <v>46253.7900810185</v>
      </c>
    </row>
    <row r="28" customFormat="false" ht="41.75" hidden="false" customHeight="false" outlineLevel="0" collapsed="false">
      <c r="B28" s="0" t="n">
        <v>46245</v>
      </c>
      <c r="D28" s="0" t="n">
        <v>46244</v>
      </c>
      <c r="G28" s="0" t="s">
        <v>143</v>
      </c>
      <c r="J28" s="0" t="n">
        <v>75.6</v>
      </c>
      <c r="M28" s="0" t="n">
        <v>9000</v>
      </c>
      <c r="X28" s="152" t="s">
        <v>536</v>
      </c>
      <c r="Z28" s="0" t="n">
        <v>46254.3563078704</v>
      </c>
    </row>
    <row r="29" customFormat="false" ht="41.75" hidden="false" customHeight="false" outlineLevel="0" collapsed="false">
      <c r="B29" s="0" t="n">
        <v>46246</v>
      </c>
      <c r="D29" s="0" t="n">
        <v>46245</v>
      </c>
      <c r="G29" s="0" t="s">
        <v>145</v>
      </c>
      <c r="J29" s="0" t="n">
        <v>76.2</v>
      </c>
      <c r="M29" s="0" t="n">
        <v>7266.3</v>
      </c>
      <c r="X29" s="152" t="s">
        <v>544</v>
      </c>
      <c r="Z29" s="0" t="n">
        <v>46258.4798958333</v>
      </c>
    </row>
    <row r="30" customFormat="false" ht="28.35" hidden="false" customHeight="false" outlineLevel="0" collapsed="false">
      <c r="B30" s="0" t="n">
        <v>46247</v>
      </c>
      <c r="D30" s="0" t="n">
        <v>46246</v>
      </c>
      <c r="G30" s="0" t="s">
        <v>147</v>
      </c>
      <c r="J30" s="0" t="n">
        <v>26.69</v>
      </c>
      <c r="M30" s="0" t="n">
        <v>3200</v>
      </c>
      <c r="X30" s="152" t="s">
        <v>547</v>
      </c>
      <c r="Z30" s="0" t="n">
        <v>46264.9546875</v>
      </c>
    </row>
    <row r="31" customFormat="false" ht="41.75" hidden="false" customHeight="false" outlineLevel="0" collapsed="false">
      <c r="B31" s="0" t="n">
        <v>46248</v>
      </c>
      <c r="D31" s="0" t="n">
        <v>46247</v>
      </c>
      <c r="G31" s="0" t="s">
        <v>149</v>
      </c>
      <c r="J31" s="0" t="n">
        <v>87.02</v>
      </c>
      <c r="M31" s="0" t="n">
        <v>6674.6</v>
      </c>
      <c r="X31" s="152" t="s">
        <v>626</v>
      </c>
      <c r="Z31" s="0" t="n">
        <v>46265.3544791667</v>
      </c>
    </row>
    <row r="32" customFormat="false" ht="14.25" hidden="false" customHeight="false" outlineLevel="0" collapsed="false">
      <c r="B32" s="0" t="n">
        <v>46251</v>
      </c>
      <c r="D32" s="0" t="n">
        <v>46248</v>
      </c>
      <c r="G32" s="0" t="s">
        <v>151</v>
      </c>
      <c r="J32" s="0" t="n">
        <v>90</v>
      </c>
      <c r="M32" s="0" t="n">
        <v>6676.9</v>
      </c>
      <c r="X32" s="0" t="s">
        <v>629</v>
      </c>
      <c r="Z32" s="0" t="n">
        <v>46262.406400463</v>
      </c>
    </row>
    <row r="33" customFormat="false" ht="41.75" hidden="false" customHeight="false" outlineLevel="0" collapsed="false">
      <c r="B33" s="0" t="n">
        <v>46252</v>
      </c>
      <c r="D33" s="0" t="n">
        <v>46251</v>
      </c>
      <c r="G33" s="0" t="s">
        <v>153</v>
      </c>
      <c r="J33" s="0" t="n">
        <v>76</v>
      </c>
      <c r="M33" s="0" t="n">
        <v>2824.23</v>
      </c>
      <c r="X33" s="152" t="s">
        <v>648</v>
      </c>
      <c r="Z33" s="0" t="n">
        <v>46266.2658449074</v>
      </c>
    </row>
    <row r="34" customFormat="false" ht="41.75" hidden="false" customHeight="false" outlineLevel="0" collapsed="false">
      <c r="B34" s="0" t="n">
        <v>46253</v>
      </c>
      <c r="D34" s="0" t="n">
        <v>46252</v>
      </c>
      <c r="G34" s="0" t="s">
        <v>155</v>
      </c>
      <c r="J34" s="0" t="n">
        <v>71</v>
      </c>
      <c r="M34" s="0" t="n">
        <v>3578.8</v>
      </c>
      <c r="X34" s="152" t="s">
        <v>652</v>
      </c>
    </row>
    <row r="35" customFormat="false" ht="41.75" hidden="false" customHeight="false" outlineLevel="0" collapsed="false">
      <c r="B35" s="0" t="n">
        <v>46254</v>
      </c>
      <c r="D35" s="0" t="n">
        <v>46253</v>
      </c>
      <c r="G35" s="0" t="s">
        <v>157</v>
      </c>
      <c r="J35" s="0" t="n">
        <v>28.98</v>
      </c>
      <c r="M35" s="0" t="n">
        <v>3519</v>
      </c>
      <c r="X35" s="152" t="s">
        <v>655</v>
      </c>
    </row>
    <row r="36" customFormat="false" ht="14.25" hidden="false" customHeight="false" outlineLevel="0" collapsed="false">
      <c r="B36" s="0" t="n">
        <v>46255</v>
      </c>
      <c r="D36" s="0" t="n">
        <v>46254</v>
      </c>
      <c r="G36" s="0" t="s">
        <v>159</v>
      </c>
      <c r="J36" s="0" t="n">
        <v>28.49</v>
      </c>
      <c r="M36" s="0" t="n">
        <v>3468.4</v>
      </c>
      <c r="X36" s="0" t="s">
        <v>658</v>
      </c>
    </row>
    <row r="37" customFormat="false" ht="41.75" hidden="false" customHeight="false" outlineLevel="0" collapsed="false">
      <c r="B37" s="0" t="n">
        <v>46258</v>
      </c>
      <c r="D37" s="0" t="n">
        <v>46255</v>
      </c>
      <c r="G37" s="0" t="s">
        <v>161</v>
      </c>
      <c r="J37" s="0" t="n">
        <v>32.06</v>
      </c>
      <c r="M37" s="0" t="n">
        <v>6667.7</v>
      </c>
      <c r="X37" s="152" t="s">
        <v>661</v>
      </c>
    </row>
    <row r="38" customFormat="false" ht="41.75" hidden="false" customHeight="false" outlineLevel="0" collapsed="false">
      <c r="B38" s="0" t="n">
        <v>46259</v>
      </c>
      <c r="D38" s="0" t="n">
        <v>46258</v>
      </c>
      <c r="G38" s="0" t="s">
        <v>163</v>
      </c>
      <c r="J38" s="0" t="n">
        <v>27.06</v>
      </c>
      <c r="M38" s="0" t="n">
        <v>6442.3</v>
      </c>
      <c r="X38" s="152" t="s">
        <v>667</v>
      </c>
    </row>
    <row r="39" customFormat="false" ht="41.75" hidden="false" customHeight="false" outlineLevel="0" collapsed="false">
      <c r="B39" s="0" t="n">
        <v>46260</v>
      </c>
      <c r="D39" s="0" t="n">
        <v>46259</v>
      </c>
      <c r="G39" s="0" t="s">
        <v>165</v>
      </c>
      <c r="J39" s="0" t="n">
        <v>1055</v>
      </c>
      <c r="M39" s="0" t="n">
        <v>6897.7</v>
      </c>
      <c r="X39" s="152" t="s">
        <v>673</v>
      </c>
    </row>
    <row r="40" customFormat="false" ht="41.75" hidden="false" customHeight="false" outlineLevel="0" collapsed="false">
      <c r="B40" s="0" t="n">
        <v>46261</v>
      </c>
      <c r="D40" s="0" t="n">
        <v>46260</v>
      </c>
      <c r="G40" s="0" t="s">
        <v>167</v>
      </c>
      <c r="J40" s="0" t="n">
        <v>80</v>
      </c>
      <c r="M40" s="0" t="n">
        <v>3470.7</v>
      </c>
      <c r="X40" s="152" t="s">
        <v>679</v>
      </c>
    </row>
    <row r="41" customFormat="false" ht="55.2" hidden="false" customHeight="false" outlineLevel="0" collapsed="false">
      <c r="B41" s="0" t="n">
        <v>46262</v>
      </c>
      <c r="D41" s="0" t="n">
        <v>46261</v>
      </c>
      <c r="G41" s="0" t="s">
        <v>169</v>
      </c>
      <c r="J41" s="0" t="n">
        <v>62.19</v>
      </c>
      <c r="M41" s="0" t="n">
        <v>6699</v>
      </c>
      <c r="X41" s="152" t="s">
        <v>682</v>
      </c>
    </row>
    <row r="42" customFormat="false" ht="41.75" hidden="false" customHeight="false" outlineLevel="0" collapsed="false">
      <c r="B42" s="0" t="n">
        <v>46265</v>
      </c>
      <c r="D42" s="0" t="n">
        <v>46262</v>
      </c>
      <c r="G42" s="0" t="s">
        <v>171</v>
      </c>
      <c r="J42" s="0" t="n">
        <v>65</v>
      </c>
      <c r="M42" s="0" t="n">
        <v>6374.5</v>
      </c>
      <c r="X42" s="152" t="s">
        <v>686</v>
      </c>
    </row>
    <row r="43" customFormat="false" ht="41.75" hidden="false" customHeight="false" outlineLevel="0" collapsed="false">
      <c r="D43" s="0" t="n">
        <v>46265</v>
      </c>
      <c r="G43" s="0" t="s">
        <v>173</v>
      </c>
      <c r="J43" s="0" t="n">
        <v>30</v>
      </c>
      <c r="M43" s="0" t="n">
        <v>6468</v>
      </c>
      <c r="X43" s="152" t="s">
        <v>696</v>
      </c>
    </row>
    <row r="44" customFormat="false" ht="41.75" hidden="false" customHeight="false" outlineLevel="0" collapsed="false">
      <c r="G44" s="0" t="s">
        <v>175</v>
      </c>
      <c r="J44" s="0" t="n">
        <v>29.9</v>
      </c>
      <c r="M44" s="0" t="n">
        <v>6539.5</v>
      </c>
      <c r="X44" s="152" t="s">
        <v>703</v>
      </c>
    </row>
    <row r="45" customFormat="false" ht="41.75" hidden="false" customHeight="false" outlineLevel="0" collapsed="false">
      <c r="G45" s="0" t="s">
        <v>177</v>
      </c>
      <c r="J45" s="0" t="n">
        <v>28.57</v>
      </c>
      <c r="M45" s="0" t="n">
        <v>6594.5</v>
      </c>
      <c r="X45" s="152" t="s">
        <v>709</v>
      </c>
    </row>
    <row r="46" customFormat="false" ht="41.75" hidden="false" customHeight="false" outlineLevel="0" collapsed="false">
      <c r="G46" s="0" t="s">
        <v>179</v>
      </c>
      <c r="J46" s="0" t="n">
        <v>28.86</v>
      </c>
      <c r="M46" s="0" t="n">
        <v>2280</v>
      </c>
      <c r="X46" s="152" t="s">
        <v>715</v>
      </c>
    </row>
    <row r="47" customFormat="false" ht="28.35" hidden="false" customHeight="false" outlineLevel="0" collapsed="false">
      <c r="G47" s="0" t="s">
        <v>181</v>
      </c>
      <c r="J47" s="0" t="n">
        <v>30.5</v>
      </c>
      <c r="M47" s="0" t="n">
        <v>3870</v>
      </c>
      <c r="X47" s="152" t="s">
        <v>727</v>
      </c>
    </row>
    <row r="48" customFormat="false" ht="28.35" hidden="false" customHeight="false" outlineLevel="0" collapsed="false">
      <c r="G48" s="0" t="s">
        <v>184</v>
      </c>
      <c r="J48" s="0" t="n">
        <v>178</v>
      </c>
      <c r="M48" s="0" t="n">
        <v>3960</v>
      </c>
      <c r="X48" s="152" t="s">
        <v>730</v>
      </c>
    </row>
    <row r="49" customFormat="false" ht="41.75" hidden="false" customHeight="false" outlineLevel="0" collapsed="false">
      <c r="G49" s="0" t="s">
        <v>186</v>
      </c>
      <c r="J49" s="0" t="n">
        <v>89</v>
      </c>
      <c r="M49" s="0" t="n">
        <v>3915</v>
      </c>
      <c r="X49" s="152" t="s">
        <v>735</v>
      </c>
    </row>
    <row r="50" customFormat="false" ht="41.75" hidden="false" customHeight="false" outlineLevel="0" collapsed="false">
      <c r="G50" s="0" t="s">
        <v>188</v>
      </c>
      <c r="J50" s="0" t="n">
        <v>89.98</v>
      </c>
      <c r="M50" s="0" t="n">
        <v>6888.5</v>
      </c>
      <c r="X50" s="152" t="s">
        <v>739</v>
      </c>
    </row>
    <row r="51" customFormat="false" ht="68.65" hidden="false" customHeight="false" outlineLevel="0" collapsed="false">
      <c r="G51" s="0" t="s">
        <v>190</v>
      </c>
      <c r="J51" s="0" t="n">
        <v>55.44</v>
      </c>
      <c r="M51" s="0" t="n">
        <v>3690</v>
      </c>
      <c r="X51" s="152" t="s">
        <v>744</v>
      </c>
    </row>
    <row r="52" customFormat="false" ht="41.75" hidden="false" customHeight="false" outlineLevel="0" collapsed="false">
      <c r="G52" s="0" t="s">
        <v>192</v>
      </c>
      <c r="J52" s="0" t="n">
        <v>58</v>
      </c>
      <c r="M52" s="0" t="n">
        <v>3780</v>
      </c>
      <c r="X52" s="152" t="s">
        <v>747</v>
      </c>
    </row>
    <row r="53" customFormat="false" ht="41.75" hidden="false" customHeight="false" outlineLevel="0" collapsed="false">
      <c r="G53" s="0" t="s">
        <v>195</v>
      </c>
      <c r="J53" s="0" t="n">
        <v>27.42</v>
      </c>
      <c r="M53" s="0" t="n">
        <v>1140</v>
      </c>
      <c r="X53" s="152" t="s">
        <v>753</v>
      </c>
    </row>
    <row r="54" customFormat="false" ht="41.75" hidden="false" customHeight="false" outlineLevel="0" collapsed="false">
      <c r="G54" s="0" t="s">
        <v>198</v>
      </c>
      <c r="J54" s="0" t="n">
        <v>1095.5</v>
      </c>
      <c r="M54" s="0" t="n">
        <v>3645</v>
      </c>
      <c r="X54" s="152" t="s">
        <v>759</v>
      </c>
    </row>
    <row r="55" customFormat="false" ht="41.75" hidden="false" customHeight="false" outlineLevel="0" collapsed="false">
      <c r="G55" s="0" t="s">
        <v>200</v>
      </c>
      <c r="J55" s="0" t="n">
        <v>69.72</v>
      </c>
      <c r="M55" s="0" t="n">
        <v>3600</v>
      </c>
      <c r="X55" s="152" t="s">
        <v>765</v>
      </c>
    </row>
    <row r="56" customFormat="false" ht="41.75" hidden="false" customHeight="false" outlineLevel="0" collapsed="false">
      <c r="G56" s="0" t="s">
        <v>202</v>
      </c>
      <c r="J56" s="0" t="n">
        <v>29.02</v>
      </c>
      <c r="M56" s="0" t="n">
        <v>3004.71</v>
      </c>
      <c r="X56" s="152" t="s">
        <v>769</v>
      </c>
    </row>
    <row r="57" customFormat="false" ht="41.75" hidden="false" customHeight="false" outlineLevel="0" collapsed="false">
      <c r="G57" s="0" t="s">
        <v>204</v>
      </c>
      <c r="J57" s="0" t="n">
        <v>29.03</v>
      </c>
      <c r="M57" s="0" t="n">
        <v>850.23</v>
      </c>
      <c r="X57" s="152" t="s">
        <v>772</v>
      </c>
    </row>
    <row r="58" customFormat="false" ht="41.75" hidden="false" customHeight="false" outlineLevel="0" collapsed="false">
      <c r="G58" s="0" t="s">
        <v>206</v>
      </c>
      <c r="J58" s="0" t="n">
        <v>20.03</v>
      </c>
      <c r="M58" s="0" t="n">
        <v>2834.1</v>
      </c>
      <c r="X58" s="152" t="s">
        <v>778</v>
      </c>
    </row>
    <row r="59" customFormat="false" ht="41.75" hidden="false" customHeight="false" outlineLevel="0" collapsed="false">
      <c r="G59" s="0" t="s">
        <v>208</v>
      </c>
      <c r="J59" s="0" t="n">
        <v>80.12</v>
      </c>
      <c r="M59" s="0" t="n">
        <v>6796.5</v>
      </c>
      <c r="X59" s="152" t="s">
        <v>781</v>
      </c>
    </row>
    <row r="60" customFormat="false" ht="41.75" hidden="false" customHeight="false" outlineLevel="0" collapsed="false">
      <c r="G60" s="0" t="s">
        <v>211</v>
      </c>
      <c r="J60" s="0" t="n">
        <v>15.56</v>
      </c>
      <c r="M60" s="0" t="n">
        <v>2859.48</v>
      </c>
      <c r="X60" s="152" t="s">
        <v>784</v>
      </c>
    </row>
    <row r="61" customFormat="false" ht="41.75" hidden="false" customHeight="false" outlineLevel="0" collapsed="false">
      <c r="G61" s="0" t="s">
        <v>214</v>
      </c>
      <c r="J61" s="0" t="n">
        <v>88.67</v>
      </c>
      <c r="M61" s="0" t="n">
        <v>3070.98</v>
      </c>
      <c r="X61" s="152" t="s">
        <v>789</v>
      </c>
    </row>
    <row r="62" customFormat="false" ht="41.75" hidden="false" customHeight="false" outlineLevel="0" collapsed="false">
      <c r="G62" s="0" t="s">
        <v>219</v>
      </c>
      <c r="J62" s="0" t="n">
        <v>15.3</v>
      </c>
      <c r="M62" s="0" t="n">
        <v>1974</v>
      </c>
      <c r="X62" s="152" t="s">
        <v>794</v>
      </c>
    </row>
    <row r="63" customFormat="false" ht="41.75" hidden="false" customHeight="false" outlineLevel="0" collapsed="false">
      <c r="G63" s="0" t="s">
        <v>223</v>
      </c>
      <c r="J63" s="0" t="n">
        <v>15.08</v>
      </c>
      <c r="M63" s="0" t="n">
        <v>1481.2</v>
      </c>
      <c r="X63" s="152" t="s">
        <v>799</v>
      </c>
    </row>
    <row r="64" customFormat="false" ht="55.2" hidden="false" customHeight="false" outlineLevel="0" collapsed="false">
      <c r="G64" s="0" t="s">
        <v>225</v>
      </c>
      <c r="J64" s="0" t="n">
        <v>28.99</v>
      </c>
      <c r="M64" s="0" t="n">
        <v>2397</v>
      </c>
      <c r="X64" s="152" t="s">
        <v>802</v>
      </c>
    </row>
    <row r="65" customFormat="false" ht="41.75" hidden="false" customHeight="false" outlineLevel="0" collapsed="false">
      <c r="G65" s="0" t="s">
        <v>227</v>
      </c>
      <c r="J65" s="0" t="n">
        <v>28.01</v>
      </c>
      <c r="M65" s="0" t="n">
        <v>2391.36</v>
      </c>
      <c r="X65" s="152" t="s">
        <v>805</v>
      </c>
    </row>
    <row r="66" customFormat="false" ht="41.75" hidden="false" customHeight="false" outlineLevel="0" collapsed="false">
      <c r="G66" s="0" t="s">
        <v>229</v>
      </c>
      <c r="J66" s="0" t="n">
        <v>29.99</v>
      </c>
      <c r="M66" s="0" t="n">
        <v>2450.58</v>
      </c>
      <c r="X66" s="152" t="s">
        <v>810</v>
      </c>
    </row>
    <row r="67" customFormat="false" ht="41.75" hidden="false" customHeight="false" outlineLevel="0" collapsed="false">
      <c r="G67" s="0" t="s">
        <v>232</v>
      </c>
      <c r="J67" s="0" t="n">
        <v>15.09</v>
      </c>
      <c r="M67" s="0" t="n">
        <v>2250.36</v>
      </c>
      <c r="X67" s="152" t="s">
        <v>815</v>
      </c>
    </row>
    <row r="68" customFormat="false" ht="41.75" hidden="false" customHeight="false" outlineLevel="0" collapsed="false">
      <c r="G68" s="0" t="s">
        <v>234</v>
      </c>
      <c r="J68" s="0" t="n">
        <v>24.36</v>
      </c>
      <c r="M68" s="0" t="n">
        <v>6474.5</v>
      </c>
      <c r="X68" s="152" t="s">
        <v>818</v>
      </c>
    </row>
    <row r="69" customFormat="false" ht="41.75" hidden="false" customHeight="false" outlineLevel="0" collapsed="false">
      <c r="G69" s="0" t="s">
        <v>236</v>
      </c>
      <c r="J69" s="0" t="n">
        <v>23.18</v>
      </c>
      <c r="M69" s="0" t="n">
        <v>6858.6</v>
      </c>
      <c r="X69" s="152" t="s">
        <v>821</v>
      </c>
    </row>
    <row r="70" customFormat="false" ht="41.75" hidden="false" customHeight="false" outlineLevel="0" collapsed="false">
      <c r="G70" s="0" t="s">
        <v>238</v>
      </c>
      <c r="J70" s="0" t="n">
        <v>23.52</v>
      </c>
      <c r="M70" s="0" t="n">
        <v>6890.8</v>
      </c>
      <c r="X70" s="152" t="s">
        <v>826</v>
      </c>
    </row>
    <row r="71" customFormat="false" ht="41.75" hidden="false" customHeight="false" outlineLevel="0" collapsed="false">
      <c r="G71" s="0" t="s">
        <v>241</v>
      </c>
      <c r="J71" s="0" t="n">
        <v>23.78</v>
      </c>
      <c r="M71" s="0" t="n">
        <v>6476.8</v>
      </c>
      <c r="X71" s="152" t="s">
        <v>829</v>
      </c>
    </row>
    <row r="72" customFormat="false" ht="41.75" hidden="false" customHeight="false" outlineLevel="0" collapsed="false">
      <c r="G72" s="0" t="s">
        <v>244</v>
      </c>
      <c r="J72" s="0" t="n">
        <v>23.9</v>
      </c>
      <c r="M72" s="0" t="n">
        <v>2538</v>
      </c>
      <c r="X72" s="152" t="s">
        <v>832</v>
      </c>
    </row>
    <row r="73" customFormat="false" ht="41.75" hidden="false" customHeight="false" outlineLevel="0" collapsed="false">
      <c r="G73" s="0" t="s">
        <v>247</v>
      </c>
      <c r="J73" s="0" t="n">
        <v>1185.4</v>
      </c>
      <c r="M73" s="0" t="n">
        <v>10764</v>
      </c>
      <c r="X73" s="152" t="s">
        <v>837</v>
      </c>
    </row>
    <row r="74" customFormat="false" ht="41.75" hidden="false" customHeight="false" outlineLevel="0" collapsed="false">
      <c r="G74" s="0" t="s">
        <v>250</v>
      </c>
      <c r="J74" s="0" t="n">
        <v>57</v>
      </c>
      <c r="M74" s="0" t="n">
        <v>1904</v>
      </c>
      <c r="X74" s="152" t="s">
        <v>842</v>
      </c>
    </row>
    <row r="75" customFormat="false" ht="41.75" hidden="false" customHeight="false" outlineLevel="0" collapsed="false">
      <c r="G75" s="0" t="s">
        <v>254</v>
      </c>
      <c r="J75" s="0" t="n">
        <v>29.95</v>
      </c>
      <c r="M75" s="0" t="n">
        <v>5329.1</v>
      </c>
      <c r="X75" s="152" t="s">
        <v>845</v>
      </c>
    </row>
    <row r="76" customFormat="false" ht="41.75" hidden="false" customHeight="false" outlineLevel="0" collapsed="false">
      <c r="G76" s="0" t="s">
        <v>257</v>
      </c>
      <c r="J76" s="0" t="n">
        <v>81</v>
      </c>
      <c r="M76" s="0" t="n">
        <v>6453.8</v>
      </c>
      <c r="X76" s="152" t="s">
        <v>848</v>
      </c>
    </row>
    <row r="77" customFormat="false" ht="41.75" hidden="false" customHeight="false" outlineLevel="0" collapsed="false">
      <c r="G77" s="0" t="s">
        <v>263</v>
      </c>
      <c r="J77" s="0" t="n">
        <v>60</v>
      </c>
      <c r="M77" s="0" t="n">
        <v>7386.5</v>
      </c>
      <c r="X77" s="152" t="s">
        <v>852</v>
      </c>
    </row>
    <row r="78" customFormat="false" ht="41.75" hidden="false" customHeight="false" outlineLevel="0" collapsed="false">
      <c r="G78" s="0" t="s">
        <v>266</v>
      </c>
      <c r="J78" s="0" t="n">
        <v>21.31</v>
      </c>
      <c r="M78" s="0" t="n">
        <v>6523</v>
      </c>
      <c r="X78" s="152" t="s">
        <v>855</v>
      </c>
    </row>
    <row r="79" customFormat="false" ht="41.75" hidden="false" customHeight="false" outlineLevel="0" collapsed="false">
      <c r="G79" s="0" t="s">
        <v>268</v>
      </c>
      <c r="J79" s="0" t="n">
        <v>6.03</v>
      </c>
      <c r="M79" s="0" t="n">
        <v>6695.3</v>
      </c>
      <c r="X79" s="152" t="s">
        <v>860</v>
      </c>
    </row>
    <row r="80" customFormat="false" ht="41.75" hidden="false" customHeight="false" outlineLevel="0" collapsed="false">
      <c r="G80" s="0" t="s">
        <v>270</v>
      </c>
      <c r="J80" s="0" t="n">
        <v>24</v>
      </c>
      <c r="M80" s="0" t="n">
        <v>7291</v>
      </c>
      <c r="X80" s="152" t="s">
        <v>865</v>
      </c>
    </row>
    <row r="81" customFormat="false" ht="41.75" hidden="false" customHeight="false" outlineLevel="0" collapsed="false">
      <c r="G81" s="0" t="s">
        <v>272</v>
      </c>
      <c r="J81" s="0" t="n">
        <v>20.1</v>
      </c>
      <c r="M81" s="0" t="n">
        <v>2240</v>
      </c>
      <c r="X81" s="152" t="s">
        <v>870</v>
      </c>
    </row>
    <row r="82" customFormat="false" ht="41.75" hidden="false" customHeight="false" outlineLevel="0" collapsed="false">
      <c r="G82" s="0" t="s">
        <v>274</v>
      </c>
      <c r="J82" s="0" t="n">
        <v>80.4</v>
      </c>
      <c r="M82" s="0" t="n">
        <v>1120</v>
      </c>
      <c r="X82" s="152" t="s">
        <v>883</v>
      </c>
    </row>
    <row r="83" customFormat="false" ht="41.75" hidden="false" customHeight="false" outlineLevel="0" collapsed="false">
      <c r="G83" s="0" t="s">
        <v>278</v>
      </c>
      <c r="J83" s="0" t="n">
        <v>29.55</v>
      </c>
      <c r="M83" s="0" t="n">
        <v>6826.4</v>
      </c>
      <c r="X83" s="152" t="s">
        <v>889</v>
      </c>
    </row>
    <row r="84" customFormat="false" ht="41.75" hidden="false" customHeight="false" outlineLevel="0" collapsed="false">
      <c r="G84" s="0" t="s">
        <v>283</v>
      </c>
      <c r="J84" s="0" t="n">
        <v>85.24</v>
      </c>
      <c r="M84" s="0" t="n">
        <v>3330</v>
      </c>
      <c r="X84" s="152" t="s">
        <v>898</v>
      </c>
    </row>
    <row r="85" customFormat="false" ht="55.2" hidden="false" customHeight="false" outlineLevel="0" collapsed="false">
      <c r="G85" s="0" t="s">
        <v>286</v>
      </c>
      <c r="J85" s="0" t="n">
        <v>20.28</v>
      </c>
      <c r="M85" s="0" t="n">
        <v>3420</v>
      </c>
      <c r="X85" s="152" t="s">
        <v>901</v>
      </c>
    </row>
    <row r="86" customFormat="false" ht="28.35" hidden="false" customHeight="false" outlineLevel="0" collapsed="false">
      <c r="G86" s="0" t="s">
        <v>290</v>
      </c>
      <c r="J86" s="0" t="n">
        <v>81.12</v>
      </c>
      <c r="M86" s="0" t="n">
        <v>3375</v>
      </c>
      <c r="X86" s="152" t="s">
        <v>911</v>
      </c>
    </row>
    <row r="87" customFormat="false" ht="14.25" hidden="false" customHeight="false" outlineLevel="0" collapsed="false">
      <c r="G87" s="0" t="s">
        <v>294</v>
      </c>
      <c r="J87" s="0" t="n">
        <v>21.78</v>
      </c>
      <c r="M87" s="0" t="n">
        <v>6198.5</v>
      </c>
      <c r="X87" s="0" t="s">
        <v>933</v>
      </c>
    </row>
    <row r="88" customFormat="false" ht="28.35" hidden="false" customHeight="false" outlineLevel="0" collapsed="false">
      <c r="G88" s="0" t="s">
        <v>296</v>
      </c>
      <c r="J88" s="0" t="n">
        <v>87.12</v>
      </c>
      <c r="M88" s="0" t="n">
        <v>5750</v>
      </c>
      <c r="X88" s="152" t="s">
        <v>936</v>
      </c>
    </row>
    <row r="89" customFormat="false" ht="28.35" hidden="false" customHeight="false" outlineLevel="0" collapsed="false">
      <c r="G89" s="0" t="s">
        <v>298</v>
      </c>
      <c r="J89" s="0" t="n">
        <v>14</v>
      </c>
      <c r="M89" s="0" t="n">
        <v>2925</v>
      </c>
      <c r="X89" s="152" t="s">
        <v>939</v>
      </c>
    </row>
    <row r="90" customFormat="false" ht="28.35" hidden="false" customHeight="false" outlineLevel="0" collapsed="false">
      <c r="G90" s="0" t="s">
        <v>301</v>
      </c>
      <c r="J90" s="0" t="n">
        <v>56</v>
      </c>
      <c r="M90" s="0" t="n">
        <v>3825</v>
      </c>
      <c r="X90" s="152" t="s">
        <v>942</v>
      </c>
    </row>
    <row r="91" customFormat="false" ht="28.35" hidden="false" customHeight="false" outlineLevel="0" collapsed="false">
      <c r="G91" s="0" t="s">
        <v>305</v>
      </c>
      <c r="J91" s="0" t="n">
        <v>652.2</v>
      </c>
      <c r="M91" s="0" t="n">
        <v>6681.5</v>
      </c>
      <c r="X91" s="152" t="s">
        <v>988</v>
      </c>
    </row>
    <row r="92" customFormat="false" ht="28.35" hidden="false" customHeight="false" outlineLevel="0" collapsed="false">
      <c r="G92" s="0" t="s">
        <v>307</v>
      </c>
      <c r="J92" s="0" t="n">
        <v>315.7</v>
      </c>
      <c r="M92" s="0" t="n">
        <v>2475</v>
      </c>
      <c r="X92" s="152" t="s">
        <v>993</v>
      </c>
    </row>
    <row r="93" customFormat="false" ht="28.35" hidden="false" customHeight="false" outlineLevel="0" collapsed="false">
      <c r="G93" s="0" t="s">
        <v>311</v>
      </c>
      <c r="J93" s="0" t="n">
        <v>271.35</v>
      </c>
      <c r="M93" s="0" t="n">
        <v>1440</v>
      </c>
      <c r="X93" s="152" t="s">
        <v>996</v>
      </c>
    </row>
    <row r="94" customFormat="false" ht="41.75" hidden="false" customHeight="false" outlineLevel="0" collapsed="false">
      <c r="G94" s="0" t="s">
        <v>313</v>
      </c>
      <c r="J94" s="0" t="n">
        <v>6.44</v>
      </c>
      <c r="M94" s="0" t="n">
        <v>6246.8</v>
      </c>
      <c r="X94" s="152" t="s">
        <v>1006</v>
      </c>
    </row>
    <row r="95" customFormat="false" ht="28.35" hidden="false" customHeight="false" outlineLevel="0" collapsed="false">
      <c r="G95" s="0" t="s">
        <v>315</v>
      </c>
      <c r="J95" s="0" t="n">
        <v>23</v>
      </c>
      <c r="M95" s="0" t="n">
        <v>1344</v>
      </c>
      <c r="X95" s="152" t="s">
        <v>1009</v>
      </c>
    </row>
    <row r="96" customFormat="false" ht="14.25" hidden="false" customHeight="false" outlineLevel="0" collapsed="false">
      <c r="G96" s="0" t="s">
        <v>317</v>
      </c>
      <c r="J96" s="0" t="n">
        <v>17</v>
      </c>
      <c r="M96" s="0" t="n">
        <v>9660</v>
      </c>
    </row>
    <row r="97" customFormat="false" ht="14.25" hidden="false" customHeight="false" outlineLevel="0" collapsed="false">
      <c r="G97" s="0" t="s">
        <v>319</v>
      </c>
      <c r="J97" s="0" t="n">
        <v>68</v>
      </c>
      <c r="M97" s="0" t="n">
        <v>6969</v>
      </c>
    </row>
    <row r="98" customFormat="false" ht="14.25" hidden="false" customHeight="false" outlineLevel="0" collapsed="false">
      <c r="G98" s="0" t="s">
        <v>322</v>
      </c>
      <c r="J98" s="0" t="n">
        <v>16.96</v>
      </c>
      <c r="M98" s="0" t="n">
        <v>6545.8</v>
      </c>
    </row>
    <row r="99" customFormat="false" ht="14.25" hidden="false" customHeight="false" outlineLevel="0" collapsed="false">
      <c r="G99" s="0" t="s">
        <v>324</v>
      </c>
      <c r="J99" s="0" t="n">
        <v>67.84</v>
      </c>
      <c r="M99" s="0" t="n">
        <v>7005.8</v>
      </c>
    </row>
    <row r="100" customFormat="false" ht="14.25" hidden="false" customHeight="false" outlineLevel="0" collapsed="false">
      <c r="G100" s="0" t="s">
        <v>327</v>
      </c>
      <c r="J100" s="0" t="n">
        <v>17.38</v>
      </c>
      <c r="M100" s="0" t="n">
        <v>5191.1</v>
      </c>
    </row>
    <row r="101" customFormat="false" ht="14.25" hidden="false" customHeight="false" outlineLevel="0" collapsed="false">
      <c r="G101" s="0" t="s">
        <v>329</v>
      </c>
      <c r="J101" s="0" t="n">
        <v>69.52</v>
      </c>
      <c r="M101" s="0" t="n">
        <v>5147.4</v>
      </c>
    </row>
    <row r="102" customFormat="false" ht="14.25" hidden="false" customHeight="false" outlineLevel="0" collapsed="false">
      <c r="G102" s="0" t="s">
        <v>332</v>
      </c>
      <c r="J102" s="0" t="n">
        <v>15.96</v>
      </c>
    </row>
    <row r="103" customFormat="false" ht="14.25" hidden="false" customHeight="false" outlineLevel="0" collapsed="false">
      <c r="G103" s="0" t="s">
        <v>334</v>
      </c>
      <c r="J103" s="0" t="n">
        <v>63.84</v>
      </c>
    </row>
    <row r="104" customFormat="false" ht="14.25" hidden="false" customHeight="false" outlineLevel="0" collapsed="false">
      <c r="G104" s="0" t="s">
        <v>337</v>
      </c>
      <c r="J104" s="0" t="n">
        <v>28.15</v>
      </c>
    </row>
    <row r="105" customFormat="false" ht="14.25" hidden="false" customHeight="false" outlineLevel="0" collapsed="false">
      <c r="G105" s="0" t="s">
        <v>339</v>
      </c>
      <c r="J105" s="0" t="n">
        <v>29.82</v>
      </c>
    </row>
    <row r="106" customFormat="false" ht="14.25" hidden="false" customHeight="false" outlineLevel="0" collapsed="false">
      <c r="G106" s="0" t="s">
        <v>342</v>
      </c>
      <c r="J106" s="0" t="n">
        <v>1158.85</v>
      </c>
    </row>
    <row r="107" customFormat="false" ht="14.25" hidden="false" customHeight="false" outlineLevel="0" collapsed="false">
      <c r="G107" s="0" t="s">
        <v>344</v>
      </c>
      <c r="J107" s="0" t="n">
        <v>29.96</v>
      </c>
    </row>
    <row r="108" customFormat="false" ht="14.25" hidden="false" customHeight="false" outlineLevel="0" collapsed="false">
      <c r="G108" s="0" t="s">
        <v>346</v>
      </c>
      <c r="J108" s="0" t="n">
        <v>28.16</v>
      </c>
    </row>
    <row r="109" customFormat="false" ht="14.25" hidden="false" customHeight="false" outlineLevel="0" collapsed="false">
      <c r="G109" s="0" t="s">
        <v>348</v>
      </c>
      <c r="J109" s="0" t="n">
        <v>18</v>
      </c>
    </row>
    <row r="110" customFormat="false" ht="14.25" hidden="false" customHeight="false" outlineLevel="0" collapsed="false">
      <c r="G110" s="0" t="s">
        <v>350</v>
      </c>
      <c r="J110" s="0" t="n">
        <v>72</v>
      </c>
    </row>
    <row r="111" customFormat="false" ht="14.25" hidden="false" customHeight="false" outlineLevel="0" collapsed="false">
      <c r="G111" s="0" t="s">
        <v>352</v>
      </c>
      <c r="J111" s="0" t="n">
        <v>92</v>
      </c>
    </row>
    <row r="112" customFormat="false" ht="14.25" hidden="false" customHeight="false" outlineLevel="0" collapsed="false">
      <c r="G112" s="0" t="s">
        <v>354</v>
      </c>
      <c r="J112" s="0" t="n">
        <v>23.17</v>
      </c>
    </row>
    <row r="113" customFormat="false" ht="14.25" hidden="false" customHeight="false" outlineLevel="0" collapsed="false">
      <c r="G113" s="0" t="s">
        <v>358</v>
      </c>
      <c r="J113" s="0" t="n">
        <v>26.86</v>
      </c>
    </row>
    <row r="114" customFormat="false" ht="14.25" hidden="false" customHeight="false" outlineLevel="0" collapsed="false">
      <c r="G114" s="0" t="s">
        <v>360</v>
      </c>
      <c r="J114" s="0" t="n">
        <v>23.72</v>
      </c>
    </row>
    <row r="115" customFormat="false" ht="14.25" hidden="false" customHeight="false" outlineLevel="0" collapsed="false">
      <c r="G115" s="0" t="s">
        <v>363</v>
      </c>
      <c r="J115" s="0" t="n">
        <v>29.11</v>
      </c>
    </row>
    <row r="116" customFormat="false" ht="14.25" hidden="false" customHeight="false" outlineLevel="0" collapsed="false">
      <c r="G116" s="0" t="s">
        <v>366</v>
      </c>
      <c r="J116" s="0" t="n">
        <v>31.7</v>
      </c>
    </row>
    <row r="117" customFormat="false" ht="14.25" hidden="false" customHeight="false" outlineLevel="0" collapsed="false">
      <c r="G117" s="0" t="s">
        <v>369</v>
      </c>
      <c r="J117" s="0" t="n">
        <v>20</v>
      </c>
    </row>
    <row r="118" customFormat="false" ht="14.25" hidden="false" customHeight="false" outlineLevel="0" collapsed="false">
      <c r="G118" s="0" t="s">
        <v>371</v>
      </c>
      <c r="J118" s="0" t="n">
        <v>10</v>
      </c>
    </row>
    <row r="119" customFormat="false" ht="14.25" hidden="false" customHeight="false" outlineLevel="0" collapsed="false">
      <c r="G119" s="0" t="s">
        <v>373</v>
      </c>
      <c r="J119" s="0" t="n">
        <v>40</v>
      </c>
    </row>
    <row r="120" customFormat="false" ht="14.25" hidden="false" customHeight="false" outlineLevel="0" collapsed="false">
      <c r="G120" s="0" t="s">
        <v>377</v>
      </c>
      <c r="J120" s="0" t="n">
        <v>29.68</v>
      </c>
    </row>
    <row r="121" customFormat="false" ht="14.25" hidden="false" customHeight="false" outlineLevel="0" collapsed="false">
      <c r="G121" s="0" t="s">
        <v>382</v>
      </c>
      <c r="J121" s="0" t="n">
        <v>74</v>
      </c>
    </row>
    <row r="122" customFormat="false" ht="14.25" hidden="false" customHeight="false" outlineLevel="0" collapsed="false">
      <c r="G122" s="0" t="s">
        <v>386</v>
      </c>
      <c r="J122" s="0" t="n">
        <v>75</v>
      </c>
    </row>
    <row r="123" customFormat="false" ht="14.25" hidden="false" customHeight="false" outlineLevel="0" collapsed="false">
      <c r="G123" s="0" t="s">
        <v>390</v>
      </c>
      <c r="J123" s="0" t="n">
        <v>26.95</v>
      </c>
    </row>
    <row r="124" customFormat="false" ht="14.25" hidden="false" customHeight="false" outlineLevel="0" collapsed="false">
      <c r="G124" s="0" t="s">
        <v>395</v>
      </c>
      <c r="J124" s="0" t="n">
        <v>29.05</v>
      </c>
    </row>
    <row r="125" customFormat="false" ht="14.25" hidden="false" customHeight="false" outlineLevel="0" collapsed="false">
      <c r="G125" s="0" t="s">
        <v>397</v>
      </c>
      <c r="J125" s="0" t="n">
        <v>55</v>
      </c>
    </row>
    <row r="126" customFormat="false" ht="14.25" hidden="false" customHeight="false" outlineLevel="0" collapsed="false">
      <c r="G126" s="0" t="s">
        <v>399</v>
      </c>
      <c r="J126" s="0" t="n">
        <v>32</v>
      </c>
    </row>
    <row r="127" customFormat="false" ht="14.25" hidden="false" customHeight="false" outlineLevel="0" collapsed="false">
      <c r="G127" s="0" t="s">
        <v>401</v>
      </c>
      <c r="J127" s="0" t="n">
        <v>27.16</v>
      </c>
    </row>
    <row r="128" customFormat="false" ht="14.25" hidden="false" customHeight="false" outlineLevel="0" collapsed="false">
      <c r="G128" s="0" t="s">
        <v>406</v>
      </c>
      <c r="J128" s="0" t="n">
        <v>12</v>
      </c>
    </row>
    <row r="129" customFormat="false" ht="14.25" hidden="false" customHeight="false" outlineLevel="0" collapsed="false">
      <c r="G129" s="0" t="s">
        <v>411</v>
      </c>
      <c r="J129" s="0" t="n">
        <v>48</v>
      </c>
    </row>
    <row r="130" customFormat="false" ht="14.25" hidden="false" customHeight="false" outlineLevel="0" collapsed="false">
      <c r="G130" s="0" t="s">
        <v>416</v>
      </c>
      <c r="J130" s="0" t="n">
        <v>16.22</v>
      </c>
    </row>
    <row r="131" customFormat="false" ht="14.25" hidden="false" customHeight="false" outlineLevel="0" collapsed="false">
      <c r="G131" s="0" t="s">
        <v>421</v>
      </c>
      <c r="J131" s="0" t="n">
        <v>64.88</v>
      </c>
    </row>
    <row r="132" customFormat="false" ht="14.25" hidden="false" customHeight="false" outlineLevel="0" collapsed="false">
      <c r="G132" s="0" t="s">
        <v>425</v>
      </c>
      <c r="J132" s="0" t="n">
        <v>21.1</v>
      </c>
    </row>
    <row r="133" customFormat="false" ht="14.25" hidden="false" customHeight="false" outlineLevel="0" collapsed="false">
      <c r="G133" s="0" t="s">
        <v>429</v>
      </c>
      <c r="J133" s="0" t="n">
        <v>84.4</v>
      </c>
    </row>
    <row r="134" customFormat="false" ht="14.25" hidden="false" customHeight="false" outlineLevel="0" collapsed="false">
      <c r="G134" s="0" t="s">
        <v>431</v>
      </c>
      <c r="J134" s="0" t="n">
        <v>30.3</v>
      </c>
    </row>
    <row r="135" customFormat="false" ht="14.25" hidden="false" customHeight="false" outlineLevel="0" collapsed="false">
      <c r="G135" s="0" t="s">
        <v>433</v>
      </c>
      <c r="J135" s="0" t="n">
        <v>20.5</v>
      </c>
    </row>
    <row r="136" customFormat="false" ht="14.25" hidden="false" customHeight="false" outlineLevel="0" collapsed="false">
      <c r="G136" s="0" t="s">
        <v>437</v>
      </c>
      <c r="J136" s="0" t="n">
        <v>21.3</v>
      </c>
    </row>
    <row r="137" customFormat="false" ht="14.25" hidden="false" customHeight="false" outlineLevel="0" collapsed="false">
      <c r="G137" s="0" t="s">
        <v>441</v>
      </c>
      <c r="J137" s="0" t="n">
        <v>85.2</v>
      </c>
    </row>
    <row r="138" customFormat="false" ht="14.25" hidden="false" customHeight="false" outlineLevel="0" collapsed="false">
      <c r="G138" s="0" t="s">
        <v>443</v>
      </c>
      <c r="J138" s="0" t="n">
        <v>18.96</v>
      </c>
    </row>
    <row r="139" customFormat="false" ht="14.25" hidden="false" customHeight="false" outlineLevel="0" collapsed="false">
      <c r="G139" s="0" t="s">
        <v>446</v>
      </c>
      <c r="J139" s="0" t="n">
        <v>75.84</v>
      </c>
    </row>
    <row r="140" customFormat="false" ht="14.25" hidden="false" customHeight="false" outlineLevel="0" collapsed="false">
      <c r="G140" s="0" t="s">
        <v>448</v>
      </c>
      <c r="J140" s="0" t="n">
        <v>18.1</v>
      </c>
    </row>
    <row r="141" customFormat="false" ht="14.25" hidden="false" customHeight="false" outlineLevel="0" collapsed="false">
      <c r="G141" s="0" t="s">
        <v>451</v>
      </c>
      <c r="J141" s="0" t="n">
        <v>72.4</v>
      </c>
    </row>
    <row r="142" customFormat="false" ht="14.25" hidden="false" customHeight="false" outlineLevel="0" collapsed="false">
      <c r="G142" s="0" t="s">
        <v>454</v>
      </c>
      <c r="J142" s="0" t="n">
        <v>14.5</v>
      </c>
    </row>
    <row r="143" customFormat="false" ht="14.25" hidden="false" customHeight="false" outlineLevel="0" collapsed="false">
      <c r="G143" s="0" t="s">
        <v>456</v>
      </c>
      <c r="J143" s="0" t="n">
        <v>15.65</v>
      </c>
    </row>
    <row r="144" customFormat="false" ht="14.25" hidden="false" customHeight="false" outlineLevel="0" collapsed="false">
      <c r="G144" s="0" t="s">
        <v>459</v>
      </c>
      <c r="J144" s="0" t="n">
        <v>62.6</v>
      </c>
    </row>
    <row r="145" customFormat="false" ht="14.25" hidden="false" customHeight="false" outlineLevel="0" collapsed="false">
      <c r="G145" s="0" t="s">
        <v>463</v>
      </c>
      <c r="J145" s="0" t="n">
        <v>73.2</v>
      </c>
    </row>
    <row r="146" customFormat="false" ht="14.25" hidden="false" customHeight="false" outlineLevel="0" collapsed="false">
      <c r="G146" s="0" t="s">
        <v>466</v>
      </c>
      <c r="J146" s="0" t="n">
        <v>28.46</v>
      </c>
    </row>
    <row r="147" customFormat="false" ht="14.25" hidden="false" customHeight="false" outlineLevel="0" collapsed="false">
      <c r="G147" s="0" t="s">
        <v>468</v>
      </c>
      <c r="J147" s="0" t="n">
        <v>27.4</v>
      </c>
    </row>
    <row r="148" customFormat="false" ht="14.25" hidden="false" customHeight="false" outlineLevel="0" collapsed="false">
      <c r="G148" s="0" t="s">
        <v>471</v>
      </c>
      <c r="J148" s="0" t="n">
        <v>18.3</v>
      </c>
    </row>
    <row r="149" customFormat="false" ht="14.25" hidden="false" customHeight="false" outlineLevel="0" collapsed="false">
      <c r="G149" s="0" t="s">
        <v>473</v>
      </c>
      <c r="J149" s="0" t="n">
        <v>3</v>
      </c>
    </row>
    <row r="150" customFormat="false" ht="14.25" hidden="false" customHeight="false" outlineLevel="0" collapsed="false">
      <c r="G150" s="0" t="s">
        <v>476</v>
      </c>
      <c r="J150" s="0" t="n">
        <v>18.4</v>
      </c>
    </row>
    <row r="151" customFormat="false" ht="14.25" hidden="false" customHeight="false" outlineLevel="0" collapsed="false">
      <c r="G151" s="0" t="s">
        <v>478</v>
      </c>
      <c r="J151" s="0" t="n">
        <v>30.46</v>
      </c>
    </row>
    <row r="152" customFormat="false" ht="14.25" hidden="false" customHeight="false" outlineLevel="0" collapsed="false">
      <c r="G152" s="0" t="s">
        <v>481</v>
      </c>
      <c r="J152" s="0" t="n">
        <v>22.57</v>
      </c>
    </row>
    <row r="153" customFormat="false" ht="14.25" hidden="false" customHeight="false" outlineLevel="0" collapsed="false">
      <c r="G153" s="0" t="s">
        <v>483</v>
      </c>
      <c r="J153" s="0" t="n">
        <v>22.38</v>
      </c>
    </row>
    <row r="154" customFormat="false" ht="14.25" hidden="false" customHeight="false" outlineLevel="0" collapsed="false">
      <c r="G154" s="0" t="s">
        <v>492</v>
      </c>
    </row>
    <row r="155" customFormat="false" ht="14.25" hidden="false" customHeight="false" outlineLevel="0" collapsed="false">
      <c r="G155" s="0" t="s">
        <v>494</v>
      </c>
    </row>
    <row r="156" customFormat="false" ht="14.25" hidden="false" customHeight="false" outlineLevel="0" collapsed="false">
      <c r="G156" s="0" t="s">
        <v>496</v>
      </c>
    </row>
    <row r="157" customFormat="false" ht="14.25" hidden="false" customHeight="false" outlineLevel="0" collapsed="false">
      <c r="G157" s="0" t="s">
        <v>498</v>
      </c>
    </row>
    <row r="158" customFormat="false" ht="14.25" hidden="false" customHeight="false" outlineLevel="0" collapsed="false">
      <c r="G158" s="0" t="s">
        <v>501</v>
      </c>
    </row>
    <row r="159" customFormat="false" ht="14.25" hidden="false" customHeight="false" outlineLevel="0" collapsed="false">
      <c r="G159" s="0" t="s">
        <v>503</v>
      </c>
    </row>
    <row r="160" customFormat="false" ht="14.25" hidden="false" customHeight="false" outlineLevel="0" collapsed="false">
      <c r="G160" s="0" t="s">
        <v>506</v>
      </c>
    </row>
    <row r="161" customFormat="false" ht="14.25" hidden="false" customHeight="false" outlineLevel="0" collapsed="false">
      <c r="G161" s="0" t="s">
        <v>512</v>
      </c>
    </row>
    <row r="162" customFormat="false" ht="14.25" hidden="false" customHeight="false" outlineLevel="0" collapsed="false">
      <c r="G162" s="0" t="s">
        <v>514</v>
      </c>
    </row>
    <row r="163" customFormat="false" ht="14.25" hidden="false" customHeight="false" outlineLevel="0" collapsed="false">
      <c r="G163" s="0" t="s">
        <v>518</v>
      </c>
    </row>
    <row r="164" customFormat="false" ht="14.25" hidden="false" customHeight="false" outlineLevel="0" collapsed="false">
      <c r="G164" s="0" t="s">
        <v>520</v>
      </c>
    </row>
    <row r="165" customFormat="false" ht="14.25" hidden="false" customHeight="false" outlineLevel="0" collapsed="false">
      <c r="G165" s="0" t="s">
        <v>523</v>
      </c>
    </row>
    <row r="166" customFormat="false" ht="14.25" hidden="false" customHeight="false" outlineLevel="0" collapsed="false">
      <c r="G166" s="0" t="s">
        <v>525</v>
      </c>
    </row>
    <row r="167" customFormat="false" ht="14.25" hidden="false" customHeight="false" outlineLevel="0" collapsed="false">
      <c r="G167" s="0" t="s">
        <v>528</v>
      </c>
    </row>
    <row r="168" customFormat="false" ht="14.25" hidden="false" customHeight="false" outlineLevel="0" collapsed="false">
      <c r="G168" s="0" t="s">
        <v>532</v>
      </c>
    </row>
    <row r="169" customFormat="false" ht="14.25" hidden="false" customHeight="false" outlineLevel="0" collapsed="false">
      <c r="G169" s="0" t="s">
        <v>534</v>
      </c>
    </row>
    <row r="170" customFormat="false" ht="14.25" hidden="false" customHeight="false" outlineLevel="0" collapsed="false">
      <c r="G170" s="0" t="s">
        <v>538</v>
      </c>
    </row>
    <row r="171" customFormat="false" ht="14.25" hidden="false" customHeight="false" outlineLevel="0" collapsed="false">
      <c r="G171" s="0" t="s">
        <v>540</v>
      </c>
    </row>
    <row r="172" customFormat="false" ht="14.25" hidden="false" customHeight="false" outlineLevel="0" collapsed="false">
      <c r="G172" s="0" t="s">
        <v>543</v>
      </c>
    </row>
    <row r="173" customFormat="false" ht="14.25" hidden="false" customHeight="false" outlineLevel="0" collapsed="false">
      <c r="G173" s="0" t="s">
        <v>546</v>
      </c>
    </row>
    <row r="174" customFormat="false" ht="14.25" hidden="false" customHeight="false" outlineLevel="0" collapsed="false">
      <c r="G174" s="0" t="s">
        <v>553</v>
      </c>
    </row>
    <row r="175" customFormat="false" ht="14.25" hidden="false" customHeight="false" outlineLevel="0" collapsed="false">
      <c r="G175" s="0" t="s">
        <v>555</v>
      </c>
    </row>
    <row r="176" customFormat="false" ht="14.25" hidden="false" customHeight="false" outlineLevel="0" collapsed="false">
      <c r="G176" s="0" t="s">
        <v>557</v>
      </c>
    </row>
    <row r="177" customFormat="false" ht="14.25" hidden="false" customHeight="false" outlineLevel="0" collapsed="false">
      <c r="G177" s="0" t="s">
        <v>560</v>
      </c>
    </row>
    <row r="178" customFormat="false" ht="14.25" hidden="false" customHeight="false" outlineLevel="0" collapsed="false">
      <c r="G178" s="0" t="s">
        <v>563</v>
      </c>
    </row>
    <row r="179" customFormat="false" ht="14.25" hidden="false" customHeight="false" outlineLevel="0" collapsed="false">
      <c r="G179" s="0" t="s">
        <v>565</v>
      </c>
    </row>
    <row r="180" customFormat="false" ht="14.25" hidden="false" customHeight="false" outlineLevel="0" collapsed="false">
      <c r="G180" s="0" t="s">
        <v>567</v>
      </c>
    </row>
    <row r="181" customFormat="false" ht="14.25" hidden="false" customHeight="false" outlineLevel="0" collapsed="false">
      <c r="G181" s="0" t="s">
        <v>569</v>
      </c>
    </row>
    <row r="182" customFormat="false" ht="14.25" hidden="false" customHeight="false" outlineLevel="0" collapsed="false">
      <c r="G182" s="0" t="s">
        <v>571</v>
      </c>
    </row>
    <row r="183" customFormat="false" ht="14.25" hidden="false" customHeight="false" outlineLevel="0" collapsed="false">
      <c r="G183" s="0" t="s">
        <v>573</v>
      </c>
    </row>
    <row r="184" customFormat="false" ht="14.25" hidden="false" customHeight="false" outlineLevel="0" collapsed="false">
      <c r="G184" s="0" t="s">
        <v>575</v>
      </c>
    </row>
    <row r="185" customFormat="false" ht="14.25" hidden="false" customHeight="false" outlineLevel="0" collapsed="false">
      <c r="G185" s="0" t="s">
        <v>577</v>
      </c>
    </row>
    <row r="186" customFormat="false" ht="14.25" hidden="false" customHeight="false" outlineLevel="0" collapsed="false">
      <c r="G186" s="0" t="s">
        <v>579</v>
      </c>
    </row>
    <row r="187" customFormat="false" ht="14.25" hidden="false" customHeight="false" outlineLevel="0" collapsed="false">
      <c r="G187" s="0" t="s">
        <v>582</v>
      </c>
    </row>
    <row r="188" customFormat="false" ht="14.25" hidden="false" customHeight="false" outlineLevel="0" collapsed="false">
      <c r="G188" s="0" t="s">
        <v>584</v>
      </c>
    </row>
    <row r="189" customFormat="false" ht="14.25" hidden="false" customHeight="false" outlineLevel="0" collapsed="false">
      <c r="G189" s="0" t="s">
        <v>586</v>
      </c>
    </row>
    <row r="190" customFormat="false" ht="14.25" hidden="false" customHeight="false" outlineLevel="0" collapsed="false">
      <c r="G190" s="0" t="s">
        <v>588</v>
      </c>
    </row>
    <row r="191" customFormat="false" ht="14.25" hidden="false" customHeight="false" outlineLevel="0" collapsed="false">
      <c r="G191" s="0" t="s">
        <v>590</v>
      </c>
    </row>
    <row r="192" customFormat="false" ht="14.25" hidden="false" customHeight="false" outlineLevel="0" collapsed="false">
      <c r="G192" s="0" t="s">
        <v>592</v>
      </c>
    </row>
    <row r="193" customFormat="false" ht="14.25" hidden="false" customHeight="false" outlineLevel="0" collapsed="false">
      <c r="G193" s="0" t="s">
        <v>594</v>
      </c>
    </row>
    <row r="194" customFormat="false" ht="14.25" hidden="false" customHeight="false" outlineLevel="0" collapsed="false">
      <c r="G194" s="0" t="s">
        <v>596</v>
      </c>
    </row>
    <row r="195" customFormat="false" ht="14.25" hidden="false" customHeight="false" outlineLevel="0" collapsed="false">
      <c r="G195" s="0" t="s">
        <v>598</v>
      </c>
    </row>
    <row r="196" customFormat="false" ht="14.25" hidden="false" customHeight="false" outlineLevel="0" collapsed="false">
      <c r="G196" s="0" t="s">
        <v>600</v>
      </c>
    </row>
    <row r="197" customFormat="false" ht="14.25" hidden="false" customHeight="false" outlineLevel="0" collapsed="false">
      <c r="G197" s="0" t="s">
        <v>602</v>
      </c>
    </row>
    <row r="198" customFormat="false" ht="14.25" hidden="false" customHeight="false" outlineLevel="0" collapsed="false">
      <c r="G198" s="0" t="s">
        <v>604</v>
      </c>
    </row>
    <row r="199" customFormat="false" ht="14.25" hidden="false" customHeight="false" outlineLevel="0" collapsed="false">
      <c r="G199" s="0" t="s">
        <v>606</v>
      </c>
    </row>
    <row r="200" customFormat="false" ht="14.25" hidden="false" customHeight="false" outlineLevel="0" collapsed="false">
      <c r="G200" s="0" t="s">
        <v>608</v>
      </c>
    </row>
    <row r="201" customFormat="false" ht="14.25" hidden="false" customHeight="false" outlineLevel="0" collapsed="false">
      <c r="G201" s="0" t="s">
        <v>610</v>
      </c>
    </row>
    <row r="202" customFormat="false" ht="14.25" hidden="false" customHeight="false" outlineLevel="0" collapsed="false">
      <c r="G202" s="0" t="s">
        <v>612</v>
      </c>
    </row>
    <row r="203" customFormat="false" ht="14.25" hidden="false" customHeight="false" outlineLevel="0" collapsed="false">
      <c r="G203" s="0" t="s">
        <v>614</v>
      </c>
    </row>
    <row r="204" customFormat="false" ht="14.25" hidden="false" customHeight="false" outlineLevel="0" collapsed="false">
      <c r="G204" s="0" t="s">
        <v>616</v>
      </c>
    </row>
    <row r="205" customFormat="false" ht="14.25" hidden="false" customHeight="false" outlineLevel="0" collapsed="false">
      <c r="G205" s="0" t="s">
        <v>618</v>
      </c>
    </row>
    <row r="206" customFormat="false" ht="14.25" hidden="false" customHeight="false" outlineLevel="0" collapsed="false">
      <c r="G206" s="0" t="s">
        <v>620</v>
      </c>
    </row>
    <row r="207" customFormat="false" ht="14.25" hidden="false" customHeight="false" outlineLevel="0" collapsed="false">
      <c r="G207" s="0" t="s">
        <v>622</v>
      </c>
    </row>
    <row r="208" customFormat="false" ht="14.25" hidden="false" customHeight="false" outlineLevel="0" collapsed="false">
      <c r="G208" s="0" t="s">
        <v>624</v>
      </c>
    </row>
    <row r="209" customFormat="false" ht="14.25" hidden="false" customHeight="false" outlineLevel="0" collapsed="false">
      <c r="G209" s="0" t="s">
        <v>628</v>
      </c>
    </row>
    <row r="210" customFormat="false" ht="14.25" hidden="false" customHeight="false" outlineLevel="0" collapsed="false">
      <c r="G210" s="0" t="s">
        <v>631</v>
      </c>
    </row>
    <row r="211" customFormat="false" ht="14.25" hidden="false" customHeight="false" outlineLevel="0" collapsed="false">
      <c r="G211" s="0" t="s">
        <v>633</v>
      </c>
    </row>
    <row r="212" customFormat="false" ht="14.25" hidden="false" customHeight="false" outlineLevel="0" collapsed="false">
      <c r="G212" s="0" t="s">
        <v>635</v>
      </c>
    </row>
    <row r="213" customFormat="false" ht="14.25" hidden="false" customHeight="false" outlineLevel="0" collapsed="false">
      <c r="G213" s="0" t="s">
        <v>637</v>
      </c>
    </row>
    <row r="214" customFormat="false" ht="14.25" hidden="false" customHeight="false" outlineLevel="0" collapsed="false">
      <c r="G214" s="0" t="s">
        <v>639</v>
      </c>
    </row>
    <row r="215" customFormat="false" ht="14.25" hidden="false" customHeight="false" outlineLevel="0" collapsed="false">
      <c r="G215" s="0" t="s">
        <v>642</v>
      </c>
    </row>
    <row r="216" customFormat="false" ht="14.25" hidden="false" customHeight="false" outlineLevel="0" collapsed="false">
      <c r="G216" s="0" t="s">
        <v>645</v>
      </c>
    </row>
    <row r="217" customFormat="false" ht="14.25" hidden="false" customHeight="false" outlineLevel="0" collapsed="false">
      <c r="G217" s="0" t="s">
        <v>647</v>
      </c>
    </row>
    <row r="218" customFormat="false" ht="14.25" hidden="false" customHeight="false" outlineLevel="0" collapsed="false">
      <c r="G218" s="0" t="s">
        <v>651</v>
      </c>
    </row>
    <row r="219" customFormat="false" ht="14.25" hidden="false" customHeight="false" outlineLevel="0" collapsed="false">
      <c r="G219" s="0" t="s">
        <v>654</v>
      </c>
    </row>
    <row r="220" customFormat="false" ht="14.25" hidden="false" customHeight="false" outlineLevel="0" collapsed="false">
      <c r="G220" s="0" t="s">
        <v>660</v>
      </c>
    </row>
    <row r="221" customFormat="false" ht="14.25" hidden="false" customHeight="false" outlineLevel="0" collapsed="false">
      <c r="G221" s="0" t="s">
        <v>663</v>
      </c>
    </row>
    <row r="222" customFormat="false" ht="14.25" hidden="false" customHeight="false" outlineLevel="0" collapsed="false">
      <c r="G222" s="0" t="s">
        <v>666</v>
      </c>
    </row>
    <row r="223" customFormat="false" ht="14.25" hidden="false" customHeight="false" outlineLevel="0" collapsed="false">
      <c r="G223" s="0" t="s">
        <v>669</v>
      </c>
    </row>
    <row r="224" customFormat="false" ht="14.25" hidden="false" customHeight="false" outlineLevel="0" collapsed="false">
      <c r="G224" s="0" t="s">
        <v>672</v>
      </c>
    </row>
    <row r="225" customFormat="false" ht="14.25" hidden="false" customHeight="false" outlineLevel="0" collapsed="false">
      <c r="G225" s="0" t="s">
        <v>675</v>
      </c>
    </row>
    <row r="226" customFormat="false" ht="14.25" hidden="false" customHeight="false" outlineLevel="0" collapsed="false">
      <c r="G226" s="0" t="s">
        <v>678</v>
      </c>
    </row>
    <row r="227" customFormat="false" ht="14.25" hidden="false" customHeight="false" outlineLevel="0" collapsed="false">
      <c r="G227" s="0" t="s">
        <v>681</v>
      </c>
    </row>
    <row r="228" customFormat="false" ht="14.25" hidden="false" customHeight="false" outlineLevel="0" collapsed="false">
      <c r="G228" s="0" t="s">
        <v>685</v>
      </c>
    </row>
    <row r="229" customFormat="false" ht="14.25" hidden="false" customHeight="false" outlineLevel="0" collapsed="false">
      <c r="G229" s="0" t="s">
        <v>688</v>
      </c>
    </row>
    <row r="230" customFormat="false" ht="14.25" hidden="false" customHeight="false" outlineLevel="0" collapsed="false">
      <c r="G230" s="0" t="s">
        <v>692</v>
      </c>
    </row>
    <row r="231" customFormat="false" ht="14.25" hidden="false" customHeight="false" outlineLevel="0" collapsed="false">
      <c r="G231" s="0" t="s">
        <v>695</v>
      </c>
    </row>
    <row r="232" customFormat="false" ht="14.25" hidden="false" customHeight="false" outlineLevel="0" collapsed="false">
      <c r="G232" s="0" t="s">
        <v>698</v>
      </c>
    </row>
    <row r="233" customFormat="false" ht="14.25" hidden="false" customHeight="false" outlineLevel="0" collapsed="false">
      <c r="G233" s="0" t="s">
        <v>702</v>
      </c>
    </row>
    <row r="234" customFormat="false" ht="14.25" hidden="false" customHeight="false" outlineLevel="0" collapsed="false">
      <c r="G234" s="0" t="s">
        <v>705</v>
      </c>
    </row>
    <row r="235" customFormat="false" ht="14.25" hidden="false" customHeight="false" outlineLevel="0" collapsed="false">
      <c r="G235" s="0" t="s">
        <v>708</v>
      </c>
    </row>
    <row r="236" customFormat="false" ht="14.25" hidden="false" customHeight="false" outlineLevel="0" collapsed="false">
      <c r="G236" s="0" t="s">
        <v>711</v>
      </c>
    </row>
    <row r="237" customFormat="false" ht="14.25" hidden="false" customHeight="false" outlineLevel="0" collapsed="false">
      <c r="G237" s="0" t="s">
        <v>714</v>
      </c>
    </row>
    <row r="238" customFormat="false" ht="14.25" hidden="false" customHeight="false" outlineLevel="0" collapsed="false">
      <c r="G238" s="0" t="s">
        <v>717</v>
      </c>
    </row>
    <row r="239" customFormat="false" ht="14.25" hidden="false" customHeight="false" outlineLevel="0" collapsed="false">
      <c r="G239" s="0" t="s">
        <v>720</v>
      </c>
    </row>
    <row r="240" customFormat="false" ht="14.25" hidden="false" customHeight="false" outlineLevel="0" collapsed="false">
      <c r="G240" s="0" t="s">
        <v>722</v>
      </c>
    </row>
    <row r="241" customFormat="false" ht="14.25" hidden="false" customHeight="false" outlineLevel="0" collapsed="false">
      <c r="G241" s="0" t="s">
        <v>724</v>
      </c>
    </row>
    <row r="242" customFormat="false" ht="14.25" hidden="false" customHeight="false" outlineLevel="0" collapsed="false">
      <c r="G242" s="0" t="s">
        <v>726</v>
      </c>
    </row>
    <row r="243" customFormat="false" ht="14.25" hidden="false" customHeight="false" outlineLevel="0" collapsed="false">
      <c r="G243" s="0" t="s">
        <v>729</v>
      </c>
    </row>
    <row r="244" customFormat="false" ht="14.25" hidden="false" customHeight="false" outlineLevel="0" collapsed="false">
      <c r="G244" s="0" t="s">
        <v>732</v>
      </c>
    </row>
    <row r="245" customFormat="false" ht="14.25" hidden="false" customHeight="false" outlineLevel="0" collapsed="false">
      <c r="G245" s="0" t="s">
        <v>734</v>
      </c>
    </row>
    <row r="246" customFormat="false" ht="14.25" hidden="false" customHeight="false" outlineLevel="0" collapsed="false">
      <c r="G246" s="0" t="s">
        <v>738</v>
      </c>
    </row>
    <row r="247" customFormat="false" ht="14.25" hidden="false" customHeight="false" outlineLevel="0" collapsed="false">
      <c r="G247" s="0" t="s">
        <v>741</v>
      </c>
    </row>
    <row r="248" customFormat="false" ht="14.25" hidden="false" customHeight="false" outlineLevel="0" collapsed="false">
      <c r="G248" s="0" t="s">
        <v>746</v>
      </c>
    </row>
    <row r="249" customFormat="false" ht="14.25" hidden="false" customHeight="false" outlineLevel="0" collapsed="false">
      <c r="G249" s="0" t="s">
        <v>749</v>
      </c>
    </row>
    <row r="250" customFormat="false" ht="14.25" hidden="false" customHeight="false" outlineLevel="0" collapsed="false">
      <c r="G250" s="0" t="s">
        <v>752</v>
      </c>
    </row>
    <row r="251" customFormat="false" ht="14.25" hidden="false" customHeight="false" outlineLevel="0" collapsed="false">
      <c r="G251" s="0" t="s">
        <v>755</v>
      </c>
    </row>
    <row r="252" customFormat="false" ht="14.25" hidden="false" customHeight="false" outlineLevel="0" collapsed="false">
      <c r="G252" s="0" t="s">
        <v>758</v>
      </c>
    </row>
    <row r="253" customFormat="false" ht="14.25" hidden="false" customHeight="false" outlineLevel="0" collapsed="false">
      <c r="G253" s="0" t="s">
        <v>761</v>
      </c>
    </row>
    <row r="254" customFormat="false" ht="14.25" hidden="false" customHeight="false" outlineLevel="0" collapsed="false">
      <c r="G254" s="0" t="s">
        <v>764</v>
      </c>
    </row>
    <row r="255" customFormat="false" ht="14.25" hidden="false" customHeight="false" outlineLevel="0" collapsed="false">
      <c r="G255" s="0" t="s">
        <v>767</v>
      </c>
    </row>
    <row r="256" customFormat="false" ht="14.25" hidden="false" customHeight="false" outlineLevel="0" collapsed="false">
      <c r="G256" s="0" t="s">
        <v>771</v>
      </c>
    </row>
    <row r="257" customFormat="false" ht="14.25" hidden="false" customHeight="false" outlineLevel="0" collapsed="false">
      <c r="G257" s="0" t="s">
        <v>774</v>
      </c>
    </row>
    <row r="258" customFormat="false" ht="14.25" hidden="false" customHeight="false" outlineLevel="0" collapsed="false">
      <c r="G258" s="0" t="s">
        <v>777</v>
      </c>
    </row>
    <row r="259" customFormat="false" ht="14.25" hidden="false" customHeight="false" outlineLevel="0" collapsed="false">
      <c r="G259" s="0" t="s">
        <v>780</v>
      </c>
    </row>
    <row r="260" customFormat="false" ht="14.25" hidden="false" customHeight="false" outlineLevel="0" collapsed="false">
      <c r="G260" s="0" t="s">
        <v>783</v>
      </c>
    </row>
    <row r="261" customFormat="false" ht="14.25" hidden="false" customHeight="false" outlineLevel="0" collapsed="false">
      <c r="G261" s="0" t="s">
        <v>788</v>
      </c>
    </row>
    <row r="262" customFormat="false" ht="14.25" hidden="false" customHeight="false" outlineLevel="0" collapsed="false">
      <c r="G262" s="0" t="s">
        <v>793</v>
      </c>
    </row>
    <row r="263" customFormat="false" ht="14.25" hidden="false" customHeight="false" outlineLevel="0" collapsed="false">
      <c r="G263" s="0" t="s">
        <v>798</v>
      </c>
    </row>
    <row r="264" customFormat="false" ht="14.25" hidden="false" customHeight="false" outlineLevel="0" collapsed="false">
      <c r="G264" s="0" t="s">
        <v>804</v>
      </c>
    </row>
    <row r="265" customFormat="false" ht="14.25" hidden="false" customHeight="false" outlineLevel="0" collapsed="false">
      <c r="G265" s="0" t="s">
        <v>809</v>
      </c>
    </row>
    <row r="266" customFormat="false" ht="14.25" hidden="false" customHeight="false" outlineLevel="0" collapsed="false">
      <c r="G266" s="0" t="s">
        <v>814</v>
      </c>
    </row>
    <row r="267" customFormat="false" ht="14.25" hidden="false" customHeight="false" outlineLevel="0" collapsed="false">
      <c r="G267" s="0" t="s">
        <v>817</v>
      </c>
    </row>
    <row r="268" customFormat="false" ht="14.25" hidden="false" customHeight="false" outlineLevel="0" collapsed="false">
      <c r="G268" s="0" t="s">
        <v>820</v>
      </c>
    </row>
    <row r="269" customFormat="false" ht="14.25" hidden="false" customHeight="false" outlineLevel="0" collapsed="false">
      <c r="G269" s="0" t="s">
        <v>825</v>
      </c>
    </row>
    <row r="270" customFormat="false" ht="14.25" hidden="false" customHeight="false" outlineLevel="0" collapsed="false">
      <c r="G270" s="0" t="s">
        <v>831</v>
      </c>
    </row>
    <row r="271" customFormat="false" ht="14.25" hidden="false" customHeight="false" outlineLevel="0" collapsed="false">
      <c r="G271" s="0" t="s">
        <v>836</v>
      </c>
    </row>
    <row r="272" customFormat="false" ht="14.25" hidden="false" customHeight="false" outlineLevel="0" collapsed="false">
      <c r="G272" s="0" t="s">
        <v>841</v>
      </c>
    </row>
    <row r="273" customFormat="false" ht="14.25" hidden="false" customHeight="false" outlineLevel="0" collapsed="false">
      <c r="G273" s="0" t="s">
        <v>844</v>
      </c>
    </row>
    <row r="274" customFormat="false" ht="14.25" hidden="false" customHeight="false" outlineLevel="0" collapsed="false">
      <c r="G274" s="0" t="s">
        <v>847</v>
      </c>
    </row>
    <row r="275" customFormat="false" ht="14.25" hidden="false" customHeight="false" outlineLevel="0" collapsed="false">
      <c r="G275" s="0" t="s">
        <v>854</v>
      </c>
    </row>
    <row r="276" customFormat="false" ht="14.25" hidden="false" customHeight="false" outlineLevel="0" collapsed="false">
      <c r="G276" s="0" t="s">
        <v>859</v>
      </c>
    </row>
    <row r="277" customFormat="false" ht="14.25" hidden="false" customHeight="false" outlineLevel="0" collapsed="false">
      <c r="G277" s="0" t="s">
        <v>864</v>
      </c>
    </row>
    <row r="278" customFormat="false" ht="14.25" hidden="false" customHeight="false" outlineLevel="0" collapsed="false">
      <c r="G278" s="0" t="s">
        <v>869</v>
      </c>
    </row>
    <row r="279" customFormat="false" ht="14.25" hidden="false" customHeight="false" outlineLevel="0" collapsed="false">
      <c r="G279" s="0" t="s">
        <v>872</v>
      </c>
    </row>
    <row r="280" customFormat="false" ht="14.25" hidden="false" customHeight="false" outlineLevel="0" collapsed="false">
      <c r="G280" s="0" t="s">
        <v>874</v>
      </c>
    </row>
    <row r="281" customFormat="false" ht="14.25" hidden="false" customHeight="false" outlineLevel="0" collapsed="false">
      <c r="G281" s="0" t="s">
        <v>877</v>
      </c>
    </row>
    <row r="282" customFormat="false" ht="14.25" hidden="false" customHeight="false" outlineLevel="0" collapsed="false">
      <c r="G282" s="0" t="s">
        <v>879</v>
      </c>
    </row>
    <row r="283" customFormat="false" ht="14.25" hidden="false" customHeight="false" outlineLevel="0" collapsed="false">
      <c r="G283" s="0" t="s">
        <v>882</v>
      </c>
    </row>
    <row r="284" customFormat="false" ht="14.25" hidden="false" customHeight="false" outlineLevel="0" collapsed="false">
      <c r="G284" s="0" t="s">
        <v>885</v>
      </c>
    </row>
    <row r="285" customFormat="false" ht="14.25" hidden="false" customHeight="false" outlineLevel="0" collapsed="false">
      <c r="G285" s="0" t="s">
        <v>888</v>
      </c>
    </row>
    <row r="286" customFormat="false" ht="14.25" hidden="false" customHeight="false" outlineLevel="0" collapsed="false">
      <c r="G286" s="0" t="s">
        <v>891</v>
      </c>
    </row>
    <row r="287" customFormat="false" ht="14.25" hidden="false" customHeight="false" outlineLevel="0" collapsed="false">
      <c r="G287" s="0" t="s">
        <v>893</v>
      </c>
    </row>
    <row r="288" customFormat="false" ht="14.25" hidden="false" customHeight="false" outlineLevel="0" collapsed="false">
      <c r="G288" s="0" t="s">
        <v>897</v>
      </c>
    </row>
    <row r="289" customFormat="false" ht="14.25" hidden="false" customHeight="false" outlineLevel="0" collapsed="false">
      <c r="G289" s="0" t="s">
        <v>900</v>
      </c>
    </row>
    <row r="290" customFormat="false" ht="14.25" hidden="false" customHeight="false" outlineLevel="0" collapsed="false">
      <c r="G290" s="0" t="s">
        <v>905</v>
      </c>
    </row>
    <row r="291" customFormat="false" ht="14.25" hidden="false" customHeight="false" outlineLevel="0" collapsed="false">
      <c r="G291" s="0" t="s">
        <v>907</v>
      </c>
    </row>
    <row r="292" customFormat="false" ht="14.25" hidden="false" customHeight="false" outlineLevel="0" collapsed="false">
      <c r="G292" s="0" t="s">
        <v>910</v>
      </c>
    </row>
    <row r="293" customFormat="false" ht="14.25" hidden="false" customHeight="false" outlineLevel="0" collapsed="false">
      <c r="G293" s="0" t="s">
        <v>913</v>
      </c>
    </row>
    <row r="294" customFormat="false" ht="14.25" hidden="false" customHeight="false" outlineLevel="0" collapsed="false">
      <c r="G294" s="0" t="s">
        <v>915</v>
      </c>
    </row>
    <row r="295" customFormat="false" ht="14.25" hidden="false" customHeight="false" outlineLevel="0" collapsed="false">
      <c r="G295" s="0" t="s">
        <v>918</v>
      </c>
    </row>
    <row r="296" customFormat="false" ht="14.25" hidden="false" customHeight="false" outlineLevel="0" collapsed="false">
      <c r="G296" s="0" t="s">
        <v>920</v>
      </c>
    </row>
    <row r="297" customFormat="false" ht="14.25" hidden="false" customHeight="false" outlineLevel="0" collapsed="false">
      <c r="G297" s="0" t="s">
        <v>923</v>
      </c>
    </row>
    <row r="298" customFormat="false" ht="14.25" hidden="false" customHeight="false" outlineLevel="0" collapsed="false">
      <c r="G298" s="0" t="s">
        <v>925</v>
      </c>
    </row>
    <row r="299" customFormat="false" ht="14.25" hidden="false" customHeight="false" outlineLevel="0" collapsed="false">
      <c r="G299" s="0" t="s">
        <v>928</v>
      </c>
    </row>
    <row r="300" customFormat="false" ht="14.25" hidden="false" customHeight="false" outlineLevel="0" collapsed="false">
      <c r="G300" s="0" t="s">
        <v>930</v>
      </c>
    </row>
    <row r="301" customFormat="false" ht="14.25" hidden="false" customHeight="false" outlineLevel="0" collapsed="false">
      <c r="G301" s="0" t="s">
        <v>932</v>
      </c>
    </row>
    <row r="302" customFormat="false" ht="14.25" hidden="false" customHeight="false" outlineLevel="0" collapsed="false">
      <c r="G302" s="0" t="s">
        <v>935</v>
      </c>
    </row>
    <row r="303" customFormat="false" ht="14.25" hidden="false" customHeight="false" outlineLevel="0" collapsed="false">
      <c r="G303" s="0" t="s">
        <v>938</v>
      </c>
    </row>
    <row r="304" customFormat="false" ht="14.25" hidden="false" customHeight="false" outlineLevel="0" collapsed="false">
      <c r="G304" s="0" t="s">
        <v>941</v>
      </c>
    </row>
    <row r="305" customFormat="false" ht="14.25" hidden="false" customHeight="false" outlineLevel="0" collapsed="false">
      <c r="G305" s="0" t="s">
        <v>946</v>
      </c>
    </row>
    <row r="306" customFormat="false" ht="14.25" hidden="false" customHeight="false" outlineLevel="0" collapsed="false">
      <c r="G306" s="0" t="s">
        <v>948</v>
      </c>
    </row>
    <row r="307" customFormat="false" ht="14.25" hidden="false" customHeight="false" outlineLevel="0" collapsed="false">
      <c r="G307" s="0" t="s">
        <v>952</v>
      </c>
    </row>
    <row r="308" customFormat="false" ht="14.25" hidden="false" customHeight="false" outlineLevel="0" collapsed="false">
      <c r="G308" s="0" t="s">
        <v>954</v>
      </c>
    </row>
    <row r="309" customFormat="false" ht="14.25" hidden="false" customHeight="false" outlineLevel="0" collapsed="false">
      <c r="G309" s="0" t="s">
        <v>957</v>
      </c>
    </row>
    <row r="310" customFormat="false" ht="14.25" hidden="false" customHeight="false" outlineLevel="0" collapsed="false">
      <c r="G310" s="0" t="s">
        <v>959</v>
      </c>
    </row>
    <row r="311" customFormat="false" ht="14.25" hidden="false" customHeight="false" outlineLevel="0" collapsed="false">
      <c r="G311" s="0" t="s">
        <v>962</v>
      </c>
    </row>
    <row r="312" customFormat="false" ht="14.25" hidden="false" customHeight="false" outlineLevel="0" collapsed="false">
      <c r="G312" s="0" t="s">
        <v>964</v>
      </c>
    </row>
    <row r="313" customFormat="false" ht="14.25" hidden="false" customHeight="false" outlineLevel="0" collapsed="false">
      <c r="G313" s="0" t="s">
        <v>967</v>
      </c>
    </row>
    <row r="314" customFormat="false" ht="14.25" hidden="false" customHeight="false" outlineLevel="0" collapsed="false">
      <c r="G314" s="0" t="s">
        <v>969</v>
      </c>
    </row>
    <row r="315" customFormat="false" ht="14.25" hidden="false" customHeight="false" outlineLevel="0" collapsed="false">
      <c r="G315" s="0" t="s">
        <v>972</v>
      </c>
    </row>
    <row r="316" customFormat="false" ht="14.25" hidden="false" customHeight="false" outlineLevel="0" collapsed="false">
      <c r="G316" s="0" t="s">
        <v>974</v>
      </c>
    </row>
    <row r="317" customFormat="false" ht="14.25" hidden="false" customHeight="false" outlineLevel="0" collapsed="false">
      <c r="G317" s="0" t="s">
        <v>977</v>
      </c>
    </row>
    <row r="318" customFormat="false" ht="14.25" hidden="false" customHeight="false" outlineLevel="0" collapsed="false">
      <c r="G318" s="0" t="s">
        <v>979</v>
      </c>
    </row>
    <row r="319" customFormat="false" ht="14.25" hidden="false" customHeight="false" outlineLevel="0" collapsed="false">
      <c r="G319" s="0" t="s">
        <v>981</v>
      </c>
    </row>
    <row r="320" customFormat="false" ht="14.25" hidden="false" customHeight="false" outlineLevel="0" collapsed="false">
      <c r="G320" s="0" t="s">
        <v>984</v>
      </c>
    </row>
    <row r="321" customFormat="false" ht="14.25" hidden="false" customHeight="false" outlineLevel="0" collapsed="false">
      <c r="G321" s="0" t="s">
        <v>987</v>
      </c>
    </row>
    <row r="322" customFormat="false" ht="14.25" hidden="false" customHeight="false" outlineLevel="0" collapsed="false">
      <c r="G322" s="0" t="s">
        <v>992</v>
      </c>
    </row>
    <row r="323" customFormat="false" ht="14.25" hidden="false" customHeight="false" outlineLevel="0" collapsed="false">
      <c r="G323" s="0" t="s">
        <v>995</v>
      </c>
    </row>
    <row r="324" customFormat="false" ht="14.25" hidden="false" customHeight="false" outlineLevel="0" collapsed="false">
      <c r="G324" s="0" t="s">
        <v>998</v>
      </c>
    </row>
    <row r="325" customFormat="false" ht="14.25" hidden="false" customHeight="false" outlineLevel="0" collapsed="false">
      <c r="G325" s="0" t="s">
        <v>1000</v>
      </c>
    </row>
    <row r="326" customFormat="false" ht="14.25" hidden="false" customHeight="false" outlineLevel="0" collapsed="false">
      <c r="G326" s="0" t="s">
        <v>1002</v>
      </c>
    </row>
    <row r="327" customFormat="false" ht="14.25" hidden="false" customHeight="false" outlineLevel="0" collapsed="false">
      <c r="G327" s="0" t="s">
        <v>1004</v>
      </c>
    </row>
    <row r="328" customFormat="false" ht="14.25" hidden="false" customHeight="false" outlineLevel="0" collapsed="false">
      <c r="G328" s="0" t="s">
        <v>1008</v>
      </c>
    </row>
    <row r="329" customFormat="false" ht="14.25" hidden="false" customHeight="false" outlineLevel="0" collapsed="false">
      <c r="G329" s="0" t="s">
        <v>1011</v>
      </c>
    </row>
    <row r="330" customFormat="false" ht="14.25" hidden="false" customHeight="false" outlineLevel="0" collapsed="false">
      <c r="G330" s="0" t="s">
        <v>1013</v>
      </c>
    </row>
    <row r="331" customFormat="false" ht="14.25" hidden="false" customHeight="false" outlineLevel="0" collapsed="false">
      <c r="G331" s="0" t="s">
        <v>1015</v>
      </c>
    </row>
    <row r="332" customFormat="false" ht="14.25" hidden="false" customHeight="false" outlineLevel="0" collapsed="false">
      <c r="G332" s="0" t="s">
        <v>1018</v>
      </c>
    </row>
    <row r="333" customFormat="false" ht="14.25" hidden="false" customHeight="false" outlineLevel="0" collapsed="false">
      <c r="G333" s="0" t="s">
        <v>1020</v>
      </c>
    </row>
    <row r="334" customFormat="false" ht="14.25" hidden="false" customHeight="false" outlineLevel="0" collapsed="false">
      <c r="G334" s="0" t="s">
        <v>1022</v>
      </c>
    </row>
    <row r="335" customFormat="false" ht="14.25" hidden="false" customHeight="false" outlineLevel="0" collapsed="false">
      <c r="G335" s="0" t="s">
        <v>1026</v>
      </c>
    </row>
    <row r="336" customFormat="false" ht="14.25" hidden="false" customHeight="false" outlineLevel="0" collapsed="false">
      <c r="G336" s="0" t="s">
        <v>1029</v>
      </c>
    </row>
    <row r="337" customFormat="false" ht="14.25" hidden="false" customHeight="false" outlineLevel="0" collapsed="false">
      <c r="G337" s="0" t="s">
        <v>1031</v>
      </c>
    </row>
    <row r="338" customFormat="false" ht="14.25" hidden="false" customHeight="false" outlineLevel="0" collapsed="false">
      <c r="G338" s="0" t="s">
        <v>1033</v>
      </c>
    </row>
    <row r="339" customFormat="false" ht="14.25" hidden="false" customHeight="false" outlineLevel="0" collapsed="false">
      <c r="G339" s="0" t="s">
        <v>1036</v>
      </c>
    </row>
    <row r="340" customFormat="false" ht="14.25" hidden="false" customHeight="false" outlineLevel="0" collapsed="false">
      <c r="G340" s="0" t="s">
        <v>1038</v>
      </c>
    </row>
    <row r="341" customFormat="false" ht="14.25" hidden="false" customHeight="false" outlineLevel="0" collapsed="false">
      <c r="G341" s="0" t="s">
        <v>1041</v>
      </c>
    </row>
  </sheetData>
  <sheetProtection algorithmName="SHA-512" hashValue="dRfjJz6i6bX9c5aBnMg0txW/FNhjPe5EToBzAXrbzRYcEMa1k5d0c9mYt3iWk5ZGuZzgL5ySfrZvZWWMM09ddw==" saltValue="V2xKiOtG2X8jdRz8JY1Pqw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45"/>
    <pageSetUpPr fitToPage="false"/>
  </sheetPr>
  <dimension ref="A1:N487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pane xSplit="0" ySplit="5" topLeftCell="A485" activePane="bottomLeft" state="frozen"/>
      <selection pane="topLeft" activeCell="J1" activeCellId="0" sqref="J1"/>
      <selection pane="bottomLeft" activeCell="L487" activeCellId="1" sqref="A1 L48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6" min="4" style="0" width="10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40"/>
  </cols>
  <sheetData>
    <row r="1" customFormat="false" ht="25.5" hidden="false" customHeight="true" outlineLevel="0" collapsed="false">
      <c r="A1" s="6" t="s">
        <v>1098</v>
      </c>
    </row>
    <row r="2" customFormat="false" ht="124.6" hidden="false" customHeight="false" outlineLevel="0" collapsed="false">
      <c r="A2" s="10" t="s">
        <v>1099</v>
      </c>
    </row>
    <row r="3" customFormat="false" ht="35.05" hidden="false" customHeight="false" outlineLevel="0" collapsed="false">
      <c r="B3" s="10" t="s">
        <v>1100</v>
      </c>
    </row>
    <row r="5" customFormat="false" ht="30" hidden="false" customHeight="true" outlineLevel="0" collapsed="false">
      <c r="A5" s="6" t="s">
        <v>1068</v>
      </c>
      <c r="B5" s="6" t="s">
        <v>1101</v>
      </c>
      <c r="C5" s="6" t="s">
        <v>1102</v>
      </c>
      <c r="D5" s="6" t="s">
        <v>1103</v>
      </c>
      <c r="E5" s="6" t="s">
        <v>1104</v>
      </c>
      <c r="F5" s="6" t="s">
        <v>39</v>
      </c>
      <c r="G5" s="6" t="s">
        <v>1105</v>
      </c>
      <c r="H5" s="6" t="s">
        <v>20</v>
      </c>
      <c r="I5" s="6" t="s">
        <v>1106</v>
      </c>
      <c r="J5" s="6" t="s">
        <v>1107</v>
      </c>
      <c r="K5" s="6" t="s">
        <v>1108</v>
      </c>
      <c r="L5" s="6" t="s">
        <v>1109</v>
      </c>
      <c r="M5" s="6" t="s">
        <v>45</v>
      </c>
      <c r="N5" s="6" t="s">
        <v>22</v>
      </c>
    </row>
    <row r="6" customFormat="false" ht="15" hidden="false" customHeight="false" outlineLevel="0" collapsed="false">
      <c r="A6" s="12" t="n">
        <v>46303</v>
      </c>
      <c r="B6" s="10" t="s">
        <v>1110</v>
      </c>
      <c r="C6" s="10" t="s">
        <v>1045</v>
      </c>
      <c r="D6" s="15" t="n">
        <v>25</v>
      </c>
      <c r="E6" s="10" t="s">
        <v>77</v>
      </c>
      <c r="F6" s="10" t="s">
        <v>1111</v>
      </c>
      <c r="G6" s="10"/>
      <c r="H6" s="15"/>
      <c r="I6" s="10" t="s">
        <v>1045</v>
      </c>
      <c r="J6" s="10" t="n">
        <v>25</v>
      </c>
      <c r="K6" s="10" t="s">
        <v>77</v>
      </c>
      <c r="L6" s="10" t="s">
        <v>1066</v>
      </c>
      <c r="M6" s="10" t="n">
        <v>1</v>
      </c>
      <c r="N6" s="10" t="s">
        <v>1046</v>
      </c>
    </row>
    <row r="7" customFormat="false" ht="15" hidden="false" customHeight="false" outlineLevel="0" collapsed="false">
      <c r="A7" s="12" t="n">
        <v>46303</v>
      </c>
      <c r="B7" s="10" t="s">
        <v>63</v>
      </c>
      <c r="C7" s="10" t="s">
        <v>1045</v>
      </c>
      <c r="D7" s="15" t="n">
        <v>30</v>
      </c>
      <c r="E7" s="10" t="s">
        <v>77</v>
      </c>
      <c r="F7" s="10" t="s">
        <v>1111</v>
      </c>
      <c r="G7" s="10"/>
      <c r="H7" s="15"/>
      <c r="I7" s="10"/>
      <c r="J7" s="10"/>
      <c r="K7" s="10"/>
      <c r="L7" s="10" t="s">
        <v>1065</v>
      </c>
      <c r="M7" s="10" t="n">
        <v>2</v>
      </c>
      <c r="N7" s="10" t="s">
        <v>1046</v>
      </c>
    </row>
    <row r="8" customFormat="false" ht="15" hidden="false" customHeight="false" outlineLevel="0" collapsed="false">
      <c r="A8" s="12" t="n">
        <v>46303</v>
      </c>
      <c r="B8" s="10" t="s">
        <v>63</v>
      </c>
      <c r="C8" s="10" t="s">
        <v>1045</v>
      </c>
      <c r="D8" s="15" t="n">
        <v>5</v>
      </c>
      <c r="E8" s="10" t="s">
        <v>77</v>
      </c>
      <c r="F8" s="10" t="s">
        <v>1112</v>
      </c>
      <c r="G8" s="10" t="s">
        <v>1113</v>
      </c>
      <c r="H8" s="15" t="n">
        <v>200</v>
      </c>
      <c r="I8" s="10"/>
      <c r="J8" s="15"/>
      <c r="K8" s="10"/>
      <c r="L8" s="10" t="s">
        <v>1061</v>
      </c>
      <c r="M8" s="10" t="n">
        <v>2</v>
      </c>
      <c r="N8" s="10" t="s">
        <v>1046</v>
      </c>
    </row>
    <row r="9" customFormat="false" ht="15" hidden="false" customHeight="false" outlineLevel="0" collapsed="false">
      <c r="A9" s="12" t="n">
        <v>46303</v>
      </c>
      <c r="B9" s="10" t="s">
        <v>47</v>
      </c>
      <c r="C9" s="10" t="s">
        <v>1051</v>
      </c>
      <c r="D9" s="15" t="n">
        <v>20</v>
      </c>
      <c r="E9" s="10" t="s">
        <v>51</v>
      </c>
      <c r="F9" s="10" t="s">
        <v>1111</v>
      </c>
      <c r="G9" s="10"/>
      <c r="H9" s="15"/>
      <c r="I9" s="10" t="s">
        <v>1045</v>
      </c>
      <c r="J9" s="10" t="n">
        <v>5</v>
      </c>
      <c r="K9" s="10" t="s">
        <v>77</v>
      </c>
      <c r="L9" s="10" t="s">
        <v>1058</v>
      </c>
      <c r="M9" s="10" t="n">
        <v>1</v>
      </c>
      <c r="N9" s="10" t="s">
        <v>1046</v>
      </c>
    </row>
    <row r="10" customFormat="false" ht="15" hidden="false" customHeight="false" outlineLevel="0" collapsed="false">
      <c r="A10" s="12" t="n">
        <v>46303</v>
      </c>
      <c r="B10" s="10" t="s">
        <v>47</v>
      </c>
      <c r="C10" s="10" t="s">
        <v>1051</v>
      </c>
      <c r="D10" s="15" t="n">
        <v>120</v>
      </c>
      <c r="E10" s="10" t="s">
        <v>51</v>
      </c>
      <c r="F10" s="10" t="s">
        <v>1112</v>
      </c>
      <c r="G10" s="10" t="s">
        <v>1114</v>
      </c>
      <c r="H10" s="15" t="n">
        <v>120</v>
      </c>
      <c r="I10" s="10" t="s">
        <v>1045</v>
      </c>
      <c r="J10" s="10" t="n">
        <v>30</v>
      </c>
      <c r="K10" s="10" t="s">
        <v>77</v>
      </c>
      <c r="L10" s="10" t="s">
        <v>1052</v>
      </c>
      <c r="M10" s="10" t="n">
        <v>1</v>
      </c>
      <c r="N10" s="10" t="s">
        <v>1046</v>
      </c>
    </row>
    <row r="11" customFormat="false" ht="15" hidden="false" customHeight="false" outlineLevel="0" collapsed="false">
      <c r="A11" s="12" t="n">
        <v>46303</v>
      </c>
      <c r="B11" s="10" t="s">
        <v>63</v>
      </c>
      <c r="C11" s="10" t="s">
        <v>1045</v>
      </c>
      <c r="D11" s="15" t="n">
        <v>10</v>
      </c>
      <c r="E11" s="10" t="s">
        <v>77</v>
      </c>
      <c r="F11" s="10" t="s">
        <v>1111</v>
      </c>
      <c r="G11" s="10"/>
      <c r="H11" s="15"/>
      <c r="I11" s="10"/>
      <c r="J11" s="15"/>
      <c r="K11" s="10"/>
      <c r="L11" s="10" t="s">
        <v>1049</v>
      </c>
      <c r="M11" s="10" t="n">
        <v>1</v>
      </c>
      <c r="N11" s="10" t="s">
        <v>1046</v>
      </c>
    </row>
    <row r="12" customFormat="false" ht="15" hidden="false" customHeight="false" outlineLevel="0" collapsed="false">
      <c r="A12" s="12" t="n">
        <v>46303</v>
      </c>
      <c r="B12" s="10" t="s">
        <v>63</v>
      </c>
      <c r="C12" s="10" t="s">
        <v>1045</v>
      </c>
      <c r="D12" s="15" t="n">
        <v>30</v>
      </c>
      <c r="E12" s="10" t="s">
        <v>77</v>
      </c>
      <c r="F12" s="10" t="s">
        <v>1111</v>
      </c>
      <c r="G12" s="10"/>
      <c r="H12" s="15"/>
      <c r="I12" s="10"/>
      <c r="J12" s="10"/>
      <c r="K12" s="10"/>
      <c r="L12" s="10" t="s">
        <v>1048</v>
      </c>
      <c r="M12" s="10" t="n">
        <v>1</v>
      </c>
      <c r="N12" s="10" t="s">
        <v>1046</v>
      </c>
    </row>
    <row r="13" customFormat="false" ht="23.85" hidden="false" customHeight="false" outlineLevel="0" collapsed="false">
      <c r="A13" s="12" t="n">
        <v>46265</v>
      </c>
      <c r="B13" s="10" t="s">
        <v>107</v>
      </c>
      <c r="C13" s="10" t="s">
        <v>643</v>
      </c>
      <c r="D13" s="15" t="n">
        <v>85</v>
      </c>
      <c r="E13" s="10" t="s">
        <v>51</v>
      </c>
      <c r="F13" s="10" t="s">
        <v>1112</v>
      </c>
      <c r="G13" s="10" t="s">
        <v>1115</v>
      </c>
      <c r="H13" s="15" t="n">
        <v>160</v>
      </c>
      <c r="I13" s="10"/>
      <c r="J13" s="10"/>
      <c r="K13" s="10"/>
      <c r="L13" s="10" t="s">
        <v>1042</v>
      </c>
      <c r="M13" s="10" t="n">
        <v>1</v>
      </c>
      <c r="N13" s="10" t="s">
        <v>70</v>
      </c>
    </row>
    <row r="14" customFormat="false" ht="15" hidden="false" customHeight="false" outlineLevel="0" collapsed="false">
      <c r="A14" s="12" t="n">
        <v>46265</v>
      </c>
      <c r="B14" s="10" t="s">
        <v>63</v>
      </c>
      <c r="C14" s="10" t="s">
        <v>52</v>
      </c>
      <c r="D14" s="15" t="n">
        <v>80</v>
      </c>
      <c r="E14" s="10" t="s">
        <v>51</v>
      </c>
      <c r="F14" s="10" t="s">
        <v>1112</v>
      </c>
      <c r="G14" s="10" t="s">
        <v>1116</v>
      </c>
      <c r="H14" s="15" t="n">
        <v>500</v>
      </c>
      <c r="I14" s="10"/>
      <c r="J14" s="15"/>
      <c r="K14" s="10"/>
      <c r="L14" s="10" t="s">
        <v>1040</v>
      </c>
      <c r="M14" s="10" t="n">
        <v>1</v>
      </c>
      <c r="N14" s="10" t="s">
        <v>65</v>
      </c>
    </row>
    <row r="15" customFormat="false" ht="23.85" hidden="false" customHeight="false" outlineLevel="0" collapsed="false">
      <c r="A15" s="12" t="n">
        <v>46265</v>
      </c>
      <c r="B15" s="10" t="s">
        <v>47</v>
      </c>
      <c r="C15" s="10" t="s">
        <v>52</v>
      </c>
      <c r="D15" s="15" t="n">
        <v>80</v>
      </c>
      <c r="E15" s="10" t="s">
        <v>51</v>
      </c>
      <c r="F15" s="10" t="s">
        <v>1111</v>
      </c>
      <c r="G15" s="10"/>
      <c r="H15" s="15" t="n">
        <v>0</v>
      </c>
      <c r="I15" s="10" t="s">
        <v>52</v>
      </c>
      <c r="J15" s="10" t="n">
        <v>80</v>
      </c>
      <c r="K15" s="10" t="s">
        <v>51</v>
      </c>
      <c r="L15" s="10" t="s">
        <v>1039</v>
      </c>
      <c r="M15" s="10" t="n">
        <v>1</v>
      </c>
      <c r="N15" s="10" t="s">
        <v>70</v>
      </c>
    </row>
    <row r="16" customFormat="false" ht="23.85" hidden="false" customHeight="false" outlineLevel="0" collapsed="false">
      <c r="A16" s="12" t="n">
        <v>46265</v>
      </c>
      <c r="B16" s="10" t="s">
        <v>63</v>
      </c>
      <c r="C16" s="10" t="s">
        <v>64</v>
      </c>
      <c r="D16" s="15" t="n">
        <v>20</v>
      </c>
      <c r="E16" s="10" t="s">
        <v>77</v>
      </c>
      <c r="F16" s="10" t="s">
        <v>1111</v>
      </c>
      <c r="G16" s="10"/>
      <c r="H16" s="15" t="n">
        <v>0</v>
      </c>
      <c r="I16" s="10"/>
      <c r="J16" s="15"/>
      <c r="K16" s="10"/>
      <c r="L16" s="10" t="s">
        <v>1037</v>
      </c>
      <c r="M16" s="10" t="n">
        <v>1</v>
      </c>
      <c r="N16" s="10" t="s">
        <v>70</v>
      </c>
    </row>
    <row r="17" customFormat="false" ht="15" hidden="false" customHeight="false" outlineLevel="0" collapsed="false">
      <c r="A17" s="12" t="n">
        <v>46265</v>
      </c>
      <c r="B17" s="10" t="s">
        <v>63</v>
      </c>
      <c r="C17" s="10" t="s">
        <v>52</v>
      </c>
      <c r="D17" s="15" t="n">
        <v>80</v>
      </c>
      <c r="E17" s="10" t="s">
        <v>51</v>
      </c>
      <c r="F17" s="10" t="s">
        <v>1112</v>
      </c>
      <c r="G17" s="10" t="s">
        <v>1117</v>
      </c>
      <c r="H17" s="15" t="n">
        <v>500</v>
      </c>
      <c r="I17" s="10"/>
      <c r="J17" s="10"/>
      <c r="K17" s="10"/>
      <c r="L17" s="10" t="s">
        <v>1035</v>
      </c>
      <c r="M17" s="10" t="n">
        <v>1</v>
      </c>
      <c r="N17" s="10" t="s">
        <v>65</v>
      </c>
    </row>
    <row r="18" customFormat="false" ht="23.85" hidden="false" customHeight="false" outlineLevel="0" collapsed="false">
      <c r="A18" s="12" t="n">
        <v>46265</v>
      </c>
      <c r="B18" s="10" t="s">
        <v>47</v>
      </c>
      <c r="C18" s="10" t="s">
        <v>52</v>
      </c>
      <c r="D18" s="15" t="n">
        <v>80</v>
      </c>
      <c r="E18" s="10" t="s">
        <v>51</v>
      </c>
      <c r="F18" s="10" t="s">
        <v>1111</v>
      </c>
      <c r="G18" s="10"/>
      <c r="H18" s="15" t="n">
        <v>0</v>
      </c>
      <c r="I18" s="10" t="s">
        <v>52</v>
      </c>
      <c r="J18" s="10" t="n">
        <v>80</v>
      </c>
      <c r="K18" s="10" t="s">
        <v>51</v>
      </c>
      <c r="L18" s="10" t="s">
        <v>1034</v>
      </c>
      <c r="M18" s="10" t="n">
        <v>1</v>
      </c>
      <c r="N18" s="10" t="s">
        <v>70</v>
      </c>
    </row>
    <row r="19" customFormat="false" ht="23.85" hidden="false" customHeight="false" outlineLevel="0" collapsed="false">
      <c r="A19" s="12" t="n">
        <v>46265</v>
      </c>
      <c r="B19" s="10" t="s">
        <v>63</v>
      </c>
      <c r="C19" s="10" t="s">
        <v>64</v>
      </c>
      <c r="D19" s="15" t="n">
        <v>20</v>
      </c>
      <c r="E19" s="10" t="s">
        <v>77</v>
      </c>
      <c r="F19" s="10" t="s">
        <v>1111</v>
      </c>
      <c r="G19" s="10"/>
      <c r="H19" s="15" t="n">
        <v>0</v>
      </c>
      <c r="I19" s="10"/>
      <c r="J19" s="10"/>
      <c r="K19" s="10"/>
      <c r="L19" s="10" t="s">
        <v>1032</v>
      </c>
      <c r="M19" s="10" t="n">
        <v>1</v>
      </c>
      <c r="N19" s="10" t="s">
        <v>70</v>
      </c>
    </row>
    <row r="20" customFormat="false" ht="23.85" hidden="false" customHeight="false" outlineLevel="0" collapsed="false">
      <c r="A20" s="12" t="n">
        <v>46265</v>
      </c>
      <c r="B20" s="10" t="s">
        <v>63</v>
      </c>
      <c r="C20" s="10" t="s">
        <v>64</v>
      </c>
      <c r="D20" s="15" t="n">
        <v>20</v>
      </c>
      <c r="E20" s="10" t="s">
        <v>77</v>
      </c>
      <c r="F20" s="10" t="s">
        <v>1111</v>
      </c>
      <c r="G20" s="10"/>
      <c r="H20" s="15" t="n">
        <v>0</v>
      </c>
      <c r="I20" s="10"/>
      <c r="J20" s="10"/>
      <c r="K20" s="10"/>
      <c r="L20" s="10" t="s">
        <v>1030</v>
      </c>
      <c r="M20" s="10" t="n">
        <v>1</v>
      </c>
      <c r="N20" s="10" t="s">
        <v>70</v>
      </c>
    </row>
    <row r="21" customFormat="false" ht="15" hidden="false" customHeight="false" outlineLevel="0" collapsed="false">
      <c r="A21" s="12" t="n">
        <v>46265</v>
      </c>
      <c r="B21" s="10" t="s">
        <v>47</v>
      </c>
      <c r="C21" s="10" t="s">
        <v>52</v>
      </c>
      <c r="D21" s="15" t="n">
        <v>80</v>
      </c>
      <c r="E21" s="10" t="s">
        <v>51</v>
      </c>
      <c r="F21" s="10" t="s">
        <v>1111</v>
      </c>
      <c r="G21" s="10"/>
      <c r="H21" s="15" t="n">
        <v>0</v>
      </c>
      <c r="I21" s="10" t="s">
        <v>52</v>
      </c>
      <c r="J21" s="10" t="n">
        <v>80</v>
      </c>
      <c r="K21" s="10" t="s">
        <v>51</v>
      </c>
      <c r="L21" s="10" t="s">
        <v>1028</v>
      </c>
      <c r="M21" s="10" t="n">
        <v>1</v>
      </c>
      <c r="N21" s="10" t="s">
        <v>65</v>
      </c>
    </row>
    <row r="22" customFormat="false" ht="23.85" hidden="false" customHeight="false" outlineLevel="0" collapsed="false">
      <c r="A22" s="12" t="n">
        <v>46265</v>
      </c>
      <c r="B22" s="10" t="s">
        <v>63</v>
      </c>
      <c r="C22" s="10" t="s">
        <v>64</v>
      </c>
      <c r="D22" s="15" t="n">
        <v>20</v>
      </c>
      <c r="E22" s="10" t="s">
        <v>77</v>
      </c>
      <c r="F22" s="10" t="s">
        <v>1111</v>
      </c>
      <c r="G22" s="10"/>
      <c r="H22" s="15" t="n">
        <v>0</v>
      </c>
      <c r="I22" s="10"/>
      <c r="J22" s="10"/>
      <c r="K22" s="10"/>
      <c r="L22" s="10" t="s">
        <v>1027</v>
      </c>
      <c r="M22" s="10" t="n">
        <v>1</v>
      </c>
      <c r="N22" s="10" t="s">
        <v>70</v>
      </c>
    </row>
    <row r="23" customFormat="false" ht="23.85" hidden="false" customHeight="false" outlineLevel="0" collapsed="false">
      <c r="A23" s="12" t="n">
        <v>46265</v>
      </c>
      <c r="B23" s="10" t="s">
        <v>47</v>
      </c>
      <c r="C23" s="10" t="s">
        <v>52</v>
      </c>
      <c r="D23" s="15" t="n">
        <v>80</v>
      </c>
      <c r="E23" s="10" t="s">
        <v>51</v>
      </c>
      <c r="F23" s="10" t="s">
        <v>1111</v>
      </c>
      <c r="G23" s="10"/>
      <c r="H23" s="15" t="n">
        <v>0</v>
      </c>
      <c r="I23" s="10" t="s">
        <v>52</v>
      </c>
      <c r="J23" s="10" t="n">
        <v>80</v>
      </c>
      <c r="K23" s="10" t="s">
        <v>51</v>
      </c>
      <c r="L23" s="10" t="s">
        <v>1024</v>
      </c>
      <c r="M23" s="10" t="n">
        <v>1</v>
      </c>
      <c r="N23" s="10" t="s">
        <v>70</v>
      </c>
    </row>
    <row r="24" customFormat="false" ht="23.85" hidden="false" customHeight="false" outlineLevel="0" collapsed="false">
      <c r="A24" s="12" t="n">
        <v>46265</v>
      </c>
      <c r="B24" s="10" t="s">
        <v>63</v>
      </c>
      <c r="C24" s="10" t="s">
        <v>52</v>
      </c>
      <c r="D24" s="15" t="n">
        <v>80</v>
      </c>
      <c r="E24" s="10" t="s">
        <v>51</v>
      </c>
      <c r="F24" s="10" t="s">
        <v>1112</v>
      </c>
      <c r="G24" s="10" t="s">
        <v>1116</v>
      </c>
      <c r="H24" s="15" t="n">
        <v>500</v>
      </c>
      <c r="I24" s="10"/>
      <c r="J24" s="10"/>
      <c r="K24" s="10"/>
      <c r="L24" s="10" t="s">
        <v>1023</v>
      </c>
      <c r="M24" s="10" t="n">
        <v>1</v>
      </c>
      <c r="N24" s="10" t="s">
        <v>70</v>
      </c>
    </row>
    <row r="25" customFormat="false" ht="23.85" hidden="false" customHeight="false" outlineLevel="0" collapsed="false">
      <c r="A25" s="12" t="n">
        <v>46265</v>
      </c>
      <c r="B25" s="10" t="s">
        <v>63</v>
      </c>
      <c r="C25" s="10" t="s">
        <v>64</v>
      </c>
      <c r="D25" s="15" t="n">
        <v>22.38</v>
      </c>
      <c r="E25" s="10" t="s">
        <v>77</v>
      </c>
      <c r="F25" s="10" t="s">
        <v>1111</v>
      </c>
      <c r="G25" s="10"/>
      <c r="H25" s="15" t="n">
        <v>0</v>
      </c>
      <c r="I25" s="10"/>
      <c r="J25" s="10"/>
      <c r="K25" s="10"/>
      <c r="L25" s="10" t="s">
        <v>1021</v>
      </c>
      <c r="M25" s="10" t="n">
        <v>1</v>
      </c>
      <c r="N25" s="10" t="s">
        <v>70</v>
      </c>
    </row>
    <row r="26" customFormat="false" ht="23.85" hidden="false" customHeight="false" outlineLevel="0" collapsed="false">
      <c r="A26" s="12" t="n">
        <v>46265</v>
      </c>
      <c r="B26" s="10" t="s">
        <v>63</v>
      </c>
      <c r="C26" s="10" t="s">
        <v>52</v>
      </c>
      <c r="D26" s="15" t="n">
        <v>80</v>
      </c>
      <c r="E26" s="10" t="s">
        <v>51</v>
      </c>
      <c r="F26" s="10" t="s">
        <v>1112</v>
      </c>
      <c r="G26" s="10" t="s">
        <v>1117</v>
      </c>
      <c r="H26" s="15" t="n">
        <v>500</v>
      </c>
      <c r="I26" s="10"/>
      <c r="J26" s="10"/>
      <c r="K26" s="10"/>
      <c r="L26" s="10" t="s">
        <v>1019</v>
      </c>
      <c r="M26" s="10" t="n">
        <v>1</v>
      </c>
      <c r="N26" s="10" t="s">
        <v>70</v>
      </c>
    </row>
    <row r="27" customFormat="false" ht="23.85" hidden="false" customHeight="false" outlineLevel="0" collapsed="false">
      <c r="A27" s="12" t="n">
        <v>46265</v>
      </c>
      <c r="B27" s="10" t="s">
        <v>63</v>
      </c>
      <c r="C27" s="10" t="s">
        <v>64</v>
      </c>
      <c r="D27" s="15" t="n">
        <v>22.57</v>
      </c>
      <c r="E27" s="10" t="s">
        <v>77</v>
      </c>
      <c r="F27" s="10" t="s">
        <v>1111</v>
      </c>
      <c r="G27" s="10"/>
      <c r="H27" s="15" t="n">
        <v>0</v>
      </c>
      <c r="I27" s="10"/>
      <c r="J27" s="10"/>
      <c r="K27" s="10"/>
      <c r="L27" s="10" t="s">
        <v>1016</v>
      </c>
      <c r="M27" s="10" t="n">
        <v>1</v>
      </c>
      <c r="N27" s="10" t="s">
        <v>70</v>
      </c>
    </row>
    <row r="28" customFormat="false" ht="23.85" hidden="false" customHeight="false" outlineLevel="0" collapsed="false">
      <c r="A28" s="12" t="n">
        <v>46265</v>
      </c>
      <c r="B28" s="10" t="s">
        <v>63</v>
      </c>
      <c r="C28" s="10" t="s">
        <v>64</v>
      </c>
      <c r="D28" s="15" t="n">
        <v>30.46</v>
      </c>
      <c r="E28" s="10" t="s">
        <v>77</v>
      </c>
      <c r="F28" s="10" t="s">
        <v>1111</v>
      </c>
      <c r="G28" s="10"/>
      <c r="H28" s="15" t="n">
        <v>0</v>
      </c>
      <c r="I28" s="10"/>
      <c r="J28" s="10"/>
      <c r="K28" s="10"/>
      <c r="L28" s="10" t="s">
        <v>1014</v>
      </c>
      <c r="M28" s="10" t="n">
        <v>1</v>
      </c>
      <c r="N28" s="10" t="s">
        <v>70</v>
      </c>
    </row>
    <row r="29" customFormat="false" ht="15" hidden="false" customHeight="false" outlineLevel="0" collapsed="false">
      <c r="A29" s="12" t="n">
        <v>46265</v>
      </c>
      <c r="B29" s="10" t="s">
        <v>63</v>
      </c>
      <c r="C29" s="10" t="s">
        <v>64</v>
      </c>
      <c r="D29" s="15" t="n">
        <v>28.57</v>
      </c>
      <c r="E29" s="10" t="s">
        <v>77</v>
      </c>
      <c r="F29" s="10" t="s">
        <v>1111</v>
      </c>
      <c r="G29" s="10"/>
      <c r="H29" s="15" t="n">
        <v>0</v>
      </c>
      <c r="I29" s="10"/>
      <c r="J29" s="10"/>
      <c r="K29" s="10"/>
      <c r="L29" s="10" t="s">
        <v>1012</v>
      </c>
      <c r="M29" s="10" t="n">
        <v>1</v>
      </c>
      <c r="N29" s="10" t="s">
        <v>65</v>
      </c>
    </row>
    <row r="30" customFormat="false" ht="23.85" hidden="false" customHeight="false" outlineLevel="0" collapsed="false">
      <c r="A30" s="12" t="n">
        <v>46262</v>
      </c>
      <c r="B30" s="10" t="s">
        <v>559</v>
      </c>
      <c r="C30" s="10" t="s">
        <v>486</v>
      </c>
      <c r="D30" s="15" t="n">
        <v>20</v>
      </c>
      <c r="E30" s="10" t="s">
        <v>103</v>
      </c>
      <c r="F30" s="10" t="s">
        <v>1111</v>
      </c>
      <c r="G30" s="10"/>
      <c r="H30" s="15" t="n">
        <v>0</v>
      </c>
      <c r="I30" s="10"/>
      <c r="J30" s="15"/>
      <c r="K30" s="10"/>
      <c r="L30" s="10" t="s">
        <v>1010</v>
      </c>
      <c r="M30" s="10" t="n">
        <v>1</v>
      </c>
      <c r="N30" s="10" t="s">
        <v>1009</v>
      </c>
    </row>
    <row r="31" customFormat="false" ht="35.05" hidden="false" customHeight="false" outlineLevel="0" collapsed="false">
      <c r="A31" s="12" t="n">
        <v>46262</v>
      </c>
      <c r="B31" s="10" t="s">
        <v>559</v>
      </c>
      <c r="C31" s="10" t="s">
        <v>486</v>
      </c>
      <c r="D31" s="15" t="n">
        <v>18.4</v>
      </c>
      <c r="E31" s="10" t="s">
        <v>103</v>
      </c>
      <c r="F31" s="10" t="s">
        <v>1111</v>
      </c>
      <c r="G31" s="10"/>
      <c r="H31" s="15" t="n">
        <v>0</v>
      </c>
      <c r="I31" s="10"/>
      <c r="J31" s="15"/>
      <c r="K31" s="10"/>
      <c r="L31" s="10" t="s">
        <v>1007</v>
      </c>
      <c r="M31" s="10" t="n">
        <v>1</v>
      </c>
      <c r="N31" s="10" t="s">
        <v>1006</v>
      </c>
    </row>
    <row r="32" customFormat="false" ht="15" hidden="false" customHeight="false" outlineLevel="0" collapsed="false">
      <c r="A32" s="12" t="n">
        <v>46262</v>
      </c>
      <c r="B32" s="10" t="s">
        <v>63</v>
      </c>
      <c r="C32" s="10" t="s">
        <v>64</v>
      </c>
      <c r="D32" s="15" t="n">
        <v>3</v>
      </c>
      <c r="E32" s="10" t="s">
        <v>77</v>
      </c>
      <c r="F32" s="10" t="s">
        <v>1111</v>
      </c>
      <c r="G32" s="10"/>
      <c r="H32" s="15" t="n">
        <v>0</v>
      </c>
      <c r="I32" s="10"/>
      <c r="J32" s="10"/>
      <c r="K32" s="10"/>
      <c r="L32" s="10" t="s">
        <v>1003</v>
      </c>
      <c r="M32" s="10" t="n">
        <v>1</v>
      </c>
      <c r="N32" s="10" t="s">
        <v>65</v>
      </c>
    </row>
    <row r="33" customFormat="false" ht="23.85" hidden="false" customHeight="false" outlineLevel="0" collapsed="false">
      <c r="A33" s="12" t="n">
        <v>46262</v>
      </c>
      <c r="B33" s="10" t="s">
        <v>63</v>
      </c>
      <c r="C33" s="10" t="s">
        <v>64</v>
      </c>
      <c r="D33" s="15" t="n">
        <v>18</v>
      </c>
      <c r="E33" s="10" t="s">
        <v>77</v>
      </c>
      <c r="F33" s="10" t="s">
        <v>1111</v>
      </c>
      <c r="G33" s="10"/>
      <c r="H33" s="15" t="n">
        <v>0</v>
      </c>
      <c r="I33" s="10"/>
      <c r="J33" s="10"/>
      <c r="K33" s="10"/>
      <c r="L33" s="10" t="s">
        <v>1001</v>
      </c>
      <c r="M33" s="10" t="n">
        <v>1</v>
      </c>
      <c r="N33" s="10" t="s">
        <v>70</v>
      </c>
    </row>
    <row r="34" customFormat="false" ht="23.85" hidden="false" customHeight="false" outlineLevel="0" collapsed="false">
      <c r="A34" s="12" t="n">
        <v>46262</v>
      </c>
      <c r="B34" s="10" t="s">
        <v>63</v>
      </c>
      <c r="C34" s="10" t="s">
        <v>64</v>
      </c>
      <c r="D34" s="15" t="n">
        <v>18.3</v>
      </c>
      <c r="E34" s="10" t="s">
        <v>77</v>
      </c>
      <c r="F34" s="10" t="s">
        <v>1111</v>
      </c>
      <c r="G34" s="10"/>
      <c r="H34" s="15" t="n">
        <v>0</v>
      </c>
      <c r="I34" s="10"/>
      <c r="J34" s="15"/>
      <c r="K34" s="10"/>
      <c r="L34" s="10" t="s">
        <v>999</v>
      </c>
      <c r="M34" s="10" t="n">
        <v>1</v>
      </c>
      <c r="N34" s="10" t="s">
        <v>70</v>
      </c>
    </row>
    <row r="35" customFormat="false" ht="23.85" hidden="false" customHeight="false" outlineLevel="0" collapsed="false">
      <c r="A35" s="12" t="n">
        <v>46262</v>
      </c>
      <c r="B35" s="10" t="s">
        <v>63</v>
      </c>
      <c r="C35" s="10" t="s">
        <v>104</v>
      </c>
      <c r="D35" s="15" t="n">
        <v>92</v>
      </c>
      <c r="E35" s="10" t="s">
        <v>51</v>
      </c>
      <c r="F35" s="10" t="s">
        <v>1111</v>
      </c>
      <c r="G35" s="10"/>
      <c r="H35" s="15" t="n">
        <v>0</v>
      </c>
      <c r="I35" s="10"/>
      <c r="J35" s="10"/>
      <c r="K35" s="10"/>
      <c r="L35" s="10" t="s">
        <v>997</v>
      </c>
      <c r="M35" s="10" t="n">
        <v>1</v>
      </c>
      <c r="N35" s="10" t="s">
        <v>996</v>
      </c>
    </row>
    <row r="36" customFormat="false" ht="23.85" hidden="false" customHeight="false" outlineLevel="0" collapsed="false">
      <c r="A36" s="12" t="n">
        <v>46262</v>
      </c>
      <c r="B36" s="10" t="s">
        <v>63</v>
      </c>
      <c r="C36" s="10" t="s">
        <v>104</v>
      </c>
      <c r="D36" s="15" t="n">
        <v>92</v>
      </c>
      <c r="E36" s="10" t="s">
        <v>51</v>
      </c>
      <c r="F36" s="10" t="s">
        <v>1111</v>
      </c>
      <c r="G36" s="10"/>
      <c r="H36" s="15" t="n">
        <v>0</v>
      </c>
      <c r="I36" s="10"/>
      <c r="J36" s="10"/>
      <c r="K36" s="10"/>
      <c r="L36" s="10" t="s">
        <v>994</v>
      </c>
      <c r="M36" s="10" t="n">
        <v>1</v>
      </c>
      <c r="N36" s="10" t="s">
        <v>993</v>
      </c>
    </row>
    <row r="37" customFormat="false" ht="23.85" hidden="false" customHeight="false" outlineLevel="0" collapsed="false">
      <c r="A37" s="12" t="n">
        <v>46262</v>
      </c>
      <c r="B37" s="10" t="s">
        <v>47</v>
      </c>
      <c r="C37" s="10" t="s">
        <v>52</v>
      </c>
      <c r="D37" s="15" t="n">
        <v>12</v>
      </c>
      <c r="E37" s="10" t="s">
        <v>51</v>
      </c>
      <c r="F37" s="10" t="s">
        <v>1111</v>
      </c>
      <c r="G37" s="10"/>
      <c r="H37" s="15" t="n">
        <v>0</v>
      </c>
      <c r="I37" s="10" t="s">
        <v>52</v>
      </c>
      <c r="J37" s="10" t="n">
        <v>12</v>
      </c>
      <c r="K37" s="10" t="s">
        <v>51</v>
      </c>
      <c r="L37" s="10" t="s">
        <v>991</v>
      </c>
      <c r="M37" s="10" t="n">
        <v>1</v>
      </c>
      <c r="N37" s="10" t="s">
        <v>70</v>
      </c>
    </row>
    <row r="38" customFormat="false" ht="23.85" hidden="false" customHeight="false" outlineLevel="0" collapsed="false">
      <c r="A38" s="12" t="n">
        <v>46262</v>
      </c>
      <c r="B38" s="10" t="s">
        <v>47</v>
      </c>
      <c r="C38" s="10" t="s">
        <v>52</v>
      </c>
      <c r="D38" s="15" t="n">
        <v>72</v>
      </c>
      <c r="E38" s="10" t="s">
        <v>51</v>
      </c>
      <c r="F38" s="10" t="s">
        <v>1111</v>
      </c>
      <c r="G38" s="10"/>
      <c r="H38" s="15" t="n">
        <v>0</v>
      </c>
      <c r="I38" s="10" t="s">
        <v>52</v>
      </c>
      <c r="J38" s="10" t="n">
        <v>72</v>
      </c>
      <c r="K38" s="10" t="s">
        <v>51</v>
      </c>
      <c r="L38" s="10" t="s">
        <v>990</v>
      </c>
      <c r="M38" s="10" t="n">
        <v>1</v>
      </c>
      <c r="N38" s="10" t="s">
        <v>70</v>
      </c>
    </row>
    <row r="39" customFormat="false" ht="23.85" hidden="false" customHeight="false" outlineLevel="0" collapsed="false">
      <c r="A39" s="12" t="n">
        <v>46262</v>
      </c>
      <c r="B39" s="10" t="s">
        <v>63</v>
      </c>
      <c r="C39" s="10" t="s">
        <v>104</v>
      </c>
      <c r="D39" s="15" t="n">
        <v>27.4</v>
      </c>
      <c r="E39" s="10" t="s">
        <v>103</v>
      </c>
      <c r="F39" s="10" t="s">
        <v>1111</v>
      </c>
      <c r="G39" s="10"/>
      <c r="H39" s="15" t="n">
        <v>0</v>
      </c>
      <c r="I39" s="10"/>
      <c r="J39" s="15"/>
      <c r="K39" s="10"/>
      <c r="L39" s="10" t="s">
        <v>989</v>
      </c>
      <c r="M39" s="10" t="n">
        <v>1</v>
      </c>
      <c r="N39" s="10" t="s">
        <v>988</v>
      </c>
    </row>
    <row r="40" customFormat="false" ht="23.85" hidden="false" customHeight="false" outlineLevel="0" collapsed="false">
      <c r="A40" s="12" t="n">
        <v>46262</v>
      </c>
      <c r="B40" s="10" t="s">
        <v>63</v>
      </c>
      <c r="C40" s="10" t="s">
        <v>64</v>
      </c>
      <c r="D40" s="15" t="n">
        <v>28.46</v>
      </c>
      <c r="E40" s="10" t="s">
        <v>77</v>
      </c>
      <c r="F40" s="10" t="s">
        <v>1111</v>
      </c>
      <c r="G40" s="10"/>
      <c r="H40" s="15" t="n">
        <v>0</v>
      </c>
      <c r="I40" s="10"/>
      <c r="J40" s="10"/>
      <c r="K40" s="10"/>
      <c r="L40" s="10" t="s">
        <v>985</v>
      </c>
      <c r="M40" s="10" t="n">
        <v>1</v>
      </c>
      <c r="N40" s="10" t="s">
        <v>70</v>
      </c>
    </row>
    <row r="41" customFormat="false" ht="15" hidden="false" customHeight="false" outlineLevel="0" collapsed="false">
      <c r="A41" s="12" t="n">
        <v>46262</v>
      </c>
      <c r="B41" s="10" t="s">
        <v>47</v>
      </c>
      <c r="C41" s="10" t="s">
        <v>52</v>
      </c>
      <c r="D41" s="15" t="n">
        <v>73.2</v>
      </c>
      <c r="E41" s="10" t="s">
        <v>51</v>
      </c>
      <c r="F41" s="10" t="s">
        <v>1111</v>
      </c>
      <c r="G41" s="10"/>
      <c r="H41" s="15" t="n">
        <v>0</v>
      </c>
      <c r="I41" s="10" t="s">
        <v>52</v>
      </c>
      <c r="J41" s="10" t="n">
        <v>73.2</v>
      </c>
      <c r="K41" s="10" t="s">
        <v>51</v>
      </c>
      <c r="L41" s="10" t="s">
        <v>983</v>
      </c>
      <c r="M41" s="10" t="n">
        <v>1</v>
      </c>
      <c r="N41" s="10" t="s">
        <v>65</v>
      </c>
    </row>
    <row r="42" customFormat="false" ht="23.85" hidden="false" customHeight="false" outlineLevel="0" collapsed="false">
      <c r="A42" s="12" t="n">
        <v>46262</v>
      </c>
      <c r="B42" s="10" t="s">
        <v>63</v>
      </c>
      <c r="C42" s="10" t="s">
        <v>52</v>
      </c>
      <c r="D42" s="15" t="n">
        <v>12</v>
      </c>
      <c r="E42" s="10" t="s">
        <v>51</v>
      </c>
      <c r="F42" s="10" t="s">
        <v>1112</v>
      </c>
      <c r="G42" s="10" t="s">
        <v>1118</v>
      </c>
      <c r="H42" s="15" t="n">
        <v>600</v>
      </c>
      <c r="I42" s="10"/>
      <c r="J42" s="15"/>
      <c r="K42" s="10"/>
      <c r="L42" s="10" t="s">
        <v>982</v>
      </c>
      <c r="M42" s="10" t="n">
        <v>1</v>
      </c>
      <c r="N42" s="10" t="s">
        <v>70</v>
      </c>
    </row>
    <row r="43" customFormat="false" ht="23.85" hidden="false" customHeight="false" outlineLevel="0" collapsed="false">
      <c r="A43" s="12" t="n">
        <v>46262</v>
      </c>
      <c r="B43" s="10" t="s">
        <v>63</v>
      </c>
      <c r="C43" s="10" t="s">
        <v>52</v>
      </c>
      <c r="D43" s="15" t="n">
        <v>72</v>
      </c>
      <c r="E43" s="10" t="s">
        <v>51</v>
      </c>
      <c r="F43" s="10" t="s">
        <v>1112</v>
      </c>
      <c r="G43" s="10" t="s">
        <v>1119</v>
      </c>
      <c r="H43" s="15" t="n">
        <v>600</v>
      </c>
      <c r="I43" s="10"/>
      <c r="J43" s="10"/>
      <c r="K43" s="10"/>
      <c r="L43" s="10" t="s">
        <v>980</v>
      </c>
      <c r="M43" s="10" t="n">
        <v>1</v>
      </c>
      <c r="N43" s="10" t="s">
        <v>70</v>
      </c>
    </row>
    <row r="44" customFormat="false" ht="15" hidden="false" customHeight="false" outlineLevel="0" collapsed="false">
      <c r="A44" s="12" t="n">
        <v>46262</v>
      </c>
      <c r="B44" s="10" t="s">
        <v>63</v>
      </c>
      <c r="C44" s="10" t="s">
        <v>52</v>
      </c>
      <c r="D44" s="15" t="n">
        <v>73.2</v>
      </c>
      <c r="E44" s="10" t="s">
        <v>51</v>
      </c>
      <c r="F44" s="10" t="s">
        <v>1112</v>
      </c>
      <c r="G44" s="10" t="s">
        <v>1118</v>
      </c>
      <c r="H44" s="15" t="n">
        <v>600</v>
      </c>
      <c r="I44" s="10"/>
      <c r="J44" s="10"/>
      <c r="K44" s="10"/>
      <c r="L44" s="10" t="s">
        <v>978</v>
      </c>
      <c r="M44" s="10" t="n">
        <v>1</v>
      </c>
      <c r="N44" s="10" t="s">
        <v>65</v>
      </c>
    </row>
    <row r="45" customFormat="false" ht="15" hidden="false" customHeight="false" outlineLevel="0" collapsed="false">
      <c r="A45" s="12" t="n">
        <v>46261</v>
      </c>
      <c r="B45" s="10" t="s">
        <v>63</v>
      </c>
      <c r="C45" s="10" t="s">
        <v>52</v>
      </c>
      <c r="D45" s="15" t="n">
        <v>62.6</v>
      </c>
      <c r="E45" s="10" t="s">
        <v>51</v>
      </c>
      <c r="F45" s="10" t="s">
        <v>1112</v>
      </c>
      <c r="G45" s="10" t="s">
        <v>1120</v>
      </c>
      <c r="H45" s="15" t="n">
        <v>600</v>
      </c>
      <c r="I45" s="10"/>
      <c r="J45" s="15"/>
      <c r="K45" s="10"/>
      <c r="L45" s="10" t="s">
        <v>976</v>
      </c>
      <c r="M45" s="10" t="n">
        <v>1</v>
      </c>
      <c r="N45" s="10" t="s">
        <v>65</v>
      </c>
    </row>
    <row r="46" customFormat="false" ht="15" hidden="false" customHeight="false" outlineLevel="0" collapsed="false">
      <c r="A46" s="12" t="n">
        <v>46261</v>
      </c>
      <c r="B46" s="10" t="s">
        <v>47</v>
      </c>
      <c r="C46" s="10" t="s">
        <v>52</v>
      </c>
      <c r="D46" s="15" t="n">
        <v>62.6</v>
      </c>
      <c r="E46" s="10" t="s">
        <v>51</v>
      </c>
      <c r="F46" s="10" t="s">
        <v>1111</v>
      </c>
      <c r="G46" s="10"/>
      <c r="H46" s="15" t="n">
        <v>0</v>
      </c>
      <c r="I46" s="10" t="s">
        <v>52</v>
      </c>
      <c r="J46" s="10" t="n">
        <v>62.6</v>
      </c>
      <c r="K46" s="10" t="s">
        <v>51</v>
      </c>
      <c r="L46" s="10" t="s">
        <v>975</v>
      </c>
      <c r="M46" s="10" t="n">
        <v>1</v>
      </c>
      <c r="N46" s="10" t="s">
        <v>65</v>
      </c>
    </row>
    <row r="47" customFormat="false" ht="15" hidden="false" customHeight="false" outlineLevel="0" collapsed="false">
      <c r="A47" s="12" t="n">
        <v>46261</v>
      </c>
      <c r="B47" s="10" t="s">
        <v>63</v>
      </c>
      <c r="C47" s="10" t="s">
        <v>64</v>
      </c>
      <c r="D47" s="15" t="n">
        <v>15.65</v>
      </c>
      <c r="E47" s="10" t="s">
        <v>77</v>
      </c>
      <c r="F47" s="10" t="s">
        <v>1111</v>
      </c>
      <c r="G47" s="10"/>
      <c r="H47" s="15" t="n">
        <v>0</v>
      </c>
      <c r="I47" s="10"/>
      <c r="J47" s="10"/>
      <c r="K47" s="10"/>
      <c r="L47" s="10" t="s">
        <v>973</v>
      </c>
      <c r="M47" s="10" t="n">
        <v>1</v>
      </c>
      <c r="N47" s="10" t="s">
        <v>65</v>
      </c>
    </row>
    <row r="48" customFormat="false" ht="23.85" hidden="false" customHeight="false" outlineLevel="0" collapsed="false">
      <c r="A48" s="12" t="n">
        <v>46261</v>
      </c>
      <c r="B48" s="10" t="s">
        <v>63</v>
      </c>
      <c r="C48" s="10" t="s">
        <v>52</v>
      </c>
      <c r="D48" s="15" t="n">
        <v>58</v>
      </c>
      <c r="E48" s="10" t="s">
        <v>51</v>
      </c>
      <c r="F48" s="10" t="s">
        <v>1112</v>
      </c>
      <c r="G48" s="10" t="s">
        <v>1120</v>
      </c>
      <c r="H48" s="15" t="n">
        <v>600</v>
      </c>
      <c r="I48" s="10"/>
      <c r="J48" s="15"/>
      <c r="K48" s="10"/>
      <c r="L48" s="10" t="s">
        <v>971</v>
      </c>
      <c r="M48" s="10" t="n">
        <v>1</v>
      </c>
      <c r="N48" s="10" t="s">
        <v>70</v>
      </c>
    </row>
    <row r="49" customFormat="false" ht="23.85" hidden="false" customHeight="false" outlineLevel="0" collapsed="false">
      <c r="A49" s="12" t="n">
        <v>46261</v>
      </c>
      <c r="B49" s="10" t="s">
        <v>47</v>
      </c>
      <c r="C49" s="10" t="s">
        <v>52</v>
      </c>
      <c r="D49" s="15" t="n">
        <v>58</v>
      </c>
      <c r="E49" s="10" t="s">
        <v>51</v>
      </c>
      <c r="F49" s="10" t="s">
        <v>1111</v>
      </c>
      <c r="G49" s="10"/>
      <c r="H49" s="15" t="n">
        <v>0</v>
      </c>
      <c r="I49" s="10" t="s">
        <v>52</v>
      </c>
      <c r="J49" s="10" t="n">
        <v>58</v>
      </c>
      <c r="K49" s="10" t="s">
        <v>51</v>
      </c>
      <c r="L49" s="10" t="s">
        <v>970</v>
      </c>
      <c r="M49" s="10" t="n">
        <v>1</v>
      </c>
      <c r="N49" s="10" t="s">
        <v>70</v>
      </c>
    </row>
    <row r="50" customFormat="false" ht="23.85" hidden="false" customHeight="false" outlineLevel="0" collapsed="false">
      <c r="A50" s="12" t="n">
        <v>46261</v>
      </c>
      <c r="B50" s="10" t="s">
        <v>63</v>
      </c>
      <c r="C50" s="10" t="s">
        <v>64</v>
      </c>
      <c r="D50" s="15" t="n">
        <v>14.5</v>
      </c>
      <c r="E50" s="10" t="s">
        <v>77</v>
      </c>
      <c r="F50" s="10" t="s">
        <v>1111</v>
      </c>
      <c r="G50" s="10"/>
      <c r="H50" s="15" t="n">
        <v>0</v>
      </c>
      <c r="I50" s="10"/>
      <c r="J50" s="10"/>
      <c r="K50" s="10"/>
      <c r="L50" s="10" t="s">
        <v>968</v>
      </c>
      <c r="M50" s="10" t="n">
        <v>1</v>
      </c>
      <c r="N50" s="10" t="s">
        <v>70</v>
      </c>
    </row>
    <row r="51" customFormat="false" ht="23.85" hidden="false" customHeight="false" outlineLevel="0" collapsed="false">
      <c r="A51" s="12" t="n">
        <v>46261</v>
      </c>
      <c r="B51" s="10" t="s">
        <v>63</v>
      </c>
      <c r="C51" s="10" t="s">
        <v>52</v>
      </c>
      <c r="D51" s="15" t="n">
        <v>72.4</v>
      </c>
      <c r="E51" s="10" t="s">
        <v>51</v>
      </c>
      <c r="F51" s="10" t="s">
        <v>1112</v>
      </c>
      <c r="G51" s="10" t="s">
        <v>1119</v>
      </c>
      <c r="H51" s="15" t="n">
        <v>600</v>
      </c>
      <c r="I51" s="10"/>
      <c r="J51" s="15"/>
      <c r="K51" s="10"/>
      <c r="L51" s="10" t="s">
        <v>966</v>
      </c>
      <c r="M51" s="10" t="n">
        <v>1</v>
      </c>
      <c r="N51" s="10" t="s">
        <v>70</v>
      </c>
    </row>
    <row r="52" customFormat="false" ht="23.85" hidden="false" customHeight="false" outlineLevel="0" collapsed="false">
      <c r="A52" s="12" t="n">
        <v>46261</v>
      </c>
      <c r="B52" s="10" t="s">
        <v>47</v>
      </c>
      <c r="C52" s="10" t="s">
        <v>52</v>
      </c>
      <c r="D52" s="15" t="n">
        <v>72.4</v>
      </c>
      <c r="E52" s="10" t="s">
        <v>51</v>
      </c>
      <c r="F52" s="10" t="s">
        <v>1111</v>
      </c>
      <c r="G52" s="10"/>
      <c r="H52" s="15" t="n">
        <v>0</v>
      </c>
      <c r="I52" s="10" t="s">
        <v>52</v>
      </c>
      <c r="J52" s="10" t="n">
        <v>72.4</v>
      </c>
      <c r="K52" s="10" t="s">
        <v>51</v>
      </c>
      <c r="L52" s="10" t="s">
        <v>965</v>
      </c>
      <c r="M52" s="10" t="n">
        <v>1</v>
      </c>
      <c r="N52" s="10" t="s">
        <v>70</v>
      </c>
    </row>
    <row r="53" customFormat="false" ht="23.85" hidden="false" customHeight="false" outlineLevel="0" collapsed="false">
      <c r="A53" s="12" t="n">
        <v>46261</v>
      </c>
      <c r="B53" s="10" t="s">
        <v>63</v>
      </c>
      <c r="C53" s="10" t="s">
        <v>64</v>
      </c>
      <c r="D53" s="15" t="n">
        <v>18.1</v>
      </c>
      <c r="E53" s="10" t="s">
        <v>77</v>
      </c>
      <c r="F53" s="10" t="s">
        <v>1111</v>
      </c>
      <c r="G53" s="10"/>
      <c r="H53" s="15" t="n">
        <v>0</v>
      </c>
      <c r="I53" s="10"/>
      <c r="J53" s="10"/>
      <c r="K53" s="10"/>
      <c r="L53" s="10" t="s">
        <v>963</v>
      </c>
      <c r="M53" s="10" t="n">
        <v>1</v>
      </c>
      <c r="N53" s="10" t="s">
        <v>70</v>
      </c>
    </row>
    <row r="54" customFormat="false" ht="15" hidden="false" customHeight="false" outlineLevel="0" collapsed="false">
      <c r="A54" s="12" t="n">
        <v>46261</v>
      </c>
      <c r="B54" s="10" t="s">
        <v>63</v>
      </c>
      <c r="C54" s="10" t="s">
        <v>52</v>
      </c>
      <c r="D54" s="15" t="n">
        <v>75.84</v>
      </c>
      <c r="E54" s="10" t="s">
        <v>51</v>
      </c>
      <c r="F54" s="10" t="s">
        <v>1112</v>
      </c>
      <c r="G54" s="10" t="s">
        <v>1118</v>
      </c>
      <c r="H54" s="15" t="n">
        <v>600</v>
      </c>
      <c r="I54" s="10"/>
      <c r="J54" s="15"/>
      <c r="K54" s="10"/>
      <c r="L54" s="10" t="s">
        <v>961</v>
      </c>
      <c r="M54" s="10" t="n">
        <v>1</v>
      </c>
      <c r="N54" s="10" t="s">
        <v>65</v>
      </c>
    </row>
    <row r="55" customFormat="false" ht="23.85" hidden="false" customHeight="false" outlineLevel="0" collapsed="false">
      <c r="A55" s="12" t="n">
        <v>46261</v>
      </c>
      <c r="B55" s="10" t="s">
        <v>47</v>
      </c>
      <c r="C55" s="10" t="s">
        <v>52</v>
      </c>
      <c r="D55" s="15" t="n">
        <v>75.84</v>
      </c>
      <c r="E55" s="10" t="s">
        <v>51</v>
      </c>
      <c r="F55" s="10" t="s">
        <v>1111</v>
      </c>
      <c r="G55" s="10"/>
      <c r="H55" s="15" t="n">
        <v>0</v>
      </c>
      <c r="I55" s="10" t="s">
        <v>52</v>
      </c>
      <c r="J55" s="10" t="n">
        <v>75.84</v>
      </c>
      <c r="K55" s="10" t="s">
        <v>51</v>
      </c>
      <c r="L55" s="10" t="s">
        <v>960</v>
      </c>
      <c r="M55" s="10" t="n">
        <v>1</v>
      </c>
      <c r="N55" s="10" t="s">
        <v>70</v>
      </c>
    </row>
    <row r="56" customFormat="false" ht="23.85" hidden="false" customHeight="false" outlineLevel="0" collapsed="false">
      <c r="A56" s="12" t="n">
        <v>46261</v>
      </c>
      <c r="B56" s="10" t="s">
        <v>63</v>
      </c>
      <c r="C56" s="10" t="s">
        <v>64</v>
      </c>
      <c r="D56" s="15" t="n">
        <v>18.96</v>
      </c>
      <c r="E56" s="10" t="s">
        <v>77</v>
      </c>
      <c r="F56" s="10" t="s">
        <v>1111</v>
      </c>
      <c r="G56" s="10"/>
      <c r="H56" s="15" t="n">
        <v>0</v>
      </c>
      <c r="I56" s="10"/>
      <c r="J56" s="10"/>
      <c r="K56" s="10"/>
      <c r="L56" s="10" t="s">
        <v>958</v>
      </c>
      <c r="M56" s="10" t="n">
        <v>1</v>
      </c>
      <c r="N56" s="10" t="s">
        <v>70</v>
      </c>
    </row>
    <row r="57" customFormat="false" ht="23.85" hidden="false" customHeight="false" outlineLevel="0" collapsed="false">
      <c r="A57" s="12" t="n">
        <v>46261</v>
      </c>
      <c r="B57" s="10" t="s">
        <v>63</v>
      </c>
      <c r="C57" s="10" t="s">
        <v>52</v>
      </c>
      <c r="D57" s="15" t="n">
        <v>85.2</v>
      </c>
      <c r="E57" s="10" t="s">
        <v>51</v>
      </c>
      <c r="F57" s="10" t="s">
        <v>1112</v>
      </c>
      <c r="G57" s="10" t="s">
        <v>1118</v>
      </c>
      <c r="H57" s="15" t="n">
        <v>600</v>
      </c>
      <c r="I57" s="10"/>
      <c r="J57" s="10"/>
      <c r="K57" s="10"/>
      <c r="L57" s="10" t="s">
        <v>956</v>
      </c>
      <c r="M57" s="10" t="n">
        <v>1</v>
      </c>
      <c r="N57" s="10" t="s">
        <v>70</v>
      </c>
    </row>
    <row r="58" customFormat="false" ht="23.85" hidden="false" customHeight="false" outlineLevel="0" collapsed="false">
      <c r="A58" s="12" t="n">
        <v>46261</v>
      </c>
      <c r="B58" s="10" t="s">
        <v>47</v>
      </c>
      <c r="C58" s="10" t="s">
        <v>52</v>
      </c>
      <c r="D58" s="15" t="n">
        <v>85.2</v>
      </c>
      <c r="E58" s="10" t="s">
        <v>51</v>
      </c>
      <c r="F58" s="10" t="s">
        <v>1111</v>
      </c>
      <c r="G58" s="10"/>
      <c r="H58" s="15" t="n">
        <v>0</v>
      </c>
      <c r="I58" s="10" t="s">
        <v>52</v>
      </c>
      <c r="J58" s="10" t="n">
        <v>85.2</v>
      </c>
      <c r="K58" s="10" t="s">
        <v>51</v>
      </c>
      <c r="L58" s="10" t="s">
        <v>955</v>
      </c>
      <c r="M58" s="10" t="n">
        <v>1</v>
      </c>
      <c r="N58" s="10" t="s">
        <v>70</v>
      </c>
    </row>
    <row r="59" customFormat="false" ht="23.85" hidden="false" customHeight="false" outlineLevel="0" collapsed="false">
      <c r="A59" s="12" t="n">
        <v>46261</v>
      </c>
      <c r="B59" s="10" t="s">
        <v>63</v>
      </c>
      <c r="C59" s="10" t="s">
        <v>64</v>
      </c>
      <c r="D59" s="15" t="n">
        <v>21.3</v>
      </c>
      <c r="E59" s="10" t="s">
        <v>77</v>
      </c>
      <c r="F59" s="10" t="s">
        <v>1111</v>
      </c>
      <c r="G59" s="10"/>
      <c r="H59" s="15" t="n">
        <v>0</v>
      </c>
      <c r="I59" s="10"/>
      <c r="J59" s="10"/>
      <c r="K59" s="10"/>
      <c r="L59" s="10" t="s">
        <v>953</v>
      </c>
      <c r="M59" s="10" t="n">
        <v>1</v>
      </c>
      <c r="N59" s="10" t="s">
        <v>70</v>
      </c>
    </row>
    <row r="60" customFormat="false" ht="23.85" hidden="false" customHeight="false" outlineLevel="0" collapsed="false">
      <c r="A60" s="12" t="n">
        <v>46261</v>
      </c>
      <c r="B60" s="10" t="s">
        <v>63</v>
      </c>
      <c r="C60" s="10" t="s">
        <v>52</v>
      </c>
      <c r="D60" s="15" t="n">
        <v>82</v>
      </c>
      <c r="E60" s="10" t="s">
        <v>51</v>
      </c>
      <c r="F60" s="10" t="s">
        <v>1112</v>
      </c>
      <c r="G60" s="10" t="s">
        <v>1119</v>
      </c>
      <c r="H60" s="15" t="n">
        <v>600</v>
      </c>
      <c r="I60" s="10"/>
      <c r="J60" s="10"/>
      <c r="K60" s="10"/>
      <c r="L60" s="10" t="s">
        <v>951</v>
      </c>
      <c r="M60" s="10" t="n">
        <v>1</v>
      </c>
      <c r="N60" s="10" t="s">
        <v>70</v>
      </c>
    </row>
    <row r="61" customFormat="false" ht="23.85" hidden="false" customHeight="false" outlineLevel="0" collapsed="false">
      <c r="A61" s="12" t="n">
        <v>46261</v>
      </c>
      <c r="B61" s="10" t="s">
        <v>47</v>
      </c>
      <c r="C61" s="10" t="s">
        <v>52</v>
      </c>
      <c r="D61" s="15" t="n">
        <v>82</v>
      </c>
      <c r="E61" s="10" t="s">
        <v>51</v>
      </c>
      <c r="F61" s="10" t="s">
        <v>1111</v>
      </c>
      <c r="G61" s="10"/>
      <c r="H61" s="15" t="n">
        <v>0</v>
      </c>
      <c r="I61" s="10" t="s">
        <v>52</v>
      </c>
      <c r="J61" s="10" t="n">
        <v>82</v>
      </c>
      <c r="K61" s="10" t="s">
        <v>51</v>
      </c>
      <c r="L61" s="10" t="s">
        <v>949</v>
      </c>
      <c r="M61" s="10" t="n">
        <v>1</v>
      </c>
      <c r="N61" s="10" t="s">
        <v>70</v>
      </c>
    </row>
    <row r="62" customFormat="false" ht="15" hidden="false" customHeight="false" outlineLevel="0" collapsed="false">
      <c r="A62" s="12" t="n">
        <v>46261</v>
      </c>
      <c r="B62" s="10" t="s">
        <v>63</v>
      </c>
      <c r="C62" s="10" t="s">
        <v>64</v>
      </c>
      <c r="D62" s="15" t="n">
        <v>20.5</v>
      </c>
      <c r="E62" s="10" t="s">
        <v>77</v>
      </c>
      <c r="F62" s="10" t="s">
        <v>1111</v>
      </c>
      <c r="G62" s="10"/>
      <c r="H62" s="15" t="n">
        <v>0</v>
      </c>
      <c r="I62" s="10"/>
      <c r="J62" s="10"/>
      <c r="K62" s="10"/>
      <c r="L62" s="10" t="s">
        <v>947</v>
      </c>
      <c r="M62" s="10" t="n">
        <v>1</v>
      </c>
      <c r="N62" s="10" t="s">
        <v>65</v>
      </c>
    </row>
    <row r="63" customFormat="false" ht="15" hidden="false" customHeight="false" outlineLevel="0" collapsed="false">
      <c r="A63" s="12" t="n">
        <v>46261</v>
      </c>
      <c r="B63" s="10" t="s">
        <v>63</v>
      </c>
      <c r="C63" s="10" t="s">
        <v>64</v>
      </c>
      <c r="D63" s="15" t="n">
        <v>30.3</v>
      </c>
      <c r="E63" s="10" t="s">
        <v>77</v>
      </c>
      <c r="F63" s="10" t="s">
        <v>1111</v>
      </c>
      <c r="G63" s="10"/>
      <c r="H63" s="15" t="n">
        <v>0</v>
      </c>
      <c r="I63" s="10"/>
      <c r="J63" s="10"/>
      <c r="K63" s="10"/>
      <c r="L63" s="10" t="s">
        <v>944</v>
      </c>
      <c r="M63" s="10" t="n">
        <v>1</v>
      </c>
      <c r="N63" s="10" t="s">
        <v>65</v>
      </c>
    </row>
    <row r="64" customFormat="false" ht="23.85" hidden="false" customHeight="false" outlineLevel="0" collapsed="false">
      <c r="A64" s="12" t="n">
        <v>46260</v>
      </c>
      <c r="B64" s="10" t="s">
        <v>63</v>
      </c>
      <c r="C64" s="10" t="s">
        <v>104</v>
      </c>
      <c r="D64" s="15" t="n">
        <v>92</v>
      </c>
      <c r="E64" s="10" t="s">
        <v>51</v>
      </c>
      <c r="F64" s="10" t="s">
        <v>1111</v>
      </c>
      <c r="G64" s="10"/>
      <c r="H64" s="15" t="n">
        <v>0</v>
      </c>
      <c r="I64" s="10"/>
      <c r="J64" s="15"/>
      <c r="K64" s="10"/>
      <c r="L64" s="10" t="s">
        <v>943</v>
      </c>
      <c r="M64" s="10" t="n">
        <v>1</v>
      </c>
      <c r="N64" s="10" t="s">
        <v>942</v>
      </c>
    </row>
    <row r="65" customFormat="false" ht="23.85" hidden="false" customHeight="false" outlineLevel="0" collapsed="false">
      <c r="A65" s="12" t="n">
        <v>46260</v>
      </c>
      <c r="B65" s="10" t="s">
        <v>63</v>
      </c>
      <c r="C65" s="10" t="s">
        <v>104</v>
      </c>
      <c r="D65" s="15" t="n">
        <v>92</v>
      </c>
      <c r="E65" s="10" t="s">
        <v>51</v>
      </c>
      <c r="F65" s="10" t="s">
        <v>1111</v>
      </c>
      <c r="G65" s="10"/>
      <c r="H65" s="15" t="n">
        <v>0</v>
      </c>
      <c r="I65" s="10"/>
      <c r="J65" s="10"/>
      <c r="K65" s="10"/>
      <c r="L65" s="10" t="s">
        <v>940</v>
      </c>
      <c r="M65" s="10" t="n">
        <v>1</v>
      </c>
      <c r="N65" s="10" t="s">
        <v>939</v>
      </c>
    </row>
    <row r="66" customFormat="false" ht="23.85" hidden="false" customHeight="false" outlineLevel="0" collapsed="false">
      <c r="A66" s="12" t="n">
        <v>46260</v>
      </c>
      <c r="B66" s="10" t="s">
        <v>63</v>
      </c>
      <c r="C66" s="10" t="s">
        <v>104</v>
      </c>
      <c r="D66" s="15" t="n">
        <v>92</v>
      </c>
      <c r="E66" s="10" t="s">
        <v>51</v>
      </c>
      <c r="F66" s="10" t="s">
        <v>1111</v>
      </c>
      <c r="G66" s="10"/>
      <c r="H66" s="15" t="n">
        <v>0</v>
      </c>
      <c r="I66" s="10"/>
      <c r="J66" s="10"/>
      <c r="K66" s="10"/>
      <c r="L66" s="10" t="s">
        <v>937</v>
      </c>
      <c r="M66" s="10" t="n">
        <v>1</v>
      </c>
      <c r="N66" s="10" t="s">
        <v>936</v>
      </c>
    </row>
    <row r="67" customFormat="false" ht="15" hidden="false" customHeight="false" outlineLevel="0" collapsed="false">
      <c r="A67" s="12" t="n">
        <v>46260</v>
      </c>
      <c r="B67" s="10" t="s">
        <v>63</v>
      </c>
      <c r="C67" s="10" t="s">
        <v>104</v>
      </c>
      <c r="D67" s="15" t="n">
        <v>92</v>
      </c>
      <c r="E67" s="10" t="s">
        <v>51</v>
      </c>
      <c r="F67" s="10" t="s">
        <v>1111</v>
      </c>
      <c r="G67" s="10"/>
      <c r="H67" s="15" t="n">
        <v>0</v>
      </c>
      <c r="I67" s="10"/>
      <c r="J67" s="15"/>
      <c r="K67" s="10"/>
      <c r="L67" s="10" t="s">
        <v>934</v>
      </c>
      <c r="M67" s="10" t="n">
        <v>1</v>
      </c>
      <c r="N67" s="10" t="s">
        <v>933</v>
      </c>
    </row>
    <row r="68" customFormat="false" ht="23.85" hidden="false" customHeight="false" outlineLevel="0" collapsed="false">
      <c r="A68" s="12" t="n">
        <v>46260</v>
      </c>
      <c r="B68" s="10" t="s">
        <v>559</v>
      </c>
      <c r="C68" s="10" t="s">
        <v>52</v>
      </c>
      <c r="D68" s="15" t="n">
        <v>90</v>
      </c>
      <c r="E68" s="10" t="s">
        <v>51</v>
      </c>
      <c r="F68" s="10" t="s">
        <v>1112</v>
      </c>
      <c r="G68" s="10" t="s">
        <v>1119</v>
      </c>
      <c r="H68" s="15" t="n">
        <v>535</v>
      </c>
      <c r="I68" s="10"/>
      <c r="J68" s="10"/>
      <c r="K68" s="10"/>
      <c r="L68" s="10" t="s">
        <v>931</v>
      </c>
      <c r="M68" s="10" t="n">
        <v>1</v>
      </c>
      <c r="N68" s="10" t="s">
        <v>70</v>
      </c>
    </row>
    <row r="69" customFormat="false" ht="23.85" hidden="false" customHeight="false" outlineLevel="0" collapsed="false">
      <c r="A69" s="12" t="n">
        <v>46260</v>
      </c>
      <c r="B69" s="10" t="s">
        <v>559</v>
      </c>
      <c r="C69" s="10" t="s">
        <v>52</v>
      </c>
      <c r="D69" s="15" t="n">
        <v>90</v>
      </c>
      <c r="E69" s="10" t="s">
        <v>51</v>
      </c>
      <c r="F69" s="10" t="s">
        <v>1112</v>
      </c>
      <c r="G69" s="10" t="s">
        <v>1118</v>
      </c>
      <c r="H69" s="15" t="n">
        <v>535</v>
      </c>
      <c r="I69" s="10"/>
      <c r="J69" s="10"/>
      <c r="K69" s="10"/>
      <c r="L69" s="10" t="s">
        <v>929</v>
      </c>
      <c r="M69" s="10" t="n">
        <v>1</v>
      </c>
      <c r="N69" s="10" t="s">
        <v>70</v>
      </c>
    </row>
    <row r="70" customFormat="false" ht="23.85" hidden="false" customHeight="false" outlineLevel="0" collapsed="false">
      <c r="A70" s="12" t="n">
        <v>46259</v>
      </c>
      <c r="B70" s="10" t="s">
        <v>63</v>
      </c>
      <c r="C70" s="10" t="s">
        <v>52</v>
      </c>
      <c r="D70" s="15" t="n">
        <v>84.4</v>
      </c>
      <c r="E70" s="10" t="s">
        <v>51</v>
      </c>
      <c r="F70" s="10" t="s">
        <v>1112</v>
      </c>
      <c r="G70" s="10" t="s">
        <v>1116</v>
      </c>
      <c r="H70" s="15" t="n">
        <v>1000</v>
      </c>
      <c r="I70" s="10"/>
      <c r="J70" s="15"/>
      <c r="K70" s="10"/>
      <c r="L70" s="10" t="s">
        <v>927</v>
      </c>
      <c r="M70" s="10" t="n">
        <v>1</v>
      </c>
      <c r="N70" s="10" t="s">
        <v>70</v>
      </c>
    </row>
    <row r="71" customFormat="false" ht="23.85" hidden="false" customHeight="false" outlineLevel="0" collapsed="false">
      <c r="A71" s="12" t="n">
        <v>46259</v>
      </c>
      <c r="B71" s="10" t="s">
        <v>47</v>
      </c>
      <c r="C71" s="10" t="s">
        <v>52</v>
      </c>
      <c r="D71" s="15" t="n">
        <v>84.4</v>
      </c>
      <c r="E71" s="10" t="s">
        <v>51</v>
      </c>
      <c r="F71" s="10" t="s">
        <v>1111</v>
      </c>
      <c r="G71" s="10"/>
      <c r="H71" s="15" t="n">
        <v>0</v>
      </c>
      <c r="I71" s="10" t="s">
        <v>52</v>
      </c>
      <c r="J71" s="10" t="n">
        <v>84.4</v>
      </c>
      <c r="K71" s="10" t="s">
        <v>51</v>
      </c>
      <c r="L71" s="10" t="s">
        <v>926</v>
      </c>
      <c r="M71" s="10" t="n">
        <v>1</v>
      </c>
      <c r="N71" s="10" t="s">
        <v>70</v>
      </c>
    </row>
    <row r="72" customFormat="false" ht="15" hidden="false" customHeight="false" outlineLevel="0" collapsed="false">
      <c r="A72" s="12" t="n">
        <v>46259</v>
      </c>
      <c r="B72" s="10" t="s">
        <v>63</v>
      </c>
      <c r="C72" s="10" t="s">
        <v>64</v>
      </c>
      <c r="D72" s="15" t="n">
        <v>21.1</v>
      </c>
      <c r="E72" s="10" t="s">
        <v>77</v>
      </c>
      <c r="F72" s="10" t="s">
        <v>1111</v>
      </c>
      <c r="G72" s="10"/>
      <c r="H72" s="15" t="n">
        <v>0</v>
      </c>
      <c r="I72" s="10"/>
      <c r="J72" s="10"/>
      <c r="K72" s="10"/>
      <c r="L72" s="10" t="s">
        <v>924</v>
      </c>
      <c r="M72" s="10" t="n">
        <v>1</v>
      </c>
      <c r="N72" s="10" t="s">
        <v>65</v>
      </c>
    </row>
    <row r="73" customFormat="false" ht="15" hidden="false" customHeight="false" outlineLevel="0" collapsed="false">
      <c r="A73" s="12" t="n">
        <v>46259</v>
      </c>
      <c r="B73" s="10" t="s">
        <v>63</v>
      </c>
      <c r="C73" s="10" t="s">
        <v>52</v>
      </c>
      <c r="D73" s="15" t="n">
        <v>84.4</v>
      </c>
      <c r="E73" s="10" t="s">
        <v>51</v>
      </c>
      <c r="F73" s="10" t="s">
        <v>1112</v>
      </c>
      <c r="G73" s="10" t="s">
        <v>1119</v>
      </c>
      <c r="H73" s="15" t="n">
        <v>1000</v>
      </c>
      <c r="I73" s="10"/>
      <c r="J73" s="10"/>
      <c r="K73" s="10"/>
      <c r="L73" s="10" t="s">
        <v>922</v>
      </c>
      <c r="M73" s="10" t="n">
        <v>1</v>
      </c>
      <c r="N73" s="10" t="s">
        <v>65</v>
      </c>
    </row>
    <row r="74" customFormat="false" ht="15" hidden="false" customHeight="false" outlineLevel="0" collapsed="false">
      <c r="A74" s="12" t="n">
        <v>46259</v>
      </c>
      <c r="B74" s="10" t="s">
        <v>47</v>
      </c>
      <c r="C74" s="10" t="s">
        <v>52</v>
      </c>
      <c r="D74" s="15" t="n">
        <v>84.4</v>
      </c>
      <c r="E74" s="10" t="s">
        <v>51</v>
      </c>
      <c r="F74" s="10" t="s">
        <v>1111</v>
      </c>
      <c r="G74" s="10"/>
      <c r="H74" s="15" t="n">
        <v>0</v>
      </c>
      <c r="I74" s="10" t="s">
        <v>52</v>
      </c>
      <c r="J74" s="15" t="n">
        <v>84.4</v>
      </c>
      <c r="K74" s="10" t="s">
        <v>51</v>
      </c>
      <c r="L74" s="10" t="s">
        <v>921</v>
      </c>
      <c r="M74" s="10" t="n">
        <v>1</v>
      </c>
      <c r="N74" s="10" t="s">
        <v>65</v>
      </c>
    </row>
    <row r="75" customFormat="false" ht="15" hidden="false" customHeight="false" outlineLevel="0" collapsed="false">
      <c r="A75" s="12" t="n">
        <v>46259</v>
      </c>
      <c r="B75" s="10" t="s">
        <v>63</v>
      </c>
      <c r="C75" s="10" t="s">
        <v>64</v>
      </c>
      <c r="D75" s="15" t="n">
        <v>21.1</v>
      </c>
      <c r="E75" s="10" t="s">
        <v>77</v>
      </c>
      <c r="F75" s="10" t="s">
        <v>1111</v>
      </c>
      <c r="G75" s="10"/>
      <c r="H75" s="15" t="n">
        <v>0</v>
      </c>
      <c r="I75" s="10"/>
      <c r="J75" s="10"/>
      <c r="K75" s="10"/>
      <c r="L75" s="10" t="s">
        <v>919</v>
      </c>
      <c r="M75" s="10" t="n">
        <v>1</v>
      </c>
      <c r="N75" s="10" t="s">
        <v>65</v>
      </c>
    </row>
    <row r="76" customFormat="false" ht="23.85" hidden="false" customHeight="false" outlineLevel="0" collapsed="false">
      <c r="A76" s="12" t="n">
        <v>46259</v>
      </c>
      <c r="B76" s="10" t="s">
        <v>63</v>
      </c>
      <c r="C76" s="10" t="s">
        <v>52</v>
      </c>
      <c r="D76" s="15" t="n">
        <v>84.4</v>
      </c>
      <c r="E76" s="10" t="s">
        <v>51</v>
      </c>
      <c r="F76" s="10" t="s">
        <v>1112</v>
      </c>
      <c r="G76" s="10" t="s">
        <v>1117</v>
      </c>
      <c r="H76" s="15" t="n">
        <v>1000</v>
      </c>
      <c r="I76" s="10"/>
      <c r="J76" s="10"/>
      <c r="K76" s="10"/>
      <c r="L76" s="10" t="s">
        <v>917</v>
      </c>
      <c r="M76" s="10" t="n">
        <v>1</v>
      </c>
      <c r="N76" s="10" t="s">
        <v>70</v>
      </c>
    </row>
    <row r="77" customFormat="false" ht="15" hidden="false" customHeight="false" outlineLevel="0" collapsed="false">
      <c r="A77" s="12" t="n">
        <v>46259</v>
      </c>
      <c r="B77" s="10" t="s">
        <v>47</v>
      </c>
      <c r="C77" s="10" t="s">
        <v>52</v>
      </c>
      <c r="D77" s="15" t="n">
        <v>84.4</v>
      </c>
      <c r="E77" s="10" t="s">
        <v>51</v>
      </c>
      <c r="F77" s="10" t="s">
        <v>1111</v>
      </c>
      <c r="G77" s="10"/>
      <c r="H77" s="15" t="n">
        <v>0</v>
      </c>
      <c r="I77" s="10" t="s">
        <v>52</v>
      </c>
      <c r="J77" s="15" t="n">
        <v>84.4</v>
      </c>
      <c r="K77" s="10" t="s">
        <v>51</v>
      </c>
      <c r="L77" s="10" t="s">
        <v>916</v>
      </c>
      <c r="M77" s="10" t="n">
        <v>1</v>
      </c>
      <c r="N77" s="10" t="s">
        <v>65</v>
      </c>
    </row>
    <row r="78" customFormat="false" ht="15" hidden="false" customHeight="false" outlineLevel="0" collapsed="false">
      <c r="A78" s="12" t="n">
        <v>46259</v>
      </c>
      <c r="B78" s="10" t="s">
        <v>63</v>
      </c>
      <c r="C78" s="10" t="s">
        <v>64</v>
      </c>
      <c r="D78" s="15" t="n">
        <v>21.1</v>
      </c>
      <c r="E78" s="10" t="s">
        <v>77</v>
      </c>
      <c r="F78" s="10" t="s">
        <v>1111</v>
      </c>
      <c r="G78" s="10"/>
      <c r="H78" s="15" t="n">
        <v>0</v>
      </c>
      <c r="I78" s="10"/>
      <c r="J78" s="10"/>
      <c r="K78" s="10"/>
      <c r="L78" s="10" t="s">
        <v>914</v>
      </c>
      <c r="M78" s="10" t="n">
        <v>1</v>
      </c>
      <c r="N78" s="10" t="s">
        <v>65</v>
      </c>
    </row>
    <row r="79" customFormat="false" ht="23.85" hidden="false" customHeight="false" outlineLevel="0" collapsed="false">
      <c r="A79" s="12" t="n">
        <v>46259</v>
      </c>
      <c r="B79" s="10" t="s">
        <v>107</v>
      </c>
      <c r="C79" s="10" t="s">
        <v>643</v>
      </c>
      <c r="D79" s="15" t="n">
        <v>88</v>
      </c>
      <c r="E79" s="10" t="s">
        <v>51</v>
      </c>
      <c r="F79" s="10" t="s">
        <v>1112</v>
      </c>
      <c r="G79" s="10" t="s">
        <v>1119</v>
      </c>
      <c r="H79" s="15" t="n">
        <v>800</v>
      </c>
      <c r="I79" s="10"/>
      <c r="J79" s="10"/>
      <c r="K79" s="10"/>
      <c r="L79" s="10" t="s">
        <v>912</v>
      </c>
      <c r="M79" s="10" t="n">
        <v>1</v>
      </c>
      <c r="N79" s="10" t="s">
        <v>911</v>
      </c>
    </row>
    <row r="80" customFormat="false" ht="23.85" hidden="false" customHeight="false" outlineLevel="0" collapsed="false">
      <c r="A80" s="12" t="n">
        <v>46259</v>
      </c>
      <c r="B80" s="10" t="s">
        <v>63</v>
      </c>
      <c r="C80" s="10" t="s">
        <v>52</v>
      </c>
      <c r="D80" s="15" t="n">
        <v>84.4</v>
      </c>
      <c r="E80" s="10" t="s">
        <v>51</v>
      </c>
      <c r="F80" s="10" t="s">
        <v>1112</v>
      </c>
      <c r="G80" s="10" t="s">
        <v>1116</v>
      </c>
      <c r="H80" s="15" t="n">
        <v>1000</v>
      </c>
      <c r="I80" s="10"/>
      <c r="J80" s="15"/>
      <c r="K80" s="10"/>
      <c r="L80" s="10" t="s">
        <v>909</v>
      </c>
      <c r="M80" s="10" t="n">
        <v>1</v>
      </c>
      <c r="N80" s="10" t="s">
        <v>70</v>
      </c>
    </row>
    <row r="81" customFormat="false" ht="23.85" hidden="false" customHeight="false" outlineLevel="0" collapsed="false">
      <c r="A81" s="12" t="n">
        <v>46259</v>
      </c>
      <c r="B81" s="10" t="s">
        <v>47</v>
      </c>
      <c r="C81" s="10" t="s">
        <v>52</v>
      </c>
      <c r="D81" s="15" t="n">
        <v>84.4</v>
      </c>
      <c r="E81" s="10" t="s">
        <v>51</v>
      </c>
      <c r="F81" s="10" t="s">
        <v>1111</v>
      </c>
      <c r="G81" s="10"/>
      <c r="H81" s="15" t="n">
        <v>0</v>
      </c>
      <c r="I81" s="10" t="s">
        <v>52</v>
      </c>
      <c r="J81" s="10" t="n">
        <v>84.4</v>
      </c>
      <c r="K81" s="10" t="s">
        <v>51</v>
      </c>
      <c r="L81" s="10" t="s">
        <v>908</v>
      </c>
      <c r="M81" s="10" t="n">
        <v>1</v>
      </c>
      <c r="N81" s="10" t="s">
        <v>70</v>
      </c>
    </row>
    <row r="82" customFormat="false" ht="23.85" hidden="false" customHeight="false" outlineLevel="0" collapsed="false">
      <c r="A82" s="12" t="n">
        <v>46259</v>
      </c>
      <c r="B82" s="10" t="s">
        <v>63</v>
      </c>
      <c r="C82" s="10" t="s">
        <v>64</v>
      </c>
      <c r="D82" s="15" t="n">
        <v>21.1</v>
      </c>
      <c r="E82" s="10" t="s">
        <v>77</v>
      </c>
      <c r="F82" s="10" t="s">
        <v>1111</v>
      </c>
      <c r="G82" s="10"/>
      <c r="H82" s="15" t="n">
        <v>0</v>
      </c>
      <c r="I82" s="10"/>
      <c r="J82" s="10"/>
      <c r="K82" s="10"/>
      <c r="L82" s="10" t="s">
        <v>906</v>
      </c>
      <c r="M82" s="10" t="n">
        <v>1</v>
      </c>
      <c r="N82" s="10" t="s">
        <v>70</v>
      </c>
    </row>
    <row r="83" customFormat="false" ht="23.85" hidden="false" customHeight="false" outlineLevel="0" collapsed="false">
      <c r="A83" s="12" t="n">
        <v>46258</v>
      </c>
      <c r="B83" s="10" t="s">
        <v>63</v>
      </c>
      <c r="C83" s="10" t="s">
        <v>52</v>
      </c>
      <c r="D83" s="15" t="n">
        <v>64.88</v>
      </c>
      <c r="E83" s="10" t="s">
        <v>51</v>
      </c>
      <c r="F83" s="10" t="s">
        <v>1112</v>
      </c>
      <c r="G83" s="10" t="s">
        <v>1116</v>
      </c>
      <c r="H83" s="15" t="n">
        <v>750</v>
      </c>
      <c r="I83" s="10"/>
      <c r="J83" s="10"/>
      <c r="K83" s="10"/>
      <c r="L83" s="10" t="s">
        <v>904</v>
      </c>
      <c r="M83" s="10" t="n">
        <v>1</v>
      </c>
      <c r="N83" s="10" t="s">
        <v>70</v>
      </c>
    </row>
    <row r="84" customFormat="false" ht="46.25" hidden="false" customHeight="false" outlineLevel="0" collapsed="false">
      <c r="A84" s="12" t="n">
        <v>46258</v>
      </c>
      <c r="B84" s="10" t="s">
        <v>47</v>
      </c>
      <c r="C84" s="10" t="s">
        <v>52</v>
      </c>
      <c r="D84" s="15" t="n">
        <v>64.88</v>
      </c>
      <c r="E84" s="10" t="s">
        <v>51</v>
      </c>
      <c r="F84" s="10" t="s">
        <v>1111</v>
      </c>
      <c r="G84" s="10"/>
      <c r="H84" s="15" t="n">
        <v>0</v>
      </c>
      <c r="I84" s="10" t="s">
        <v>52</v>
      </c>
      <c r="J84" s="15" t="n">
        <v>64.88</v>
      </c>
      <c r="K84" s="10" t="s">
        <v>51</v>
      </c>
      <c r="L84" s="10" t="s">
        <v>902</v>
      </c>
      <c r="M84" s="10" t="n">
        <v>1</v>
      </c>
      <c r="N84" s="10" t="s">
        <v>901</v>
      </c>
    </row>
    <row r="85" customFormat="false" ht="35.05" hidden="false" customHeight="false" outlineLevel="0" collapsed="false">
      <c r="A85" s="12" t="n">
        <v>46258</v>
      </c>
      <c r="B85" s="10" t="s">
        <v>63</v>
      </c>
      <c r="C85" s="10" t="s">
        <v>64</v>
      </c>
      <c r="D85" s="15" t="n">
        <v>16.22</v>
      </c>
      <c r="E85" s="10" t="s">
        <v>77</v>
      </c>
      <c r="F85" s="10" t="s">
        <v>1111</v>
      </c>
      <c r="G85" s="10"/>
      <c r="H85" s="15" t="n">
        <v>0</v>
      </c>
      <c r="I85" s="10"/>
      <c r="J85" s="10"/>
      <c r="K85" s="10"/>
      <c r="L85" s="10" t="s">
        <v>899</v>
      </c>
      <c r="M85" s="10" t="n">
        <v>1</v>
      </c>
      <c r="N85" s="10" t="s">
        <v>898</v>
      </c>
    </row>
    <row r="86" customFormat="false" ht="23.85" hidden="false" customHeight="false" outlineLevel="0" collapsed="false">
      <c r="A86" s="12" t="n">
        <v>46258</v>
      </c>
      <c r="B86" s="10" t="s">
        <v>63</v>
      </c>
      <c r="C86" s="10" t="s">
        <v>52</v>
      </c>
      <c r="D86" s="15" t="n">
        <v>48</v>
      </c>
      <c r="E86" s="10" t="s">
        <v>51</v>
      </c>
      <c r="F86" s="10" t="s">
        <v>1112</v>
      </c>
      <c r="G86" s="10" t="s">
        <v>1117</v>
      </c>
      <c r="H86" s="15" t="n">
        <v>670</v>
      </c>
      <c r="I86" s="10"/>
      <c r="J86" s="10"/>
      <c r="K86" s="10"/>
      <c r="L86" s="10" t="s">
        <v>895</v>
      </c>
      <c r="M86" s="10" t="n">
        <v>1</v>
      </c>
      <c r="N86" s="10" t="s">
        <v>70</v>
      </c>
    </row>
    <row r="87" customFormat="false" ht="15" hidden="false" customHeight="false" outlineLevel="0" collapsed="false">
      <c r="A87" s="12" t="n">
        <v>46258</v>
      </c>
      <c r="B87" s="10" t="s">
        <v>47</v>
      </c>
      <c r="C87" s="10" t="s">
        <v>52</v>
      </c>
      <c r="D87" s="15" t="n">
        <v>48</v>
      </c>
      <c r="E87" s="10" t="s">
        <v>51</v>
      </c>
      <c r="F87" s="10" t="s">
        <v>1111</v>
      </c>
      <c r="G87" s="10"/>
      <c r="H87" s="15" t="n">
        <v>0</v>
      </c>
      <c r="I87" s="10" t="s">
        <v>52</v>
      </c>
      <c r="J87" s="15" t="n">
        <v>48</v>
      </c>
      <c r="K87" s="10" t="s">
        <v>51</v>
      </c>
      <c r="L87" s="10" t="s">
        <v>894</v>
      </c>
      <c r="M87" s="10" t="n">
        <v>1</v>
      </c>
      <c r="N87" s="10" t="s">
        <v>65</v>
      </c>
    </row>
    <row r="88" customFormat="false" ht="15" hidden="false" customHeight="false" outlineLevel="0" collapsed="false">
      <c r="A88" s="12" t="n">
        <v>46258</v>
      </c>
      <c r="B88" s="10" t="s">
        <v>63</v>
      </c>
      <c r="C88" s="10" t="s">
        <v>64</v>
      </c>
      <c r="D88" s="15" t="n">
        <v>12</v>
      </c>
      <c r="E88" s="10" t="s">
        <v>77</v>
      </c>
      <c r="F88" s="10" t="s">
        <v>1111</v>
      </c>
      <c r="G88" s="10"/>
      <c r="H88" s="15" t="n">
        <v>0</v>
      </c>
      <c r="I88" s="10"/>
      <c r="J88" s="10"/>
      <c r="K88" s="10"/>
      <c r="L88" s="10" t="s">
        <v>892</v>
      </c>
      <c r="M88" s="10" t="n">
        <v>1</v>
      </c>
      <c r="N88" s="10" t="s">
        <v>65</v>
      </c>
    </row>
    <row r="89" customFormat="false" ht="35.05" hidden="false" customHeight="false" outlineLevel="0" collapsed="false">
      <c r="A89" s="12" t="n">
        <v>46258</v>
      </c>
      <c r="B89" s="10" t="s">
        <v>63</v>
      </c>
      <c r="C89" s="10" t="s">
        <v>104</v>
      </c>
      <c r="D89" s="15" t="n">
        <v>92</v>
      </c>
      <c r="E89" s="10" t="s">
        <v>51</v>
      </c>
      <c r="F89" s="10" t="s">
        <v>1111</v>
      </c>
      <c r="G89" s="10"/>
      <c r="H89" s="15" t="n">
        <v>0</v>
      </c>
      <c r="I89" s="10"/>
      <c r="J89" s="10"/>
      <c r="K89" s="10"/>
      <c r="L89" s="10" t="s">
        <v>890</v>
      </c>
      <c r="M89" s="10" t="n">
        <v>1</v>
      </c>
      <c r="N89" s="10" t="s">
        <v>889</v>
      </c>
    </row>
    <row r="90" customFormat="false" ht="15" hidden="false" customHeight="false" outlineLevel="0" collapsed="false">
      <c r="A90" s="12" t="n">
        <v>46255</v>
      </c>
      <c r="B90" s="10" t="s">
        <v>63</v>
      </c>
      <c r="C90" s="10" t="s">
        <v>52</v>
      </c>
      <c r="D90" s="15" t="n">
        <v>48</v>
      </c>
      <c r="E90" s="10" t="s">
        <v>51</v>
      </c>
      <c r="F90" s="10" t="s">
        <v>1112</v>
      </c>
      <c r="G90" s="10" t="s">
        <v>1117</v>
      </c>
      <c r="H90" s="15" t="n">
        <v>310</v>
      </c>
      <c r="I90" s="10"/>
      <c r="J90" s="15"/>
      <c r="K90" s="10"/>
      <c r="L90" s="10" t="s">
        <v>887</v>
      </c>
      <c r="M90" s="10" t="n">
        <v>1</v>
      </c>
      <c r="N90" s="10" t="s">
        <v>629</v>
      </c>
    </row>
    <row r="91" customFormat="false" ht="35.05" hidden="false" customHeight="false" outlineLevel="0" collapsed="false">
      <c r="A91" s="12" t="n">
        <v>46255</v>
      </c>
      <c r="B91" s="10" t="s">
        <v>47</v>
      </c>
      <c r="C91" s="10" t="s">
        <v>52</v>
      </c>
      <c r="D91" s="15" t="n">
        <v>48</v>
      </c>
      <c r="E91" s="10" t="s">
        <v>51</v>
      </c>
      <c r="F91" s="10" t="s">
        <v>1111</v>
      </c>
      <c r="G91" s="10"/>
      <c r="H91" s="15" t="n">
        <v>0</v>
      </c>
      <c r="I91" s="10" t="s">
        <v>52</v>
      </c>
      <c r="J91" s="10" t="n">
        <v>48</v>
      </c>
      <c r="K91" s="10" t="s">
        <v>51</v>
      </c>
      <c r="L91" s="10" t="s">
        <v>886</v>
      </c>
      <c r="M91" s="10" t="n">
        <v>1</v>
      </c>
      <c r="N91" s="10" t="s">
        <v>655</v>
      </c>
    </row>
    <row r="92" customFormat="false" ht="35.05" hidden="false" customHeight="false" outlineLevel="0" collapsed="false">
      <c r="A92" s="12" t="n">
        <v>46255</v>
      </c>
      <c r="B92" s="10" t="s">
        <v>63</v>
      </c>
      <c r="C92" s="10" t="s">
        <v>64</v>
      </c>
      <c r="D92" s="15" t="n">
        <v>12</v>
      </c>
      <c r="E92" s="10" t="s">
        <v>77</v>
      </c>
      <c r="F92" s="10" t="s">
        <v>1111</v>
      </c>
      <c r="G92" s="10"/>
      <c r="H92" s="15" t="n">
        <v>0</v>
      </c>
      <c r="I92" s="10"/>
      <c r="J92" s="10"/>
      <c r="K92" s="10"/>
      <c r="L92" s="10" t="s">
        <v>884</v>
      </c>
      <c r="M92" s="10" t="n">
        <v>1</v>
      </c>
      <c r="N92" s="10" t="s">
        <v>883</v>
      </c>
    </row>
    <row r="93" customFormat="false" ht="15" hidden="false" customHeight="false" outlineLevel="0" collapsed="false">
      <c r="A93" s="12" t="n">
        <v>46255</v>
      </c>
      <c r="B93" s="10" t="s">
        <v>63</v>
      </c>
      <c r="C93" s="10" t="s">
        <v>52</v>
      </c>
      <c r="D93" s="15" t="n">
        <v>80</v>
      </c>
      <c r="E93" s="10" t="s">
        <v>51</v>
      </c>
      <c r="F93" s="10" t="s">
        <v>1112</v>
      </c>
      <c r="G93" s="10" t="s">
        <v>1119</v>
      </c>
      <c r="H93" s="15" t="n">
        <v>310</v>
      </c>
      <c r="I93" s="10"/>
      <c r="J93" s="10"/>
      <c r="K93" s="10"/>
      <c r="L93" s="10" t="s">
        <v>881</v>
      </c>
      <c r="M93" s="10" t="n">
        <v>1</v>
      </c>
      <c r="N93" s="10" t="s">
        <v>629</v>
      </c>
    </row>
    <row r="94" customFormat="false" ht="35.05" hidden="false" customHeight="false" outlineLevel="0" collapsed="false">
      <c r="A94" s="12" t="n">
        <v>46255</v>
      </c>
      <c r="B94" s="10" t="s">
        <v>47</v>
      </c>
      <c r="C94" s="10" t="s">
        <v>52</v>
      </c>
      <c r="D94" s="15" t="n">
        <v>80</v>
      </c>
      <c r="E94" s="10" t="s">
        <v>51</v>
      </c>
      <c r="F94" s="10" t="s">
        <v>1111</v>
      </c>
      <c r="G94" s="10"/>
      <c r="H94" s="15" t="n">
        <v>0</v>
      </c>
      <c r="I94" s="10" t="s">
        <v>52</v>
      </c>
      <c r="J94" s="15" t="n">
        <v>80</v>
      </c>
      <c r="K94" s="10" t="s">
        <v>51</v>
      </c>
      <c r="L94" s="10" t="s">
        <v>880</v>
      </c>
      <c r="M94" s="10" t="n">
        <v>1</v>
      </c>
      <c r="N94" s="10" t="s">
        <v>655</v>
      </c>
    </row>
    <row r="95" customFormat="false" ht="35.05" hidden="false" customHeight="false" outlineLevel="0" collapsed="false">
      <c r="A95" s="12" t="n">
        <v>46255</v>
      </c>
      <c r="B95" s="10" t="s">
        <v>63</v>
      </c>
      <c r="C95" s="10" t="s">
        <v>64</v>
      </c>
      <c r="D95" s="15" t="n">
        <v>20</v>
      </c>
      <c r="E95" s="10" t="s">
        <v>77</v>
      </c>
      <c r="F95" s="10" t="s">
        <v>1111</v>
      </c>
      <c r="G95" s="10"/>
      <c r="H95" s="15" t="n">
        <v>0</v>
      </c>
      <c r="I95" s="10"/>
      <c r="J95" s="10"/>
      <c r="K95" s="10"/>
      <c r="L95" s="10" t="s">
        <v>878</v>
      </c>
      <c r="M95" s="10" t="n">
        <v>1</v>
      </c>
      <c r="N95" s="10" t="s">
        <v>715</v>
      </c>
    </row>
    <row r="96" customFormat="false" ht="15" hidden="false" customHeight="false" outlineLevel="0" collapsed="false">
      <c r="A96" s="12" t="n">
        <v>46255</v>
      </c>
      <c r="B96" s="10" t="s">
        <v>63</v>
      </c>
      <c r="C96" s="10" t="s">
        <v>52</v>
      </c>
      <c r="D96" s="15" t="n">
        <v>80</v>
      </c>
      <c r="E96" s="10" t="s">
        <v>51</v>
      </c>
      <c r="F96" s="10" t="s">
        <v>1112</v>
      </c>
      <c r="G96" s="10" t="s">
        <v>1117</v>
      </c>
      <c r="H96" s="15" t="n">
        <v>310</v>
      </c>
      <c r="I96" s="10"/>
      <c r="J96" s="10"/>
      <c r="K96" s="10"/>
      <c r="L96" s="10" t="s">
        <v>876</v>
      </c>
      <c r="M96" s="10" t="n">
        <v>1</v>
      </c>
      <c r="N96" s="10" t="s">
        <v>629</v>
      </c>
    </row>
    <row r="97" customFormat="false" ht="35.05" hidden="false" customHeight="false" outlineLevel="0" collapsed="false">
      <c r="A97" s="12" t="n">
        <v>46255</v>
      </c>
      <c r="B97" s="10" t="s">
        <v>47</v>
      </c>
      <c r="C97" s="10" t="s">
        <v>52</v>
      </c>
      <c r="D97" s="15" t="n">
        <v>80</v>
      </c>
      <c r="E97" s="10" t="s">
        <v>51</v>
      </c>
      <c r="F97" s="10" t="s">
        <v>1111</v>
      </c>
      <c r="G97" s="10"/>
      <c r="H97" s="15" t="n">
        <v>0</v>
      </c>
      <c r="I97" s="10" t="s">
        <v>52</v>
      </c>
      <c r="J97" s="15" t="n">
        <v>80</v>
      </c>
      <c r="K97" s="10" t="s">
        <v>51</v>
      </c>
      <c r="L97" s="10" t="s">
        <v>875</v>
      </c>
      <c r="M97" s="10" t="n">
        <v>1</v>
      </c>
      <c r="N97" s="10" t="s">
        <v>655</v>
      </c>
    </row>
    <row r="98" customFormat="false" ht="35.05" hidden="false" customHeight="false" outlineLevel="0" collapsed="false">
      <c r="A98" s="12" t="n">
        <v>46255</v>
      </c>
      <c r="B98" s="10" t="s">
        <v>63</v>
      </c>
      <c r="C98" s="10" t="s">
        <v>64</v>
      </c>
      <c r="D98" s="15" t="n">
        <v>20</v>
      </c>
      <c r="E98" s="10" t="s">
        <v>77</v>
      </c>
      <c r="F98" s="10" t="s">
        <v>1111</v>
      </c>
      <c r="G98" s="10"/>
      <c r="H98" s="15" t="n">
        <v>0</v>
      </c>
      <c r="I98" s="10"/>
      <c r="J98" s="10"/>
      <c r="K98" s="10"/>
      <c r="L98" s="10" t="s">
        <v>873</v>
      </c>
      <c r="M98" s="10" t="n">
        <v>1</v>
      </c>
      <c r="N98" s="10" t="s">
        <v>686</v>
      </c>
    </row>
    <row r="99" customFormat="false" ht="35.05" hidden="false" customHeight="false" outlineLevel="0" collapsed="false">
      <c r="A99" s="12" t="n">
        <v>46255</v>
      </c>
      <c r="B99" s="10" t="s">
        <v>63</v>
      </c>
      <c r="C99" s="10" t="s">
        <v>64</v>
      </c>
      <c r="D99" s="15" t="n">
        <v>27.16</v>
      </c>
      <c r="E99" s="10" t="s">
        <v>77</v>
      </c>
      <c r="F99" s="10" t="s">
        <v>1111</v>
      </c>
      <c r="G99" s="10"/>
      <c r="H99" s="15" t="n">
        <v>0</v>
      </c>
      <c r="I99" s="10"/>
      <c r="J99" s="10"/>
      <c r="K99" s="10"/>
      <c r="L99" s="10" t="s">
        <v>871</v>
      </c>
      <c r="M99" s="10" t="n">
        <v>1</v>
      </c>
      <c r="N99" s="10" t="s">
        <v>870</v>
      </c>
    </row>
    <row r="100" customFormat="false" ht="15" hidden="false" customHeight="false" outlineLevel="0" collapsed="false">
      <c r="A100" s="12" t="n">
        <v>46254</v>
      </c>
      <c r="B100" s="10" t="s">
        <v>63</v>
      </c>
      <c r="C100" s="10" t="s">
        <v>258</v>
      </c>
      <c r="D100" s="15" t="n">
        <v>32</v>
      </c>
      <c r="E100" s="10" t="s">
        <v>51</v>
      </c>
      <c r="F100" s="10" t="s">
        <v>1112</v>
      </c>
      <c r="G100" s="10" t="s">
        <v>1117</v>
      </c>
      <c r="H100" s="15" t="n">
        <v>910</v>
      </c>
      <c r="I100" s="10"/>
      <c r="J100" s="15"/>
      <c r="K100" s="10"/>
      <c r="L100" s="10" t="s">
        <v>868</v>
      </c>
      <c r="M100" s="10" t="n">
        <v>1</v>
      </c>
      <c r="N100" s="10" t="s">
        <v>629</v>
      </c>
    </row>
    <row r="101" customFormat="false" ht="35.05" hidden="false" customHeight="false" outlineLevel="0" collapsed="false">
      <c r="A101" s="12" t="n">
        <v>46254</v>
      </c>
      <c r="B101" s="10" t="s">
        <v>47</v>
      </c>
      <c r="C101" s="10" t="s">
        <v>258</v>
      </c>
      <c r="D101" s="15" t="n">
        <v>32</v>
      </c>
      <c r="E101" s="10" t="s">
        <v>51</v>
      </c>
      <c r="F101" s="10" t="s">
        <v>1111</v>
      </c>
      <c r="G101" s="10"/>
      <c r="H101" s="15" t="n">
        <v>0</v>
      </c>
      <c r="I101" s="10" t="s">
        <v>258</v>
      </c>
      <c r="J101" s="10" t="n">
        <v>32</v>
      </c>
      <c r="K101" s="10" t="s">
        <v>51</v>
      </c>
      <c r="L101" s="10" t="s">
        <v>867</v>
      </c>
      <c r="M101" s="10" t="n">
        <v>1</v>
      </c>
      <c r="N101" s="10" t="s">
        <v>655</v>
      </c>
    </row>
    <row r="102" customFormat="false" ht="35.05" hidden="false" customHeight="false" outlineLevel="0" collapsed="false">
      <c r="A102" s="12" t="n">
        <v>46254</v>
      </c>
      <c r="B102" s="10" t="s">
        <v>63</v>
      </c>
      <c r="C102" s="10" t="s">
        <v>255</v>
      </c>
      <c r="D102" s="15" t="n">
        <v>32</v>
      </c>
      <c r="E102" s="10" t="s">
        <v>51</v>
      </c>
      <c r="F102" s="10" t="s">
        <v>1111</v>
      </c>
      <c r="G102" s="10"/>
      <c r="H102" s="15" t="n">
        <v>0</v>
      </c>
      <c r="I102" s="10"/>
      <c r="J102" s="10"/>
      <c r="K102" s="10"/>
      <c r="L102" s="10" t="s">
        <v>866</v>
      </c>
      <c r="M102" s="10" t="n">
        <v>1</v>
      </c>
      <c r="N102" s="10" t="s">
        <v>865</v>
      </c>
    </row>
    <row r="103" customFormat="false" ht="15" hidden="false" customHeight="false" outlineLevel="0" collapsed="false">
      <c r="A103" s="12" t="n">
        <v>46254</v>
      </c>
      <c r="B103" s="10" t="s">
        <v>63</v>
      </c>
      <c r="C103" s="10" t="s">
        <v>258</v>
      </c>
      <c r="D103" s="15" t="n">
        <v>82</v>
      </c>
      <c r="E103" s="10" t="s">
        <v>51</v>
      </c>
      <c r="F103" s="10" t="s">
        <v>1112</v>
      </c>
      <c r="G103" s="10" t="s">
        <v>1116</v>
      </c>
      <c r="H103" s="15" t="n">
        <v>910</v>
      </c>
      <c r="I103" s="10"/>
      <c r="J103" s="15"/>
      <c r="K103" s="10"/>
      <c r="L103" s="10" t="s">
        <v>863</v>
      </c>
      <c r="M103" s="10" t="n">
        <v>1</v>
      </c>
      <c r="N103" s="10" t="s">
        <v>629</v>
      </c>
    </row>
    <row r="104" customFormat="false" ht="35.05" hidden="false" customHeight="false" outlineLevel="0" collapsed="false">
      <c r="A104" s="12" t="n">
        <v>46254</v>
      </c>
      <c r="B104" s="10" t="s">
        <v>47</v>
      </c>
      <c r="C104" s="10" t="s">
        <v>258</v>
      </c>
      <c r="D104" s="15" t="n">
        <v>82</v>
      </c>
      <c r="E104" s="10" t="s">
        <v>51</v>
      </c>
      <c r="F104" s="10" t="s">
        <v>1111</v>
      </c>
      <c r="G104" s="10"/>
      <c r="H104" s="15" t="n">
        <v>0</v>
      </c>
      <c r="I104" s="10" t="s">
        <v>258</v>
      </c>
      <c r="J104" s="10" t="n">
        <v>82</v>
      </c>
      <c r="K104" s="10" t="s">
        <v>51</v>
      </c>
      <c r="L104" s="10" t="s">
        <v>862</v>
      </c>
      <c r="M104" s="10" t="n">
        <v>1</v>
      </c>
      <c r="N104" s="10" t="s">
        <v>655</v>
      </c>
    </row>
    <row r="105" customFormat="false" ht="35.05" hidden="false" customHeight="false" outlineLevel="0" collapsed="false">
      <c r="A105" s="12" t="n">
        <v>46254</v>
      </c>
      <c r="B105" s="10" t="s">
        <v>63</v>
      </c>
      <c r="C105" s="10" t="s">
        <v>255</v>
      </c>
      <c r="D105" s="15" t="n">
        <v>82</v>
      </c>
      <c r="E105" s="10" t="s">
        <v>51</v>
      </c>
      <c r="F105" s="10" t="s">
        <v>1111</v>
      </c>
      <c r="G105" s="10"/>
      <c r="H105" s="15" t="n">
        <v>0</v>
      </c>
      <c r="I105" s="10"/>
      <c r="J105" s="10"/>
      <c r="K105" s="10"/>
      <c r="L105" s="10" t="s">
        <v>861</v>
      </c>
      <c r="M105" s="10" t="n">
        <v>1</v>
      </c>
      <c r="N105" s="10" t="s">
        <v>860</v>
      </c>
    </row>
    <row r="106" customFormat="false" ht="15" hidden="false" customHeight="false" outlineLevel="0" collapsed="false">
      <c r="A106" s="12" t="n">
        <v>46254</v>
      </c>
      <c r="B106" s="10" t="s">
        <v>63</v>
      </c>
      <c r="C106" s="10" t="s">
        <v>258</v>
      </c>
      <c r="D106" s="15" t="n">
        <v>55</v>
      </c>
      <c r="E106" s="10" t="s">
        <v>51</v>
      </c>
      <c r="F106" s="10" t="s">
        <v>1112</v>
      </c>
      <c r="G106" s="10" t="s">
        <v>1119</v>
      </c>
      <c r="H106" s="15" t="n">
        <v>910</v>
      </c>
      <c r="I106" s="10"/>
      <c r="J106" s="10"/>
      <c r="K106" s="10"/>
      <c r="L106" s="10" t="s">
        <v>858</v>
      </c>
      <c r="M106" s="10" t="n">
        <v>1</v>
      </c>
      <c r="N106" s="10" t="s">
        <v>629</v>
      </c>
    </row>
    <row r="107" customFormat="false" ht="35.05" hidden="false" customHeight="false" outlineLevel="0" collapsed="false">
      <c r="A107" s="12" t="n">
        <v>46254</v>
      </c>
      <c r="B107" s="10" t="s">
        <v>47</v>
      </c>
      <c r="C107" s="10" t="s">
        <v>258</v>
      </c>
      <c r="D107" s="15" t="n">
        <v>55</v>
      </c>
      <c r="E107" s="10" t="s">
        <v>51</v>
      </c>
      <c r="F107" s="10" t="s">
        <v>1111</v>
      </c>
      <c r="G107" s="10"/>
      <c r="H107" s="15" t="n">
        <v>0</v>
      </c>
      <c r="I107" s="10" t="s">
        <v>258</v>
      </c>
      <c r="J107" s="10" t="n">
        <v>55</v>
      </c>
      <c r="K107" s="10" t="s">
        <v>51</v>
      </c>
      <c r="L107" s="10" t="s">
        <v>857</v>
      </c>
      <c r="M107" s="10" t="n">
        <v>1</v>
      </c>
      <c r="N107" s="10" t="s">
        <v>655</v>
      </c>
    </row>
    <row r="108" customFormat="false" ht="35.05" hidden="false" customHeight="false" outlineLevel="0" collapsed="false">
      <c r="A108" s="12" t="n">
        <v>46254</v>
      </c>
      <c r="B108" s="10" t="s">
        <v>63</v>
      </c>
      <c r="C108" s="10" t="s">
        <v>255</v>
      </c>
      <c r="D108" s="15" t="n">
        <v>55</v>
      </c>
      <c r="E108" s="10" t="s">
        <v>51</v>
      </c>
      <c r="F108" s="10" t="s">
        <v>1111</v>
      </c>
      <c r="G108" s="10"/>
      <c r="H108" s="15" t="n">
        <v>0</v>
      </c>
      <c r="I108" s="10"/>
      <c r="J108" s="15"/>
      <c r="K108" s="10"/>
      <c r="L108" s="10" t="s">
        <v>856</v>
      </c>
      <c r="M108" s="10" t="n">
        <v>1</v>
      </c>
      <c r="N108" s="10" t="s">
        <v>855</v>
      </c>
    </row>
    <row r="109" customFormat="false" ht="46.25" hidden="false" customHeight="false" outlineLevel="0" collapsed="false">
      <c r="A109" s="12" t="n">
        <v>46254</v>
      </c>
      <c r="B109" s="10" t="s">
        <v>63</v>
      </c>
      <c r="C109" s="10" t="s">
        <v>258</v>
      </c>
      <c r="D109" s="15" t="n">
        <v>55</v>
      </c>
      <c r="E109" s="10" t="s">
        <v>51</v>
      </c>
      <c r="F109" s="10" t="s">
        <v>1112</v>
      </c>
      <c r="G109" s="10" t="s">
        <v>1120</v>
      </c>
      <c r="H109" s="15" t="n">
        <v>0</v>
      </c>
      <c r="I109" s="10"/>
      <c r="J109" s="10"/>
      <c r="K109" s="10"/>
      <c r="L109" s="10" t="s">
        <v>853</v>
      </c>
      <c r="M109" s="10" t="n">
        <v>1</v>
      </c>
      <c r="N109" s="10" t="s">
        <v>852</v>
      </c>
    </row>
    <row r="110" customFormat="false" ht="35.05" hidden="false" customHeight="false" outlineLevel="0" collapsed="false">
      <c r="A110" s="12" t="n">
        <v>46254</v>
      </c>
      <c r="B110" s="10" t="s">
        <v>47</v>
      </c>
      <c r="C110" s="10" t="s">
        <v>258</v>
      </c>
      <c r="D110" s="15" t="n">
        <v>55</v>
      </c>
      <c r="E110" s="10" t="s">
        <v>51</v>
      </c>
      <c r="F110" s="10" t="s">
        <v>1111</v>
      </c>
      <c r="G110" s="10"/>
      <c r="H110" s="15" t="n">
        <v>0</v>
      </c>
      <c r="I110" s="10" t="s">
        <v>258</v>
      </c>
      <c r="J110" s="10" t="n">
        <v>55</v>
      </c>
      <c r="K110" s="10" t="s">
        <v>51</v>
      </c>
      <c r="L110" s="10" t="s">
        <v>850</v>
      </c>
      <c r="M110" s="10" t="n">
        <v>1</v>
      </c>
      <c r="N110" s="10" t="s">
        <v>655</v>
      </c>
    </row>
    <row r="111" customFormat="false" ht="35.05" hidden="false" customHeight="false" outlineLevel="0" collapsed="false">
      <c r="A111" s="12" t="n">
        <v>46254</v>
      </c>
      <c r="B111" s="10" t="s">
        <v>63</v>
      </c>
      <c r="C111" s="10" t="s">
        <v>255</v>
      </c>
      <c r="D111" s="15" t="n">
        <v>55</v>
      </c>
      <c r="E111" s="10" t="s">
        <v>51</v>
      </c>
      <c r="F111" s="10" t="s">
        <v>1111</v>
      </c>
      <c r="G111" s="10"/>
      <c r="H111" s="15" t="n">
        <v>0</v>
      </c>
      <c r="I111" s="10"/>
      <c r="J111" s="15"/>
      <c r="K111" s="10"/>
      <c r="L111" s="10" t="s">
        <v>849</v>
      </c>
      <c r="M111" s="10" t="n">
        <v>1</v>
      </c>
      <c r="N111" s="10" t="s">
        <v>848</v>
      </c>
    </row>
    <row r="112" customFormat="false" ht="35.05" hidden="false" customHeight="false" outlineLevel="0" collapsed="false">
      <c r="A112" s="12" t="n">
        <v>46254</v>
      </c>
      <c r="B112" s="10" t="s">
        <v>63</v>
      </c>
      <c r="C112" s="10" t="s">
        <v>104</v>
      </c>
      <c r="D112" s="15" t="n">
        <v>90</v>
      </c>
      <c r="E112" s="10" t="s">
        <v>51</v>
      </c>
      <c r="F112" s="10" t="s">
        <v>1111</v>
      </c>
      <c r="G112" s="10"/>
      <c r="H112" s="15" t="n">
        <v>0</v>
      </c>
      <c r="I112" s="10"/>
      <c r="J112" s="10"/>
      <c r="K112" s="10"/>
      <c r="L112" s="10" t="s">
        <v>846</v>
      </c>
      <c r="M112" s="10" t="n">
        <v>1</v>
      </c>
      <c r="N112" s="10" t="s">
        <v>845</v>
      </c>
    </row>
    <row r="113" customFormat="false" ht="35.05" hidden="false" customHeight="false" outlineLevel="0" collapsed="false">
      <c r="A113" s="12" t="n">
        <v>46254</v>
      </c>
      <c r="B113" s="10" t="s">
        <v>63</v>
      </c>
      <c r="C113" s="10" t="s">
        <v>64</v>
      </c>
      <c r="D113" s="15" t="n">
        <v>29.05</v>
      </c>
      <c r="E113" s="10" t="s">
        <v>77</v>
      </c>
      <c r="F113" s="10" t="s">
        <v>1111</v>
      </c>
      <c r="G113" s="10"/>
      <c r="H113" s="15" t="n">
        <v>0</v>
      </c>
      <c r="I113" s="10"/>
      <c r="J113" s="10"/>
      <c r="K113" s="10"/>
      <c r="L113" s="10" t="s">
        <v>843</v>
      </c>
      <c r="M113" s="10" t="n">
        <v>1</v>
      </c>
      <c r="N113" s="10" t="s">
        <v>842</v>
      </c>
    </row>
    <row r="114" customFormat="false" ht="15" hidden="false" customHeight="false" outlineLevel="0" collapsed="false">
      <c r="A114" s="12" t="n">
        <v>46253</v>
      </c>
      <c r="B114" s="10" t="s">
        <v>63</v>
      </c>
      <c r="C114" s="10" t="s">
        <v>258</v>
      </c>
      <c r="D114" s="15" t="n">
        <v>82</v>
      </c>
      <c r="E114" s="10" t="s">
        <v>51</v>
      </c>
      <c r="F114" s="10" t="s">
        <v>1112</v>
      </c>
      <c r="G114" s="10" t="s">
        <v>1116</v>
      </c>
      <c r="H114" s="15" t="n">
        <v>910</v>
      </c>
      <c r="I114" s="10"/>
      <c r="J114" s="15"/>
      <c r="K114" s="10"/>
      <c r="L114" s="10" t="s">
        <v>840</v>
      </c>
      <c r="M114" s="10" t="n">
        <v>1</v>
      </c>
      <c r="N114" s="10" t="s">
        <v>629</v>
      </c>
    </row>
    <row r="115" customFormat="false" ht="35.05" hidden="false" customHeight="false" outlineLevel="0" collapsed="false">
      <c r="A115" s="12" t="n">
        <v>46253</v>
      </c>
      <c r="B115" s="10" t="s">
        <v>47</v>
      </c>
      <c r="C115" s="10" t="s">
        <v>258</v>
      </c>
      <c r="D115" s="15" t="n">
        <v>82</v>
      </c>
      <c r="E115" s="10" t="s">
        <v>51</v>
      </c>
      <c r="F115" s="10" t="s">
        <v>1111</v>
      </c>
      <c r="G115" s="10"/>
      <c r="H115" s="15" t="n">
        <v>0</v>
      </c>
      <c r="I115" s="10" t="s">
        <v>258</v>
      </c>
      <c r="J115" s="10" t="n">
        <v>82</v>
      </c>
      <c r="K115" s="10" t="s">
        <v>51</v>
      </c>
      <c r="L115" s="10" t="s">
        <v>839</v>
      </c>
      <c r="M115" s="10" t="n">
        <v>1</v>
      </c>
      <c r="N115" s="10" t="s">
        <v>655</v>
      </c>
    </row>
    <row r="116" customFormat="false" ht="35.05" hidden="false" customHeight="false" outlineLevel="0" collapsed="false">
      <c r="A116" s="12" t="n">
        <v>46253</v>
      </c>
      <c r="B116" s="10" t="s">
        <v>63</v>
      </c>
      <c r="C116" s="10" t="s">
        <v>255</v>
      </c>
      <c r="D116" s="15" t="n">
        <v>82</v>
      </c>
      <c r="E116" s="10" t="s">
        <v>51</v>
      </c>
      <c r="F116" s="10" t="s">
        <v>1111</v>
      </c>
      <c r="G116" s="10"/>
      <c r="H116" s="15" t="n">
        <v>0</v>
      </c>
      <c r="I116" s="10"/>
      <c r="J116" s="10"/>
      <c r="K116" s="10"/>
      <c r="L116" s="10" t="s">
        <v>838</v>
      </c>
      <c r="M116" s="10" t="n">
        <v>1</v>
      </c>
      <c r="N116" s="10" t="s">
        <v>837</v>
      </c>
    </row>
    <row r="117" customFormat="false" ht="15" hidden="false" customHeight="false" outlineLevel="0" collapsed="false">
      <c r="A117" s="12" t="n">
        <v>46253</v>
      </c>
      <c r="B117" s="10" t="s">
        <v>63</v>
      </c>
      <c r="C117" s="10" t="s">
        <v>258</v>
      </c>
      <c r="D117" s="15" t="n">
        <v>85</v>
      </c>
      <c r="E117" s="10" t="s">
        <v>51</v>
      </c>
      <c r="F117" s="10" t="s">
        <v>1112</v>
      </c>
      <c r="G117" s="10" t="s">
        <v>1119</v>
      </c>
      <c r="H117" s="15" t="n">
        <v>910</v>
      </c>
      <c r="I117" s="10"/>
      <c r="J117" s="15"/>
      <c r="K117" s="10"/>
      <c r="L117" s="10" t="s">
        <v>835</v>
      </c>
      <c r="M117" s="10" t="n">
        <v>1</v>
      </c>
      <c r="N117" s="10" t="s">
        <v>629</v>
      </c>
    </row>
    <row r="118" customFormat="false" ht="35.05" hidden="false" customHeight="false" outlineLevel="0" collapsed="false">
      <c r="A118" s="12" t="n">
        <v>46253</v>
      </c>
      <c r="B118" s="10" t="s">
        <v>47</v>
      </c>
      <c r="C118" s="10" t="s">
        <v>258</v>
      </c>
      <c r="D118" s="15" t="n">
        <v>85</v>
      </c>
      <c r="E118" s="10" t="s">
        <v>51</v>
      </c>
      <c r="F118" s="10" t="s">
        <v>1111</v>
      </c>
      <c r="G118" s="10"/>
      <c r="H118" s="15" t="n">
        <v>0</v>
      </c>
      <c r="I118" s="10" t="s">
        <v>258</v>
      </c>
      <c r="J118" s="10" t="n">
        <v>85</v>
      </c>
      <c r="K118" s="10" t="s">
        <v>51</v>
      </c>
      <c r="L118" s="10" t="s">
        <v>834</v>
      </c>
      <c r="M118" s="10" t="n">
        <v>1</v>
      </c>
      <c r="N118" s="10" t="s">
        <v>655</v>
      </c>
    </row>
    <row r="119" customFormat="false" ht="35.05" hidden="false" customHeight="false" outlineLevel="0" collapsed="false">
      <c r="A119" s="12" t="n">
        <v>46253</v>
      </c>
      <c r="B119" s="10" t="s">
        <v>63</v>
      </c>
      <c r="C119" s="10" t="s">
        <v>255</v>
      </c>
      <c r="D119" s="15" t="n">
        <v>85</v>
      </c>
      <c r="E119" s="10" t="s">
        <v>51</v>
      </c>
      <c r="F119" s="10" t="s">
        <v>1111</v>
      </c>
      <c r="G119" s="10"/>
      <c r="H119" s="15" t="n">
        <v>0</v>
      </c>
      <c r="I119" s="10"/>
      <c r="J119" s="10"/>
      <c r="K119" s="10"/>
      <c r="L119" s="10" t="s">
        <v>833</v>
      </c>
      <c r="M119" s="10" t="n">
        <v>1</v>
      </c>
      <c r="N119" s="10" t="s">
        <v>832</v>
      </c>
    </row>
    <row r="120" customFormat="false" ht="46.25" hidden="false" customHeight="false" outlineLevel="0" collapsed="false">
      <c r="A120" s="12" t="n">
        <v>46253</v>
      </c>
      <c r="B120" s="10" t="s">
        <v>63</v>
      </c>
      <c r="C120" s="10" t="s">
        <v>258</v>
      </c>
      <c r="D120" s="15" t="n">
        <v>65</v>
      </c>
      <c r="E120" s="10" t="s">
        <v>51</v>
      </c>
      <c r="F120" s="10" t="s">
        <v>1112</v>
      </c>
      <c r="G120" s="10" t="s">
        <v>1121</v>
      </c>
      <c r="H120" s="15" t="n">
        <v>1050</v>
      </c>
      <c r="I120" s="10"/>
      <c r="J120" s="10"/>
      <c r="K120" s="10"/>
      <c r="L120" s="10" t="s">
        <v>830</v>
      </c>
      <c r="M120" s="10" t="n">
        <v>1</v>
      </c>
      <c r="N120" s="10" t="s">
        <v>829</v>
      </c>
    </row>
    <row r="121" customFormat="false" ht="35.05" hidden="false" customHeight="false" outlineLevel="0" collapsed="false">
      <c r="A121" s="12" t="n">
        <v>46253</v>
      </c>
      <c r="B121" s="10" t="s">
        <v>47</v>
      </c>
      <c r="C121" s="10" t="s">
        <v>258</v>
      </c>
      <c r="D121" s="15" t="n">
        <v>65</v>
      </c>
      <c r="E121" s="10" t="s">
        <v>51</v>
      </c>
      <c r="F121" s="10" t="s">
        <v>1111</v>
      </c>
      <c r="G121" s="10"/>
      <c r="H121" s="15" t="n">
        <v>0</v>
      </c>
      <c r="I121" s="10" t="s">
        <v>258</v>
      </c>
      <c r="J121" s="10" t="n">
        <v>65</v>
      </c>
      <c r="K121" s="10" t="s">
        <v>51</v>
      </c>
      <c r="L121" s="10" t="s">
        <v>828</v>
      </c>
      <c r="M121" s="10" t="n">
        <v>1</v>
      </c>
      <c r="N121" s="10" t="s">
        <v>655</v>
      </c>
    </row>
    <row r="122" customFormat="false" ht="35.05" hidden="false" customHeight="false" outlineLevel="0" collapsed="false">
      <c r="A122" s="12" t="n">
        <v>46253</v>
      </c>
      <c r="B122" s="10" t="s">
        <v>63</v>
      </c>
      <c r="C122" s="10" t="s">
        <v>255</v>
      </c>
      <c r="D122" s="15" t="n">
        <v>65</v>
      </c>
      <c r="E122" s="10" t="s">
        <v>51</v>
      </c>
      <c r="F122" s="10" t="s">
        <v>1111</v>
      </c>
      <c r="G122" s="10"/>
      <c r="H122" s="15" t="n">
        <v>0</v>
      </c>
      <c r="I122" s="10"/>
      <c r="J122" s="15"/>
      <c r="K122" s="10"/>
      <c r="L122" s="10" t="s">
        <v>827</v>
      </c>
      <c r="M122" s="10" t="n">
        <v>1</v>
      </c>
      <c r="N122" s="10" t="s">
        <v>826</v>
      </c>
    </row>
    <row r="123" customFormat="false" ht="35.05" hidden="false" customHeight="false" outlineLevel="0" collapsed="false">
      <c r="A123" s="12" t="n">
        <v>46253</v>
      </c>
      <c r="B123" s="10" t="s">
        <v>63</v>
      </c>
      <c r="C123" s="10" t="s">
        <v>258</v>
      </c>
      <c r="D123" s="15" t="n">
        <v>80</v>
      </c>
      <c r="E123" s="10" t="s">
        <v>51</v>
      </c>
      <c r="F123" s="10" t="s">
        <v>1112</v>
      </c>
      <c r="G123" s="10" t="s">
        <v>1122</v>
      </c>
      <c r="H123" s="15" t="n">
        <v>1050</v>
      </c>
      <c r="I123" s="10"/>
      <c r="J123" s="10"/>
      <c r="K123" s="10"/>
      <c r="L123" s="10" t="s">
        <v>824</v>
      </c>
      <c r="M123" s="10" t="n">
        <v>1</v>
      </c>
      <c r="N123" s="10" t="s">
        <v>769</v>
      </c>
    </row>
    <row r="124" customFormat="false" ht="35.05" hidden="false" customHeight="false" outlineLevel="0" collapsed="false">
      <c r="A124" s="12" t="n">
        <v>46253</v>
      </c>
      <c r="B124" s="10" t="s">
        <v>47</v>
      </c>
      <c r="C124" s="10" t="s">
        <v>258</v>
      </c>
      <c r="D124" s="15" t="n">
        <v>80</v>
      </c>
      <c r="E124" s="10" t="s">
        <v>51</v>
      </c>
      <c r="F124" s="10" t="s">
        <v>1111</v>
      </c>
      <c r="G124" s="10"/>
      <c r="H124" s="15" t="n">
        <v>0</v>
      </c>
      <c r="I124" s="10" t="s">
        <v>258</v>
      </c>
      <c r="J124" s="10" t="n">
        <v>80</v>
      </c>
      <c r="K124" s="10" t="s">
        <v>51</v>
      </c>
      <c r="L124" s="10" t="s">
        <v>823</v>
      </c>
      <c r="M124" s="10" t="n">
        <v>1</v>
      </c>
      <c r="N124" s="10" t="s">
        <v>655</v>
      </c>
    </row>
    <row r="125" customFormat="false" ht="35.05" hidden="false" customHeight="false" outlineLevel="0" collapsed="false">
      <c r="A125" s="12" t="n">
        <v>46253</v>
      </c>
      <c r="B125" s="10" t="s">
        <v>63</v>
      </c>
      <c r="C125" s="10" t="s">
        <v>255</v>
      </c>
      <c r="D125" s="15" t="n">
        <v>80</v>
      </c>
      <c r="E125" s="10" t="s">
        <v>51</v>
      </c>
      <c r="F125" s="10" t="s">
        <v>1111</v>
      </c>
      <c r="G125" s="10"/>
      <c r="H125" s="15" t="n">
        <v>0</v>
      </c>
      <c r="I125" s="10"/>
      <c r="J125" s="15"/>
      <c r="K125" s="10"/>
      <c r="L125" s="10" t="s">
        <v>822</v>
      </c>
      <c r="M125" s="10" t="n">
        <v>1</v>
      </c>
      <c r="N125" s="10" t="s">
        <v>821</v>
      </c>
    </row>
    <row r="126" customFormat="false" ht="35.05" hidden="false" customHeight="false" outlineLevel="0" collapsed="false">
      <c r="A126" s="12" t="n">
        <v>46253</v>
      </c>
      <c r="B126" s="10" t="s">
        <v>63</v>
      </c>
      <c r="C126" s="10" t="s">
        <v>64</v>
      </c>
      <c r="D126" s="15" t="n">
        <v>25</v>
      </c>
      <c r="E126" s="10" t="s">
        <v>77</v>
      </c>
      <c r="F126" s="10" t="s">
        <v>1111</v>
      </c>
      <c r="G126" s="10"/>
      <c r="H126" s="15" t="n">
        <v>0</v>
      </c>
      <c r="I126" s="10"/>
      <c r="J126" s="10"/>
      <c r="K126" s="10"/>
      <c r="L126" s="10" t="s">
        <v>819</v>
      </c>
      <c r="M126" s="10" t="n">
        <v>1</v>
      </c>
      <c r="N126" s="10" t="s">
        <v>818</v>
      </c>
    </row>
    <row r="127" customFormat="false" ht="35.05" hidden="false" customHeight="false" outlineLevel="0" collapsed="false">
      <c r="A127" s="12" t="n">
        <v>46253</v>
      </c>
      <c r="B127" s="10" t="s">
        <v>63</v>
      </c>
      <c r="C127" s="10" t="s">
        <v>64</v>
      </c>
      <c r="D127" s="15" t="n">
        <v>26.95</v>
      </c>
      <c r="E127" s="10" t="s">
        <v>77</v>
      </c>
      <c r="F127" s="10" t="s">
        <v>1111</v>
      </c>
      <c r="G127" s="10"/>
      <c r="H127" s="15" t="n">
        <v>0</v>
      </c>
      <c r="I127" s="10"/>
      <c r="J127" s="10"/>
      <c r="K127" s="10"/>
      <c r="L127" s="10" t="s">
        <v>816</v>
      </c>
      <c r="M127" s="10" t="n">
        <v>1</v>
      </c>
      <c r="N127" s="10" t="s">
        <v>815</v>
      </c>
    </row>
    <row r="128" customFormat="false" ht="15" hidden="false" customHeight="false" outlineLevel="0" collapsed="false">
      <c r="A128" s="12" t="n">
        <v>46252</v>
      </c>
      <c r="B128" s="10" t="s">
        <v>63</v>
      </c>
      <c r="C128" s="10" t="s">
        <v>258</v>
      </c>
      <c r="D128" s="15" t="n">
        <v>80</v>
      </c>
      <c r="E128" s="10" t="s">
        <v>51</v>
      </c>
      <c r="F128" s="10" t="s">
        <v>1112</v>
      </c>
      <c r="G128" s="10" t="s">
        <v>1116</v>
      </c>
      <c r="H128" s="15" t="n">
        <v>1050</v>
      </c>
      <c r="I128" s="10"/>
      <c r="J128" s="15"/>
      <c r="K128" s="10"/>
      <c r="L128" s="10" t="s">
        <v>813</v>
      </c>
      <c r="M128" s="10" t="n">
        <v>1</v>
      </c>
      <c r="N128" s="10" t="s">
        <v>629</v>
      </c>
    </row>
    <row r="129" customFormat="false" ht="35.05" hidden="false" customHeight="false" outlineLevel="0" collapsed="false">
      <c r="A129" s="12" t="n">
        <v>46252</v>
      </c>
      <c r="B129" s="10" t="s">
        <v>47</v>
      </c>
      <c r="C129" s="10" t="s">
        <v>258</v>
      </c>
      <c r="D129" s="15" t="n">
        <v>80</v>
      </c>
      <c r="E129" s="10" t="s">
        <v>51</v>
      </c>
      <c r="F129" s="10" t="s">
        <v>1111</v>
      </c>
      <c r="G129" s="10"/>
      <c r="H129" s="15" t="n">
        <v>0</v>
      </c>
      <c r="I129" s="10" t="s">
        <v>258</v>
      </c>
      <c r="J129" s="10" t="n">
        <v>80</v>
      </c>
      <c r="K129" s="10" t="s">
        <v>51</v>
      </c>
      <c r="L129" s="10" t="s">
        <v>812</v>
      </c>
      <c r="M129" s="10" t="n">
        <v>1</v>
      </c>
      <c r="N129" s="10" t="s">
        <v>655</v>
      </c>
    </row>
    <row r="130" customFormat="false" ht="35.05" hidden="false" customHeight="false" outlineLevel="0" collapsed="false">
      <c r="A130" s="12" t="n">
        <v>46252</v>
      </c>
      <c r="B130" s="10" t="s">
        <v>63</v>
      </c>
      <c r="C130" s="10" t="s">
        <v>255</v>
      </c>
      <c r="D130" s="15" t="n">
        <v>80</v>
      </c>
      <c r="E130" s="10" t="s">
        <v>51</v>
      </c>
      <c r="F130" s="10" t="s">
        <v>1111</v>
      </c>
      <c r="G130" s="10"/>
      <c r="H130" s="15" t="n">
        <v>0</v>
      </c>
      <c r="I130" s="10"/>
      <c r="J130" s="10"/>
      <c r="K130" s="10"/>
      <c r="L130" s="10" t="s">
        <v>811</v>
      </c>
      <c r="M130" s="10" t="n">
        <v>1</v>
      </c>
      <c r="N130" s="10" t="s">
        <v>810</v>
      </c>
    </row>
    <row r="131" customFormat="false" ht="15" hidden="false" customHeight="false" outlineLevel="0" collapsed="false">
      <c r="A131" s="12" t="n">
        <v>46252</v>
      </c>
      <c r="B131" s="10" t="s">
        <v>63</v>
      </c>
      <c r="C131" s="10" t="s">
        <v>258</v>
      </c>
      <c r="D131" s="15" t="n">
        <v>82</v>
      </c>
      <c r="E131" s="10" t="s">
        <v>51</v>
      </c>
      <c r="F131" s="10" t="s">
        <v>1112</v>
      </c>
      <c r="G131" s="10" t="s">
        <v>1119</v>
      </c>
      <c r="H131" s="15" t="n">
        <v>1050</v>
      </c>
      <c r="I131" s="10"/>
      <c r="J131" s="15"/>
      <c r="K131" s="10"/>
      <c r="L131" s="10" t="s">
        <v>808</v>
      </c>
      <c r="M131" s="10" t="n">
        <v>1</v>
      </c>
      <c r="N131" s="10" t="s">
        <v>629</v>
      </c>
    </row>
    <row r="132" customFormat="false" ht="35.05" hidden="false" customHeight="false" outlineLevel="0" collapsed="false">
      <c r="A132" s="12" t="n">
        <v>46252</v>
      </c>
      <c r="B132" s="10" t="s">
        <v>47</v>
      </c>
      <c r="C132" s="10" t="s">
        <v>258</v>
      </c>
      <c r="D132" s="15" t="n">
        <v>82</v>
      </c>
      <c r="E132" s="10" t="s">
        <v>51</v>
      </c>
      <c r="F132" s="10" t="s">
        <v>1111</v>
      </c>
      <c r="G132" s="10"/>
      <c r="H132" s="15" t="n">
        <v>0</v>
      </c>
      <c r="I132" s="10" t="s">
        <v>258</v>
      </c>
      <c r="J132" s="10" t="n">
        <v>82</v>
      </c>
      <c r="K132" s="10" t="s">
        <v>51</v>
      </c>
      <c r="L132" s="10" t="s">
        <v>807</v>
      </c>
      <c r="M132" s="10" t="n">
        <v>1</v>
      </c>
      <c r="N132" s="10" t="s">
        <v>655</v>
      </c>
    </row>
    <row r="133" customFormat="false" ht="35.05" hidden="false" customHeight="false" outlineLevel="0" collapsed="false">
      <c r="A133" s="12" t="n">
        <v>46252</v>
      </c>
      <c r="B133" s="10" t="s">
        <v>63</v>
      </c>
      <c r="C133" s="10" t="s">
        <v>255</v>
      </c>
      <c r="D133" s="15" t="n">
        <v>82</v>
      </c>
      <c r="E133" s="10" t="s">
        <v>51</v>
      </c>
      <c r="F133" s="10" t="s">
        <v>1111</v>
      </c>
      <c r="G133" s="10"/>
      <c r="H133" s="15" t="n">
        <v>0</v>
      </c>
      <c r="I133" s="10"/>
      <c r="J133" s="10"/>
      <c r="K133" s="10"/>
      <c r="L133" s="10" t="s">
        <v>806</v>
      </c>
      <c r="M133" s="10" t="n">
        <v>1</v>
      </c>
      <c r="N133" s="10" t="s">
        <v>805</v>
      </c>
    </row>
    <row r="134" customFormat="false" ht="57.45" hidden="false" customHeight="false" outlineLevel="0" collapsed="false">
      <c r="A134" s="12" t="n">
        <v>46252</v>
      </c>
      <c r="B134" s="10" t="s">
        <v>63</v>
      </c>
      <c r="C134" s="10" t="s">
        <v>258</v>
      </c>
      <c r="D134" s="15" t="n">
        <v>75</v>
      </c>
      <c r="E134" s="10" t="s">
        <v>51</v>
      </c>
      <c r="F134" s="10" t="s">
        <v>1112</v>
      </c>
      <c r="G134" s="10" t="s">
        <v>1121</v>
      </c>
      <c r="H134" s="15" t="n">
        <v>1050</v>
      </c>
      <c r="I134" s="10"/>
      <c r="J134" s="15"/>
      <c r="K134" s="10"/>
      <c r="L134" s="10" t="s">
        <v>803</v>
      </c>
      <c r="M134" s="10" t="n">
        <v>1</v>
      </c>
      <c r="N134" s="10" t="s">
        <v>802</v>
      </c>
    </row>
    <row r="135" customFormat="false" ht="35.05" hidden="false" customHeight="false" outlineLevel="0" collapsed="false">
      <c r="A135" s="12" t="n">
        <v>46252</v>
      </c>
      <c r="B135" s="10" t="s">
        <v>47</v>
      </c>
      <c r="C135" s="10" t="s">
        <v>258</v>
      </c>
      <c r="D135" s="15" t="n">
        <v>75</v>
      </c>
      <c r="E135" s="10" t="s">
        <v>51</v>
      </c>
      <c r="F135" s="10" t="s">
        <v>1111</v>
      </c>
      <c r="G135" s="10"/>
      <c r="H135" s="15" t="n">
        <v>0</v>
      </c>
      <c r="I135" s="10" t="s">
        <v>258</v>
      </c>
      <c r="J135" s="10" t="n">
        <v>75</v>
      </c>
      <c r="K135" s="10" t="s">
        <v>51</v>
      </c>
      <c r="L135" s="10" t="s">
        <v>801</v>
      </c>
      <c r="M135" s="10" t="n">
        <v>1</v>
      </c>
      <c r="N135" s="10" t="s">
        <v>655</v>
      </c>
    </row>
    <row r="136" customFormat="false" ht="35.05" hidden="false" customHeight="false" outlineLevel="0" collapsed="false">
      <c r="A136" s="12" t="n">
        <v>46252</v>
      </c>
      <c r="B136" s="10" t="s">
        <v>63</v>
      </c>
      <c r="C136" s="10" t="s">
        <v>255</v>
      </c>
      <c r="D136" s="15" t="n">
        <v>75</v>
      </c>
      <c r="E136" s="10" t="s">
        <v>51</v>
      </c>
      <c r="F136" s="10" t="s">
        <v>1111</v>
      </c>
      <c r="G136" s="10"/>
      <c r="H136" s="15" t="n">
        <v>0</v>
      </c>
      <c r="I136" s="10"/>
      <c r="J136" s="10"/>
      <c r="K136" s="10"/>
      <c r="L136" s="10" t="s">
        <v>800</v>
      </c>
      <c r="M136" s="10" t="n">
        <v>1</v>
      </c>
      <c r="N136" s="10" t="s">
        <v>799</v>
      </c>
    </row>
    <row r="137" customFormat="false" ht="35.05" hidden="false" customHeight="false" outlineLevel="0" collapsed="false">
      <c r="A137" s="12" t="n">
        <v>46252</v>
      </c>
      <c r="B137" s="10" t="s">
        <v>63</v>
      </c>
      <c r="C137" s="10" t="s">
        <v>258</v>
      </c>
      <c r="D137" s="15" t="n">
        <v>75</v>
      </c>
      <c r="E137" s="10" t="s">
        <v>51</v>
      </c>
      <c r="F137" s="10" t="s">
        <v>1112</v>
      </c>
      <c r="G137" s="10" t="s">
        <v>1122</v>
      </c>
      <c r="H137" s="15" t="n">
        <v>1050</v>
      </c>
      <c r="I137" s="10"/>
      <c r="J137" s="15"/>
      <c r="K137" s="10"/>
      <c r="L137" s="10" t="s">
        <v>797</v>
      </c>
      <c r="M137" s="10" t="n">
        <v>1</v>
      </c>
      <c r="N137" s="10" t="s">
        <v>769</v>
      </c>
    </row>
    <row r="138" customFormat="false" ht="35.05" hidden="false" customHeight="false" outlineLevel="0" collapsed="false">
      <c r="A138" s="12" t="n">
        <v>46252</v>
      </c>
      <c r="B138" s="10" t="s">
        <v>47</v>
      </c>
      <c r="C138" s="10" t="s">
        <v>258</v>
      </c>
      <c r="D138" s="15" t="n">
        <v>75</v>
      </c>
      <c r="E138" s="10" t="s">
        <v>51</v>
      </c>
      <c r="F138" s="10" t="s">
        <v>1111</v>
      </c>
      <c r="G138" s="10"/>
      <c r="H138" s="15" t="n">
        <v>0</v>
      </c>
      <c r="I138" s="10" t="s">
        <v>258</v>
      </c>
      <c r="J138" s="10" t="n">
        <v>75</v>
      </c>
      <c r="K138" s="10" t="s">
        <v>51</v>
      </c>
      <c r="L138" s="10" t="s">
        <v>796</v>
      </c>
      <c r="M138" s="10" t="n">
        <v>1</v>
      </c>
      <c r="N138" s="10" t="s">
        <v>655</v>
      </c>
    </row>
    <row r="139" customFormat="false" ht="35.05" hidden="false" customHeight="false" outlineLevel="0" collapsed="false">
      <c r="A139" s="12" t="n">
        <v>46252</v>
      </c>
      <c r="B139" s="10" t="s">
        <v>63</v>
      </c>
      <c r="C139" s="10" t="s">
        <v>255</v>
      </c>
      <c r="D139" s="15" t="n">
        <v>75</v>
      </c>
      <c r="E139" s="10" t="s">
        <v>51</v>
      </c>
      <c r="F139" s="10" t="s">
        <v>1111</v>
      </c>
      <c r="G139" s="10"/>
      <c r="H139" s="15" t="n">
        <v>0</v>
      </c>
      <c r="I139" s="10"/>
      <c r="J139" s="10"/>
      <c r="K139" s="10"/>
      <c r="L139" s="10" t="s">
        <v>795</v>
      </c>
      <c r="M139" s="10" t="n">
        <v>1</v>
      </c>
      <c r="N139" s="10" t="s">
        <v>794</v>
      </c>
    </row>
    <row r="140" customFormat="false" ht="15" hidden="false" customHeight="false" outlineLevel="0" collapsed="false">
      <c r="A140" s="12" t="n">
        <v>46252</v>
      </c>
      <c r="B140" s="10" t="s">
        <v>63</v>
      </c>
      <c r="C140" s="10" t="s">
        <v>258</v>
      </c>
      <c r="D140" s="15" t="n">
        <v>76</v>
      </c>
      <c r="E140" s="10" t="s">
        <v>51</v>
      </c>
      <c r="F140" s="10" t="s">
        <v>1112</v>
      </c>
      <c r="G140" s="10" t="s">
        <v>1116</v>
      </c>
      <c r="H140" s="15" t="n">
        <v>1050</v>
      </c>
      <c r="I140" s="10"/>
      <c r="J140" s="10"/>
      <c r="K140" s="10"/>
      <c r="L140" s="10" t="s">
        <v>792</v>
      </c>
      <c r="M140" s="10" t="n">
        <v>1</v>
      </c>
      <c r="N140" s="10" t="s">
        <v>629</v>
      </c>
    </row>
    <row r="141" customFormat="false" ht="35.05" hidden="false" customHeight="false" outlineLevel="0" collapsed="false">
      <c r="A141" s="12" t="n">
        <v>46252</v>
      </c>
      <c r="B141" s="10" t="s">
        <v>47</v>
      </c>
      <c r="C141" s="10" t="s">
        <v>258</v>
      </c>
      <c r="D141" s="15" t="n">
        <v>76</v>
      </c>
      <c r="E141" s="10" t="s">
        <v>51</v>
      </c>
      <c r="F141" s="10" t="s">
        <v>1111</v>
      </c>
      <c r="G141" s="10"/>
      <c r="H141" s="15" t="n">
        <v>0</v>
      </c>
      <c r="I141" s="10" t="s">
        <v>258</v>
      </c>
      <c r="J141" s="10" t="n">
        <v>76</v>
      </c>
      <c r="K141" s="10" t="s">
        <v>51</v>
      </c>
      <c r="L141" s="10" t="s">
        <v>791</v>
      </c>
      <c r="M141" s="10" t="n">
        <v>1</v>
      </c>
      <c r="N141" s="10" t="s">
        <v>655</v>
      </c>
    </row>
    <row r="142" customFormat="false" ht="35.05" hidden="false" customHeight="false" outlineLevel="0" collapsed="false">
      <c r="A142" s="12" t="n">
        <v>46252</v>
      </c>
      <c r="B142" s="10" t="s">
        <v>63</v>
      </c>
      <c r="C142" s="10" t="s">
        <v>255</v>
      </c>
      <c r="D142" s="15" t="n">
        <v>76</v>
      </c>
      <c r="E142" s="10" t="s">
        <v>51</v>
      </c>
      <c r="F142" s="10" t="s">
        <v>1111</v>
      </c>
      <c r="G142" s="10"/>
      <c r="H142" s="15" t="n">
        <v>0</v>
      </c>
      <c r="I142" s="10"/>
      <c r="J142" s="15"/>
      <c r="K142" s="10"/>
      <c r="L142" s="10" t="s">
        <v>790</v>
      </c>
      <c r="M142" s="10" t="n">
        <v>1</v>
      </c>
      <c r="N142" s="10" t="s">
        <v>789</v>
      </c>
    </row>
    <row r="143" customFormat="false" ht="15" hidden="false" customHeight="false" outlineLevel="0" collapsed="false">
      <c r="A143" s="12" t="n">
        <v>46252</v>
      </c>
      <c r="B143" s="10" t="s">
        <v>63</v>
      </c>
      <c r="C143" s="10" t="s">
        <v>258</v>
      </c>
      <c r="D143" s="15" t="n">
        <v>74</v>
      </c>
      <c r="E143" s="10" t="s">
        <v>51</v>
      </c>
      <c r="F143" s="10" t="s">
        <v>1112</v>
      </c>
      <c r="G143" s="10" t="s">
        <v>1119</v>
      </c>
      <c r="H143" s="15" t="n">
        <v>1050</v>
      </c>
      <c r="I143" s="10"/>
      <c r="J143" s="10"/>
      <c r="K143" s="10"/>
      <c r="L143" s="10" t="s">
        <v>787</v>
      </c>
      <c r="M143" s="10" t="n">
        <v>1</v>
      </c>
      <c r="N143" s="10" t="s">
        <v>629</v>
      </c>
    </row>
    <row r="144" customFormat="false" ht="35.05" hidden="false" customHeight="false" outlineLevel="0" collapsed="false">
      <c r="A144" s="12" t="n">
        <v>46252</v>
      </c>
      <c r="B144" s="10" t="s">
        <v>47</v>
      </c>
      <c r="C144" s="10" t="s">
        <v>258</v>
      </c>
      <c r="D144" s="15" t="n">
        <v>74</v>
      </c>
      <c r="E144" s="10" t="s">
        <v>51</v>
      </c>
      <c r="F144" s="10" t="s">
        <v>1111</v>
      </c>
      <c r="G144" s="10"/>
      <c r="H144" s="15" t="n">
        <v>0</v>
      </c>
      <c r="I144" s="10" t="s">
        <v>258</v>
      </c>
      <c r="J144" s="10" t="n">
        <v>74</v>
      </c>
      <c r="K144" s="10" t="s">
        <v>51</v>
      </c>
      <c r="L144" s="10" t="s">
        <v>786</v>
      </c>
      <c r="M144" s="10" t="n">
        <v>1</v>
      </c>
      <c r="N144" s="10" t="s">
        <v>655</v>
      </c>
    </row>
    <row r="145" customFormat="false" ht="35.05" hidden="false" customHeight="false" outlineLevel="0" collapsed="false">
      <c r="A145" s="12" t="n">
        <v>46252</v>
      </c>
      <c r="B145" s="10" t="s">
        <v>63</v>
      </c>
      <c r="C145" s="10" t="s">
        <v>255</v>
      </c>
      <c r="D145" s="15" t="n">
        <v>74</v>
      </c>
      <c r="E145" s="10" t="s">
        <v>51</v>
      </c>
      <c r="F145" s="10" t="s">
        <v>1111</v>
      </c>
      <c r="G145" s="10"/>
      <c r="H145" s="15" t="n">
        <v>0</v>
      </c>
      <c r="I145" s="10"/>
      <c r="J145" s="15"/>
      <c r="K145" s="10"/>
      <c r="L145" s="10" t="s">
        <v>785</v>
      </c>
      <c r="M145" s="10" t="n">
        <v>1</v>
      </c>
      <c r="N145" s="10" t="s">
        <v>784</v>
      </c>
    </row>
    <row r="146" customFormat="false" ht="35.05" hidden="false" customHeight="false" outlineLevel="0" collapsed="false">
      <c r="A146" s="12" t="n">
        <v>46252</v>
      </c>
      <c r="B146" s="10" t="s">
        <v>63</v>
      </c>
      <c r="C146" s="10" t="s">
        <v>64</v>
      </c>
      <c r="D146" s="15" t="n">
        <v>29.82</v>
      </c>
      <c r="E146" s="10" t="s">
        <v>77</v>
      </c>
      <c r="F146" s="10" t="s">
        <v>1111</v>
      </c>
      <c r="G146" s="10"/>
      <c r="H146" s="15" t="n">
        <v>0</v>
      </c>
      <c r="I146" s="10"/>
      <c r="J146" s="10"/>
      <c r="K146" s="10"/>
      <c r="L146" s="10" t="s">
        <v>782</v>
      </c>
      <c r="M146" s="10" t="n">
        <v>1</v>
      </c>
      <c r="N146" s="10" t="s">
        <v>781</v>
      </c>
    </row>
    <row r="147" customFormat="false" ht="35.05" hidden="false" customHeight="false" outlineLevel="0" collapsed="false">
      <c r="A147" s="12" t="n">
        <v>46252</v>
      </c>
      <c r="B147" s="10" t="s">
        <v>63</v>
      </c>
      <c r="C147" s="10" t="s">
        <v>64</v>
      </c>
      <c r="D147" s="15" t="n">
        <v>29.68</v>
      </c>
      <c r="E147" s="10" t="s">
        <v>51</v>
      </c>
      <c r="F147" s="10" t="s">
        <v>1111</v>
      </c>
      <c r="G147" s="10"/>
      <c r="H147" s="15" t="n">
        <v>0</v>
      </c>
      <c r="I147" s="10"/>
      <c r="J147" s="10"/>
      <c r="K147" s="10"/>
      <c r="L147" s="10" t="s">
        <v>779</v>
      </c>
      <c r="M147" s="10" t="n">
        <v>1</v>
      </c>
      <c r="N147" s="10" t="s">
        <v>778</v>
      </c>
    </row>
    <row r="148" customFormat="false" ht="15" hidden="false" customHeight="false" outlineLevel="0" collapsed="false">
      <c r="A148" s="12" t="n">
        <v>46251</v>
      </c>
      <c r="B148" s="10" t="s">
        <v>63</v>
      </c>
      <c r="C148" s="10" t="s">
        <v>52</v>
      </c>
      <c r="D148" s="15" t="n">
        <v>40</v>
      </c>
      <c r="E148" s="10" t="s">
        <v>51</v>
      </c>
      <c r="F148" s="10" t="s">
        <v>1112</v>
      </c>
      <c r="G148" s="10" t="s">
        <v>1117</v>
      </c>
      <c r="H148" s="15" t="n">
        <v>310</v>
      </c>
      <c r="I148" s="10"/>
      <c r="J148" s="15"/>
      <c r="K148" s="10"/>
      <c r="L148" s="10" t="s">
        <v>776</v>
      </c>
      <c r="M148" s="10" t="n">
        <v>1</v>
      </c>
      <c r="N148" s="10" t="s">
        <v>629</v>
      </c>
    </row>
    <row r="149" customFormat="false" ht="35.05" hidden="false" customHeight="false" outlineLevel="0" collapsed="false">
      <c r="A149" s="12" t="n">
        <v>46251</v>
      </c>
      <c r="B149" s="10" t="s">
        <v>47</v>
      </c>
      <c r="C149" s="10" t="s">
        <v>52</v>
      </c>
      <c r="D149" s="15" t="n">
        <v>40</v>
      </c>
      <c r="E149" s="10" t="s">
        <v>51</v>
      </c>
      <c r="F149" s="10" t="s">
        <v>1111</v>
      </c>
      <c r="G149" s="10"/>
      <c r="H149" s="15" t="n">
        <v>0</v>
      </c>
      <c r="I149" s="10" t="s">
        <v>52</v>
      </c>
      <c r="J149" s="10" t="n">
        <v>40</v>
      </c>
      <c r="K149" s="10" t="s">
        <v>51</v>
      </c>
      <c r="L149" s="10" t="s">
        <v>775</v>
      </c>
      <c r="M149" s="10" t="n">
        <v>1</v>
      </c>
      <c r="N149" s="10" t="s">
        <v>655</v>
      </c>
    </row>
    <row r="150" customFormat="false" ht="35.05" hidden="false" customHeight="false" outlineLevel="0" collapsed="false">
      <c r="A150" s="12" t="n">
        <v>46251</v>
      </c>
      <c r="B150" s="10" t="s">
        <v>63</v>
      </c>
      <c r="C150" s="10" t="s">
        <v>64</v>
      </c>
      <c r="D150" s="15" t="n">
        <v>10</v>
      </c>
      <c r="E150" s="10" t="s">
        <v>77</v>
      </c>
      <c r="F150" s="10" t="s">
        <v>1111</v>
      </c>
      <c r="G150" s="10"/>
      <c r="H150" s="15" t="n">
        <v>0</v>
      </c>
      <c r="I150" s="10"/>
      <c r="J150" s="10"/>
      <c r="K150" s="10"/>
      <c r="L150" s="10" t="s">
        <v>773</v>
      </c>
      <c r="M150" s="10" t="n">
        <v>1</v>
      </c>
      <c r="N150" s="10" t="s">
        <v>772</v>
      </c>
    </row>
    <row r="151" customFormat="false" ht="35.05" hidden="false" customHeight="false" outlineLevel="0" collapsed="false">
      <c r="A151" s="12" t="n">
        <v>46251</v>
      </c>
      <c r="B151" s="10" t="s">
        <v>63</v>
      </c>
      <c r="C151" s="10" t="s">
        <v>52</v>
      </c>
      <c r="D151" s="15" t="n">
        <v>80</v>
      </c>
      <c r="E151" s="10" t="s">
        <v>51</v>
      </c>
      <c r="F151" s="10" t="s">
        <v>1112</v>
      </c>
      <c r="G151" s="10" t="s">
        <v>1122</v>
      </c>
      <c r="H151" s="15" t="n">
        <v>310</v>
      </c>
      <c r="I151" s="10"/>
      <c r="J151" s="15"/>
      <c r="K151" s="10"/>
      <c r="L151" s="10" t="s">
        <v>770</v>
      </c>
      <c r="M151" s="10" t="n">
        <v>1</v>
      </c>
      <c r="N151" s="10" t="s">
        <v>769</v>
      </c>
    </row>
    <row r="152" customFormat="false" ht="35.05" hidden="false" customHeight="false" outlineLevel="0" collapsed="false">
      <c r="A152" s="12" t="n">
        <v>46251</v>
      </c>
      <c r="B152" s="10" t="s">
        <v>47</v>
      </c>
      <c r="C152" s="10" t="s">
        <v>52</v>
      </c>
      <c r="D152" s="15" t="n">
        <v>80</v>
      </c>
      <c r="E152" s="10" t="s">
        <v>51</v>
      </c>
      <c r="F152" s="10" t="s">
        <v>1111</v>
      </c>
      <c r="G152" s="10"/>
      <c r="H152" s="15" t="n">
        <v>0</v>
      </c>
      <c r="I152" s="10" t="s">
        <v>52</v>
      </c>
      <c r="J152" s="10" t="n">
        <v>80</v>
      </c>
      <c r="K152" s="10" t="s">
        <v>51</v>
      </c>
      <c r="L152" s="10" t="s">
        <v>768</v>
      </c>
      <c r="M152" s="10" t="n">
        <v>1</v>
      </c>
      <c r="N152" s="10" t="s">
        <v>655</v>
      </c>
    </row>
    <row r="153" customFormat="false" ht="35.05" hidden="false" customHeight="false" outlineLevel="0" collapsed="false">
      <c r="A153" s="12" t="n">
        <v>46251</v>
      </c>
      <c r="B153" s="10" t="s">
        <v>63</v>
      </c>
      <c r="C153" s="10" t="s">
        <v>64</v>
      </c>
      <c r="D153" s="15" t="n">
        <v>20</v>
      </c>
      <c r="E153" s="10" t="s">
        <v>77</v>
      </c>
      <c r="F153" s="10" t="s">
        <v>1111</v>
      </c>
      <c r="G153" s="10"/>
      <c r="H153" s="15" t="n">
        <v>0</v>
      </c>
      <c r="I153" s="10"/>
      <c r="J153" s="10"/>
      <c r="K153" s="10"/>
      <c r="L153" s="10" t="s">
        <v>766</v>
      </c>
      <c r="M153" s="10" t="n">
        <v>1</v>
      </c>
      <c r="N153" s="10" t="s">
        <v>765</v>
      </c>
    </row>
    <row r="154" customFormat="false" ht="15" hidden="false" customHeight="false" outlineLevel="0" collapsed="false">
      <c r="A154" s="12" t="n">
        <v>46251</v>
      </c>
      <c r="B154" s="10" t="s">
        <v>63</v>
      </c>
      <c r="C154" s="10" t="s">
        <v>52</v>
      </c>
      <c r="D154" s="15" t="n">
        <v>80</v>
      </c>
      <c r="E154" s="10" t="s">
        <v>51</v>
      </c>
      <c r="F154" s="10" t="s">
        <v>1112</v>
      </c>
      <c r="G154" s="10" t="s">
        <v>1119</v>
      </c>
      <c r="H154" s="15" t="n">
        <v>310</v>
      </c>
      <c r="I154" s="10"/>
      <c r="J154" s="15"/>
      <c r="K154" s="10"/>
      <c r="L154" s="10" t="s">
        <v>763</v>
      </c>
      <c r="M154" s="10" t="n">
        <v>1</v>
      </c>
      <c r="N154" s="10" t="s">
        <v>629</v>
      </c>
    </row>
    <row r="155" customFormat="false" ht="35.05" hidden="false" customHeight="false" outlineLevel="0" collapsed="false">
      <c r="A155" s="12" t="n">
        <v>46251</v>
      </c>
      <c r="B155" s="10" t="s">
        <v>47</v>
      </c>
      <c r="C155" s="10" t="s">
        <v>52</v>
      </c>
      <c r="D155" s="15" t="n">
        <v>80</v>
      </c>
      <c r="E155" s="10" t="s">
        <v>51</v>
      </c>
      <c r="F155" s="10" t="s">
        <v>1111</v>
      </c>
      <c r="G155" s="10"/>
      <c r="H155" s="15" t="n">
        <v>0</v>
      </c>
      <c r="I155" s="10" t="s">
        <v>52</v>
      </c>
      <c r="J155" s="10" t="n">
        <v>80</v>
      </c>
      <c r="K155" s="10" t="s">
        <v>51</v>
      </c>
      <c r="L155" s="10" t="s">
        <v>762</v>
      </c>
      <c r="M155" s="10" t="n">
        <v>1</v>
      </c>
      <c r="N155" s="10" t="s">
        <v>655</v>
      </c>
    </row>
    <row r="156" customFormat="false" ht="35.05" hidden="false" customHeight="false" outlineLevel="0" collapsed="false">
      <c r="A156" s="12" t="n">
        <v>46251</v>
      </c>
      <c r="B156" s="10" t="s">
        <v>63</v>
      </c>
      <c r="C156" s="10" t="s">
        <v>64</v>
      </c>
      <c r="D156" s="15" t="n">
        <v>20</v>
      </c>
      <c r="E156" s="10" t="s">
        <v>77</v>
      </c>
      <c r="F156" s="10" t="s">
        <v>1111</v>
      </c>
      <c r="G156" s="10"/>
      <c r="H156" s="15" t="n">
        <v>0</v>
      </c>
      <c r="I156" s="10"/>
      <c r="J156" s="10"/>
      <c r="K156" s="10"/>
      <c r="L156" s="10" t="s">
        <v>760</v>
      </c>
      <c r="M156" s="10" t="n">
        <v>1</v>
      </c>
      <c r="N156" s="10" t="s">
        <v>759</v>
      </c>
    </row>
    <row r="157" customFormat="false" ht="15" hidden="false" customHeight="false" outlineLevel="0" collapsed="false">
      <c r="A157" s="12" t="n">
        <v>46251</v>
      </c>
      <c r="B157" s="10" t="s">
        <v>63</v>
      </c>
      <c r="C157" s="10" t="s">
        <v>52</v>
      </c>
      <c r="D157" s="15" t="n">
        <v>80</v>
      </c>
      <c r="E157" s="10" t="s">
        <v>51</v>
      </c>
      <c r="F157" s="10" t="s">
        <v>1112</v>
      </c>
      <c r="G157" s="10" t="s">
        <v>1116</v>
      </c>
      <c r="H157" s="15" t="n">
        <v>310</v>
      </c>
      <c r="I157" s="10"/>
      <c r="J157" s="10"/>
      <c r="K157" s="10"/>
      <c r="L157" s="10" t="s">
        <v>757</v>
      </c>
      <c r="M157" s="10" t="n">
        <v>1</v>
      </c>
      <c r="N157" s="10" t="s">
        <v>629</v>
      </c>
    </row>
    <row r="158" customFormat="false" ht="35.05" hidden="false" customHeight="false" outlineLevel="0" collapsed="false">
      <c r="A158" s="12" t="n">
        <v>46251</v>
      </c>
      <c r="B158" s="10" t="s">
        <v>47</v>
      </c>
      <c r="C158" s="10" t="s">
        <v>52</v>
      </c>
      <c r="D158" s="15" t="n">
        <v>80</v>
      </c>
      <c r="E158" s="10" t="s">
        <v>51</v>
      </c>
      <c r="F158" s="10" t="s">
        <v>1111</v>
      </c>
      <c r="G158" s="10"/>
      <c r="H158" s="15" t="n">
        <v>0</v>
      </c>
      <c r="I158" s="10" t="s">
        <v>52</v>
      </c>
      <c r="J158" s="10" t="n">
        <v>80</v>
      </c>
      <c r="K158" s="10" t="s">
        <v>51</v>
      </c>
      <c r="L158" s="10" t="s">
        <v>756</v>
      </c>
      <c r="M158" s="10" t="n">
        <v>1</v>
      </c>
      <c r="N158" s="10" t="s">
        <v>655</v>
      </c>
    </row>
    <row r="159" customFormat="false" ht="35.05" hidden="false" customHeight="false" outlineLevel="0" collapsed="false">
      <c r="A159" s="12" t="n">
        <v>46251</v>
      </c>
      <c r="B159" s="10" t="s">
        <v>63</v>
      </c>
      <c r="C159" s="10" t="s">
        <v>64</v>
      </c>
      <c r="D159" s="15" t="n">
        <v>20</v>
      </c>
      <c r="E159" s="10" t="s">
        <v>77</v>
      </c>
      <c r="F159" s="10" t="s">
        <v>1111</v>
      </c>
      <c r="G159" s="10"/>
      <c r="H159" s="15" t="n">
        <v>0</v>
      </c>
      <c r="I159" s="10"/>
      <c r="J159" s="10"/>
      <c r="K159" s="10"/>
      <c r="L159" s="10" t="s">
        <v>754</v>
      </c>
      <c r="M159" s="10" t="n">
        <v>1</v>
      </c>
      <c r="N159" s="10" t="s">
        <v>753</v>
      </c>
    </row>
    <row r="160" customFormat="false" ht="15" hidden="false" customHeight="false" outlineLevel="0" collapsed="false">
      <c r="A160" s="12" t="n">
        <v>46251</v>
      </c>
      <c r="B160" s="10" t="s">
        <v>63</v>
      </c>
      <c r="C160" s="10" t="s">
        <v>52</v>
      </c>
      <c r="D160" s="15" t="n">
        <v>80</v>
      </c>
      <c r="E160" s="10" t="s">
        <v>51</v>
      </c>
      <c r="F160" s="10" t="s">
        <v>1112</v>
      </c>
      <c r="G160" s="10" t="s">
        <v>1117</v>
      </c>
      <c r="H160" s="15" t="n">
        <v>310</v>
      </c>
      <c r="I160" s="10"/>
      <c r="J160" s="10"/>
      <c r="K160" s="10"/>
      <c r="L160" s="10" t="s">
        <v>751</v>
      </c>
      <c r="M160" s="10" t="n">
        <v>1</v>
      </c>
      <c r="N160" s="10" t="s">
        <v>629</v>
      </c>
    </row>
    <row r="161" customFormat="false" ht="35.05" hidden="false" customHeight="false" outlineLevel="0" collapsed="false">
      <c r="A161" s="12" t="n">
        <v>46251</v>
      </c>
      <c r="B161" s="10" t="s">
        <v>47</v>
      </c>
      <c r="C161" s="10" t="s">
        <v>52</v>
      </c>
      <c r="D161" s="15" t="n">
        <v>80</v>
      </c>
      <c r="E161" s="10" t="s">
        <v>51</v>
      </c>
      <c r="F161" s="10" t="s">
        <v>1111</v>
      </c>
      <c r="G161" s="10"/>
      <c r="H161" s="15" t="n">
        <v>0</v>
      </c>
      <c r="I161" s="10" t="s">
        <v>52</v>
      </c>
      <c r="J161" s="10" t="n">
        <v>80</v>
      </c>
      <c r="K161" s="10" t="s">
        <v>51</v>
      </c>
      <c r="L161" s="10" t="s">
        <v>750</v>
      </c>
      <c r="M161" s="10" t="n">
        <v>1</v>
      </c>
      <c r="N161" s="10" t="s">
        <v>655</v>
      </c>
    </row>
    <row r="162" customFormat="false" ht="35.05" hidden="false" customHeight="false" outlineLevel="0" collapsed="false">
      <c r="A162" s="12" t="n">
        <v>46251</v>
      </c>
      <c r="B162" s="10" t="s">
        <v>63</v>
      </c>
      <c r="C162" s="10" t="s">
        <v>64</v>
      </c>
      <c r="D162" s="15" t="n">
        <v>20</v>
      </c>
      <c r="E162" s="10" t="s">
        <v>77</v>
      </c>
      <c r="F162" s="10" t="s">
        <v>1111</v>
      </c>
      <c r="G162" s="10"/>
      <c r="H162" s="15" t="n">
        <v>0</v>
      </c>
      <c r="I162" s="10"/>
      <c r="J162" s="10"/>
      <c r="K162" s="10"/>
      <c r="L162" s="10" t="s">
        <v>748</v>
      </c>
      <c r="M162" s="10" t="n">
        <v>1</v>
      </c>
      <c r="N162" s="10" t="s">
        <v>747</v>
      </c>
    </row>
    <row r="163" customFormat="false" ht="57.45" hidden="false" customHeight="false" outlineLevel="0" collapsed="false">
      <c r="A163" s="12" t="n">
        <v>46251</v>
      </c>
      <c r="B163" s="10" t="s">
        <v>107</v>
      </c>
      <c r="C163" s="10" t="s">
        <v>643</v>
      </c>
      <c r="D163" s="15" t="n">
        <v>87</v>
      </c>
      <c r="E163" s="10" t="s">
        <v>51</v>
      </c>
      <c r="F163" s="10" t="s">
        <v>1112</v>
      </c>
      <c r="G163" s="10" t="s">
        <v>1122</v>
      </c>
      <c r="H163" s="15" t="n">
        <v>1700</v>
      </c>
      <c r="I163" s="10"/>
      <c r="J163" s="10"/>
      <c r="K163" s="10"/>
      <c r="L163" s="10" t="s">
        <v>745</v>
      </c>
      <c r="M163" s="10" t="n">
        <v>1</v>
      </c>
      <c r="N163" s="10" t="s">
        <v>744</v>
      </c>
    </row>
    <row r="164" customFormat="false" ht="35.05" hidden="false" customHeight="false" outlineLevel="0" collapsed="false">
      <c r="A164" s="12" t="n">
        <v>46251</v>
      </c>
      <c r="B164" s="10" t="s">
        <v>107</v>
      </c>
      <c r="C164" s="10" t="s">
        <v>643</v>
      </c>
      <c r="D164" s="15" t="n">
        <v>84</v>
      </c>
      <c r="E164" s="10" t="s">
        <v>51</v>
      </c>
      <c r="F164" s="10" t="s">
        <v>1112</v>
      </c>
      <c r="G164" s="10" t="s">
        <v>1119</v>
      </c>
      <c r="H164" s="15" t="n">
        <v>1700</v>
      </c>
      <c r="I164" s="10"/>
      <c r="J164" s="10"/>
      <c r="K164" s="10"/>
      <c r="L164" s="10" t="s">
        <v>740</v>
      </c>
      <c r="M164" s="10" t="n">
        <v>1</v>
      </c>
      <c r="N164" s="10" t="s">
        <v>739</v>
      </c>
    </row>
    <row r="165" customFormat="false" ht="35.05" hidden="false" customHeight="false" outlineLevel="0" collapsed="false">
      <c r="A165" s="12" t="n">
        <v>46248</v>
      </c>
      <c r="B165" s="10" t="s">
        <v>63</v>
      </c>
      <c r="C165" s="10" t="s">
        <v>64</v>
      </c>
      <c r="D165" s="15" t="n">
        <v>31.7</v>
      </c>
      <c r="E165" s="10" t="s">
        <v>77</v>
      </c>
      <c r="F165" s="10" t="s">
        <v>1111</v>
      </c>
      <c r="G165" s="10"/>
      <c r="H165" s="15" t="n">
        <v>0</v>
      </c>
      <c r="I165" s="10"/>
      <c r="J165" s="10"/>
      <c r="K165" s="10"/>
      <c r="L165" s="10" t="s">
        <v>736</v>
      </c>
      <c r="M165" s="10" t="n">
        <v>1</v>
      </c>
      <c r="N165" s="10" t="s">
        <v>735</v>
      </c>
    </row>
    <row r="166" customFormat="false" ht="23.85" hidden="false" customHeight="false" outlineLevel="0" collapsed="false">
      <c r="A166" s="12" t="n">
        <v>46248</v>
      </c>
      <c r="B166" s="10" t="s">
        <v>63</v>
      </c>
      <c r="C166" s="10" t="s">
        <v>64</v>
      </c>
      <c r="D166" s="15" t="n">
        <v>29.11</v>
      </c>
      <c r="E166" s="10" t="s">
        <v>77</v>
      </c>
      <c r="F166" s="10" t="s">
        <v>1111</v>
      </c>
      <c r="G166" s="10"/>
      <c r="H166" s="15" t="n">
        <v>0</v>
      </c>
      <c r="I166" s="10"/>
      <c r="J166" s="15"/>
      <c r="K166" s="10"/>
      <c r="L166" s="10" t="s">
        <v>733</v>
      </c>
      <c r="M166" s="10" t="n">
        <v>1</v>
      </c>
      <c r="N166" s="10" t="s">
        <v>302</v>
      </c>
    </row>
    <row r="167" customFormat="false" ht="23.85" hidden="false" customHeight="false" outlineLevel="0" collapsed="false">
      <c r="A167" s="12" t="n">
        <v>46247</v>
      </c>
      <c r="B167" s="10" t="s">
        <v>63</v>
      </c>
      <c r="C167" s="10" t="s">
        <v>104</v>
      </c>
      <c r="D167" s="15" t="n">
        <v>23.72</v>
      </c>
      <c r="E167" s="10" t="s">
        <v>103</v>
      </c>
      <c r="F167" s="10" t="s">
        <v>1111</v>
      </c>
      <c r="G167" s="10"/>
      <c r="H167" s="15" t="n">
        <v>0</v>
      </c>
      <c r="I167" s="10"/>
      <c r="J167" s="10"/>
      <c r="K167" s="10"/>
      <c r="L167" s="10" t="s">
        <v>731</v>
      </c>
      <c r="M167" s="10" t="n">
        <v>1</v>
      </c>
      <c r="N167" s="10" t="s">
        <v>730</v>
      </c>
    </row>
    <row r="168" customFormat="false" ht="23.85" hidden="false" customHeight="false" outlineLevel="0" collapsed="false">
      <c r="A168" s="12" t="n">
        <v>46247</v>
      </c>
      <c r="B168" s="10" t="s">
        <v>63</v>
      </c>
      <c r="C168" s="10" t="s">
        <v>104</v>
      </c>
      <c r="D168" s="15" t="n">
        <v>26.86</v>
      </c>
      <c r="E168" s="10" t="s">
        <v>103</v>
      </c>
      <c r="F168" s="10" t="s">
        <v>1111</v>
      </c>
      <c r="G168" s="10"/>
      <c r="H168" s="15" t="n">
        <v>0</v>
      </c>
      <c r="I168" s="10"/>
      <c r="J168" s="10"/>
      <c r="K168" s="10"/>
      <c r="L168" s="10" t="s">
        <v>728</v>
      </c>
      <c r="M168" s="10" t="n">
        <v>1</v>
      </c>
      <c r="N168" s="10" t="s">
        <v>727</v>
      </c>
    </row>
    <row r="169" customFormat="false" ht="15" hidden="false" customHeight="false" outlineLevel="0" collapsed="false">
      <c r="A169" s="12" t="n">
        <v>46246</v>
      </c>
      <c r="B169" s="10" t="s">
        <v>63</v>
      </c>
      <c r="C169" s="10" t="s">
        <v>64</v>
      </c>
      <c r="D169" s="15" t="n">
        <v>28.06</v>
      </c>
      <c r="E169" s="10" t="s">
        <v>77</v>
      </c>
      <c r="F169" s="10" t="s">
        <v>1111</v>
      </c>
      <c r="G169" s="10"/>
      <c r="H169" s="15" t="n">
        <v>0</v>
      </c>
      <c r="I169" s="10"/>
      <c r="J169" s="15"/>
      <c r="K169" s="10"/>
      <c r="L169" s="10" t="s">
        <v>725</v>
      </c>
      <c r="M169" s="10" t="n">
        <v>1</v>
      </c>
      <c r="N169" s="10" t="s">
        <v>242</v>
      </c>
    </row>
    <row r="170" customFormat="false" ht="23.85" hidden="false" customHeight="false" outlineLevel="0" collapsed="false">
      <c r="A170" s="12" t="n">
        <v>46246</v>
      </c>
      <c r="B170" s="10" t="s">
        <v>63</v>
      </c>
      <c r="C170" s="10" t="s">
        <v>64</v>
      </c>
      <c r="D170" s="15" t="n">
        <v>23.17</v>
      </c>
      <c r="E170" s="10" t="s">
        <v>77</v>
      </c>
      <c r="F170" s="10" t="s">
        <v>1111</v>
      </c>
      <c r="G170" s="10"/>
      <c r="H170" s="15" t="n">
        <v>0</v>
      </c>
      <c r="I170" s="10"/>
      <c r="J170" s="10"/>
      <c r="K170" s="10"/>
      <c r="L170" s="10" t="s">
        <v>723</v>
      </c>
      <c r="M170" s="10" t="n">
        <v>1</v>
      </c>
      <c r="N170" s="10" t="s">
        <v>302</v>
      </c>
    </row>
    <row r="171" customFormat="false" ht="15" hidden="false" customHeight="false" outlineLevel="0" collapsed="false">
      <c r="A171" s="12" t="n">
        <v>46246</v>
      </c>
      <c r="B171" s="10" t="s">
        <v>63</v>
      </c>
      <c r="C171" s="10" t="s">
        <v>64</v>
      </c>
      <c r="D171" s="15" t="n">
        <v>30</v>
      </c>
      <c r="E171" s="10" t="s">
        <v>77</v>
      </c>
      <c r="F171" s="10" t="s">
        <v>1111</v>
      </c>
      <c r="G171" s="10"/>
      <c r="H171" s="15" t="n">
        <v>0</v>
      </c>
      <c r="I171" s="10"/>
      <c r="J171" s="10"/>
      <c r="K171" s="10"/>
      <c r="L171" s="10" t="s">
        <v>721</v>
      </c>
      <c r="M171" s="10" t="n">
        <v>1</v>
      </c>
      <c r="N171" s="10" t="s">
        <v>242</v>
      </c>
    </row>
    <row r="172" customFormat="false" ht="15" hidden="false" customHeight="false" outlineLevel="0" collapsed="false">
      <c r="A172" s="12" t="n">
        <v>46246</v>
      </c>
      <c r="B172" s="10" t="s">
        <v>63</v>
      </c>
      <c r="C172" s="10" t="s">
        <v>52</v>
      </c>
      <c r="D172" s="15" t="n">
        <v>68</v>
      </c>
      <c r="E172" s="10" t="s">
        <v>51</v>
      </c>
      <c r="F172" s="10" t="s">
        <v>1112</v>
      </c>
      <c r="G172" s="10" t="s">
        <v>1116</v>
      </c>
      <c r="H172" s="15" t="n">
        <v>310</v>
      </c>
      <c r="I172" s="10"/>
      <c r="J172" s="15"/>
      <c r="K172" s="10"/>
      <c r="L172" s="10" t="s">
        <v>719</v>
      </c>
      <c r="M172" s="10" t="n">
        <v>1</v>
      </c>
      <c r="N172" s="10" t="s">
        <v>629</v>
      </c>
    </row>
    <row r="173" customFormat="false" ht="35.05" hidden="false" customHeight="false" outlineLevel="0" collapsed="false">
      <c r="A173" s="12" t="n">
        <v>46246</v>
      </c>
      <c r="B173" s="10" t="s">
        <v>47</v>
      </c>
      <c r="C173" s="10" t="s">
        <v>52</v>
      </c>
      <c r="D173" s="15" t="n">
        <v>68</v>
      </c>
      <c r="E173" s="10" t="s">
        <v>51</v>
      </c>
      <c r="F173" s="10" t="s">
        <v>1111</v>
      </c>
      <c r="G173" s="10"/>
      <c r="H173" s="15" t="n">
        <v>0</v>
      </c>
      <c r="I173" s="10" t="s">
        <v>52</v>
      </c>
      <c r="J173" s="10" t="n">
        <v>68</v>
      </c>
      <c r="K173" s="10" t="s">
        <v>51</v>
      </c>
      <c r="L173" s="10" t="s">
        <v>718</v>
      </c>
      <c r="M173" s="10" t="n">
        <v>1</v>
      </c>
      <c r="N173" s="10" t="s">
        <v>655</v>
      </c>
    </row>
    <row r="174" customFormat="false" ht="35.05" hidden="false" customHeight="false" outlineLevel="0" collapsed="false">
      <c r="A174" s="12" t="n">
        <v>46246</v>
      </c>
      <c r="B174" s="10" t="s">
        <v>63</v>
      </c>
      <c r="C174" s="10" t="s">
        <v>64</v>
      </c>
      <c r="D174" s="15" t="n">
        <v>17</v>
      </c>
      <c r="E174" s="10" t="s">
        <v>77</v>
      </c>
      <c r="F174" s="10" t="s">
        <v>1111</v>
      </c>
      <c r="G174" s="10"/>
      <c r="H174" s="15" t="n">
        <v>0</v>
      </c>
      <c r="I174" s="10"/>
      <c r="J174" s="10"/>
      <c r="K174" s="10"/>
      <c r="L174" s="10" t="s">
        <v>716</v>
      </c>
      <c r="M174" s="10" t="n">
        <v>1</v>
      </c>
      <c r="N174" s="10" t="s">
        <v>715</v>
      </c>
    </row>
    <row r="175" customFormat="false" ht="15" hidden="false" customHeight="false" outlineLevel="0" collapsed="false">
      <c r="A175" s="12" t="n">
        <v>46246</v>
      </c>
      <c r="B175" s="10" t="s">
        <v>63</v>
      </c>
      <c r="C175" s="10" t="s">
        <v>52</v>
      </c>
      <c r="D175" s="15" t="n">
        <v>68</v>
      </c>
      <c r="E175" s="10" t="s">
        <v>51</v>
      </c>
      <c r="F175" s="10" t="s">
        <v>1112</v>
      </c>
      <c r="G175" s="10" t="s">
        <v>1117</v>
      </c>
      <c r="H175" s="15" t="n">
        <v>310</v>
      </c>
      <c r="I175" s="10"/>
      <c r="J175" s="15"/>
      <c r="K175" s="10"/>
      <c r="L175" s="10" t="s">
        <v>713</v>
      </c>
      <c r="M175" s="10" t="n">
        <v>1</v>
      </c>
      <c r="N175" s="10" t="s">
        <v>629</v>
      </c>
    </row>
    <row r="176" customFormat="false" ht="35.05" hidden="false" customHeight="false" outlineLevel="0" collapsed="false">
      <c r="A176" s="12" t="n">
        <v>46246</v>
      </c>
      <c r="B176" s="10" t="s">
        <v>47</v>
      </c>
      <c r="C176" s="10" t="s">
        <v>52</v>
      </c>
      <c r="D176" s="15" t="n">
        <v>68</v>
      </c>
      <c r="E176" s="10" t="s">
        <v>51</v>
      </c>
      <c r="F176" s="10" t="s">
        <v>1111</v>
      </c>
      <c r="G176" s="10"/>
      <c r="H176" s="15" t="n">
        <v>0</v>
      </c>
      <c r="I176" s="10" t="s">
        <v>52</v>
      </c>
      <c r="J176" s="10" t="n">
        <v>68</v>
      </c>
      <c r="K176" s="10" t="s">
        <v>51</v>
      </c>
      <c r="L176" s="10" t="s">
        <v>712</v>
      </c>
      <c r="M176" s="10" t="n">
        <v>1</v>
      </c>
      <c r="N176" s="10" t="s">
        <v>655</v>
      </c>
    </row>
    <row r="177" customFormat="false" ht="35.05" hidden="false" customHeight="false" outlineLevel="0" collapsed="false">
      <c r="A177" s="12" t="n">
        <v>46246</v>
      </c>
      <c r="B177" s="10" t="s">
        <v>63</v>
      </c>
      <c r="C177" s="10" t="s">
        <v>64</v>
      </c>
      <c r="D177" s="15" t="n">
        <v>17</v>
      </c>
      <c r="E177" s="10" t="s">
        <v>77</v>
      </c>
      <c r="F177" s="10" t="s">
        <v>1111</v>
      </c>
      <c r="G177" s="10"/>
      <c r="H177" s="15" t="n">
        <v>0</v>
      </c>
      <c r="I177" s="10"/>
      <c r="J177" s="10"/>
      <c r="K177" s="10"/>
      <c r="L177" s="10" t="s">
        <v>710</v>
      </c>
      <c r="M177" s="10" t="n">
        <v>1</v>
      </c>
      <c r="N177" s="10" t="s">
        <v>709</v>
      </c>
    </row>
    <row r="178" customFormat="false" ht="15" hidden="false" customHeight="false" outlineLevel="0" collapsed="false">
      <c r="A178" s="12" t="n">
        <v>46246</v>
      </c>
      <c r="B178" s="10" t="s">
        <v>63</v>
      </c>
      <c r="C178" s="10" t="s">
        <v>52</v>
      </c>
      <c r="D178" s="15" t="n">
        <v>68</v>
      </c>
      <c r="E178" s="10" t="s">
        <v>51</v>
      </c>
      <c r="F178" s="10" t="s">
        <v>1112</v>
      </c>
      <c r="G178" s="10" t="s">
        <v>1116</v>
      </c>
      <c r="H178" s="15" t="n">
        <v>310</v>
      </c>
      <c r="I178" s="10"/>
      <c r="J178" s="10"/>
      <c r="K178" s="10"/>
      <c r="L178" s="10" t="s">
        <v>707</v>
      </c>
      <c r="M178" s="10" t="n">
        <v>1</v>
      </c>
      <c r="N178" s="10" t="s">
        <v>629</v>
      </c>
    </row>
    <row r="179" customFormat="false" ht="35.05" hidden="false" customHeight="false" outlineLevel="0" collapsed="false">
      <c r="A179" s="12" t="n">
        <v>46246</v>
      </c>
      <c r="B179" s="10" t="s">
        <v>47</v>
      </c>
      <c r="C179" s="10" t="s">
        <v>52</v>
      </c>
      <c r="D179" s="15" t="n">
        <v>68</v>
      </c>
      <c r="E179" s="10" t="s">
        <v>51</v>
      </c>
      <c r="F179" s="10" t="s">
        <v>1111</v>
      </c>
      <c r="G179" s="10"/>
      <c r="H179" s="15" t="n">
        <v>0</v>
      </c>
      <c r="I179" s="10" t="s">
        <v>52</v>
      </c>
      <c r="J179" s="15" t="n">
        <v>68</v>
      </c>
      <c r="K179" s="10" t="s">
        <v>51</v>
      </c>
      <c r="L179" s="10" t="s">
        <v>706</v>
      </c>
      <c r="M179" s="10" t="n">
        <v>1</v>
      </c>
      <c r="N179" s="10" t="s">
        <v>655</v>
      </c>
    </row>
    <row r="180" customFormat="false" ht="35.05" hidden="false" customHeight="false" outlineLevel="0" collapsed="false">
      <c r="A180" s="12" t="n">
        <v>46246</v>
      </c>
      <c r="B180" s="10" t="s">
        <v>63</v>
      </c>
      <c r="C180" s="10" t="s">
        <v>64</v>
      </c>
      <c r="D180" s="15" t="n">
        <v>17</v>
      </c>
      <c r="E180" s="10" t="s">
        <v>51</v>
      </c>
      <c r="F180" s="10" t="s">
        <v>1111</v>
      </c>
      <c r="G180" s="10"/>
      <c r="H180" s="15" t="n">
        <v>0</v>
      </c>
      <c r="I180" s="10"/>
      <c r="J180" s="10"/>
      <c r="K180" s="10"/>
      <c r="L180" s="10" t="s">
        <v>704</v>
      </c>
      <c r="M180" s="10" t="n">
        <v>1</v>
      </c>
      <c r="N180" s="10" t="s">
        <v>703</v>
      </c>
    </row>
    <row r="181" customFormat="false" ht="15" hidden="false" customHeight="false" outlineLevel="0" collapsed="false">
      <c r="A181" s="12" t="n">
        <v>46246</v>
      </c>
      <c r="B181" s="10" t="s">
        <v>63</v>
      </c>
      <c r="C181" s="10" t="s">
        <v>52</v>
      </c>
      <c r="D181" s="15" t="n">
        <v>68</v>
      </c>
      <c r="E181" s="10" t="s">
        <v>51</v>
      </c>
      <c r="F181" s="10" t="s">
        <v>1112</v>
      </c>
      <c r="G181" s="10" t="s">
        <v>1119</v>
      </c>
      <c r="H181" s="15" t="n">
        <v>310</v>
      </c>
      <c r="I181" s="10"/>
      <c r="J181" s="10"/>
      <c r="K181" s="10"/>
      <c r="L181" s="10" t="s">
        <v>701</v>
      </c>
      <c r="M181" s="10" t="n">
        <v>1</v>
      </c>
      <c r="N181" s="10" t="s">
        <v>629</v>
      </c>
    </row>
    <row r="182" customFormat="false" ht="35.05" hidden="false" customHeight="false" outlineLevel="0" collapsed="false">
      <c r="A182" s="12" t="n">
        <v>46246</v>
      </c>
      <c r="B182" s="10" t="s">
        <v>47</v>
      </c>
      <c r="C182" s="10" t="s">
        <v>52</v>
      </c>
      <c r="D182" s="15" t="n">
        <v>68</v>
      </c>
      <c r="E182" s="10" t="s">
        <v>51</v>
      </c>
      <c r="F182" s="10" t="s">
        <v>1111</v>
      </c>
      <c r="G182" s="10"/>
      <c r="H182" s="15" t="n">
        <v>0</v>
      </c>
      <c r="I182" s="10" t="s">
        <v>52</v>
      </c>
      <c r="J182" s="15" t="n">
        <v>68</v>
      </c>
      <c r="K182" s="10" t="s">
        <v>51</v>
      </c>
      <c r="L182" s="10" t="s">
        <v>699</v>
      </c>
      <c r="M182" s="10" t="n">
        <v>1</v>
      </c>
      <c r="N182" s="10" t="s">
        <v>655</v>
      </c>
    </row>
    <row r="183" customFormat="false" ht="35.05" hidden="false" customHeight="false" outlineLevel="0" collapsed="false">
      <c r="A183" s="12" t="n">
        <v>46246</v>
      </c>
      <c r="B183" s="10" t="s">
        <v>63</v>
      </c>
      <c r="C183" s="10" t="s">
        <v>64</v>
      </c>
      <c r="D183" s="15" t="n">
        <v>17</v>
      </c>
      <c r="E183" s="10" t="s">
        <v>77</v>
      </c>
      <c r="F183" s="10" t="s">
        <v>1111</v>
      </c>
      <c r="G183" s="10"/>
      <c r="H183" s="15" t="n">
        <v>0</v>
      </c>
      <c r="I183" s="10"/>
      <c r="J183" s="10"/>
      <c r="K183" s="10"/>
      <c r="L183" s="10" t="s">
        <v>697</v>
      </c>
      <c r="M183" s="10" t="n">
        <v>1</v>
      </c>
      <c r="N183" s="10" t="s">
        <v>696</v>
      </c>
    </row>
    <row r="184" customFormat="false" ht="15" hidden="false" customHeight="false" outlineLevel="0" collapsed="false">
      <c r="A184" s="12" t="n">
        <v>46245</v>
      </c>
      <c r="B184" s="10" t="s">
        <v>63</v>
      </c>
      <c r="C184" s="10" t="s">
        <v>104</v>
      </c>
      <c r="D184" s="15" t="n">
        <v>92</v>
      </c>
      <c r="E184" s="10" t="s">
        <v>51</v>
      </c>
      <c r="F184" s="10" t="s">
        <v>1111</v>
      </c>
      <c r="G184" s="10"/>
      <c r="H184" s="15" t="n">
        <v>0</v>
      </c>
      <c r="I184" s="10"/>
      <c r="J184" s="10"/>
      <c r="K184" s="10"/>
      <c r="L184" s="10" t="s">
        <v>693</v>
      </c>
      <c r="M184" s="10" t="n">
        <v>1</v>
      </c>
      <c r="N184" s="10" t="s">
        <v>629</v>
      </c>
    </row>
    <row r="185" customFormat="false" ht="15" hidden="false" customHeight="false" outlineLevel="0" collapsed="false">
      <c r="A185" s="12" t="n">
        <v>46245</v>
      </c>
      <c r="B185" s="10" t="s">
        <v>63</v>
      </c>
      <c r="C185" s="10" t="s">
        <v>52</v>
      </c>
      <c r="D185" s="15" t="n">
        <v>72</v>
      </c>
      <c r="E185" s="10" t="s">
        <v>51</v>
      </c>
      <c r="F185" s="10" t="s">
        <v>1112</v>
      </c>
      <c r="G185" s="10" t="s">
        <v>1117</v>
      </c>
      <c r="H185" s="15" t="n">
        <v>670</v>
      </c>
      <c r="I185" s="10"/>
      <c r="J185" s="15"/>
      <c r="K185" s="10"/>
      <c r="L185" s="10" t="s">
        <v>690</v>
      </c>
      <c r="M185" s="10" t="n">
        <v>1</v>
      </c>
      <c r="N185" s="10" t="s">
        <v>629</v>
      </c>
    </row>
    <row r="186" customFormat="false" ht="35.05" hidden="false" customHeight="false" outlineLevel="0" collapsed="false">
      <c r="A186" s="12" t="n">
        <v>46245</v>
      </c>
      <c r="B186" s="10" t="s">
        <v>47</v>
      </c>
      <c r="C186" s="10" t="s">
        <v>52</v>
      </c>
      <c r="D186" s="15" t="n">
        <v>72</v>
      </c>
      <c r="E186" s="10" t="s">
        <v>51</v>
      </c>
      <c r="F186" s="10" t="s">
        <v>1111</v>
      </c>
      <c r="G186" s="10"/>
      <c r="H186" s="15" t="n">
        <v>0</v>
      </c>
      <c r="I186" s="10" t="s">
        <v>52</v>
      </c>
      <c r="J186" s="10" t="n">
        <v>72</v>
      </c>
      <c r="K186" s="10" t="s">
        <v>51</v>
      </c>
      <c r="L186" s="10" t="s">
        <v>689</v>
      </c>
      <c r="M186" s="10" t="n">
        <v>1</v>
      </c>
      <c r="N186" s="10" t="s">
        <v>655</v>
      </c>
    </row>
    <row r="187" customFormat="false" ht="35.05" hidden="false" customHeight="false" outlineLevel="0" collapsed="false">
      <c r="A187" s="12" t="n">
        <v>46245</v>
      </c>
      <c r="B187" s="10" t="s">
        <v>63</v>
      </c>
      <c r="C187" s="10" t="s">
        <v>64</v>
      </c>
      <c r="D187" s="15" t="n">
        <v>18</v>
      </c>
      <c r="E187" s="10" t="s">
        <v>77</v>
      </c>
      <c r="F187" s="10" t="s">
        <v>1111</v>
      </c>
      <c r="G187" s="10"/>
      <c r="H187" s="15" t="n">
        <v>0</v>
      </c>
      <c r="I187" s="10"/>
      <c r="J187" s="10"/>
      <c r="K187" s="10"/>
      <c r="L187" s="10" t="s">
        <v>687</v>
      </c>
      <c r="M187" s="10" t="n">
        <v>1</v>
      </c>
      <c r="N187" s="10" t="s">
        <v>686</v>
      </c>
    </row>
    <row r="188" customFormat="false" ht="15" hidden="false" customHeight="false" outlineLevel="0" collapsed="false">
      <c r="A188" s="12" t="n">
        <v>46245</v>
      </c>
      <c r="B188" s="10" t="s">
        <v>63</v>
      </c>
      <c r="C188" s="10" t="s">
        <v>52</v>
      </c>
      <c r="D188" s="15" t="n">
        <v>72</v>
      </c>
      <c r="E188" s="10" t="s">
        <v>51</v>
      </c>
      <c r="F188" s="10" t="s">
        <v>1112</v>
      </c>
      <c r="G188" s="10" t="s">
        <v>1117</v>
      </c>
      <c r="H188" s="15" t="n">
        <v>670</v>
      </c>
      <c r="I188" s="10"/>
      <c r="J188" s="15"/>
      <c r="K188" s="10"/>
      <c r="L188" s="10" t="s">
        <v>684</v>
      </c>
      <c r="M188" s="10" t="n">
        <v>1</v>
      </c>
      <c r="N188" s="10" t="s">
        <v>629</v>
      </c>
    </row>
    <row r="189" customFormat="false" ht="46.25" hidden="false" customHeight="false" outlineLevel="0" collapsed="false">
      <c r="A189" s="12" t="n">
        <v>46245</v>
      </c>
      <c r="B189" s="10" t="s">
        <v>47</v>
      </c>
      <c r="C189" s="10" t="s">
        <v>52</v>
      </c>
      <c r="D189" s="15" t="n">
        <v>72</v>
      </c>
      <c r="E189" s="10" t="s">
        <v>51</v>
      </c>
      <c r="F189" s="10" t="s">
        <v>1111</v>
      </c>
      <c r="G189" s="10"/>
      <c r="H189" s="15" t="n">
        <v>0</v>
      </c>
      <c r="I189" s="10" t="s">
        <v>52</v>
      </c>
      <c r="J189" s="10" t="n">
        <v>72</v>
      </c>
      <c r="K189" s="10" t="s">
        <v>51</v>
      </c>
      <c r="L189" s="10" t="s">
        <v>683</v>
      </c>
      <c r="M189" s="10" t="n">
        <v>1</v>
      </c>
      <c r="N189" s="10" t="s">
        <v>682</v>
      </c>
    </row>
    <row r="190" customFormat="false" ht="35.05" hidden="false" customHeight="false" outlineLevel="0" collapsed="false">
      <c r="A190" s="12" t="n">
        <v>46245</v>
      </c>
      <c r="B190" s="10" t="s">
        <v>63</v>
      </c>
      <c r="C190" s="10" t="s">
        <v>64</v>
      </c>
      <c r="D190" s="15" t="n">
        <v>18</v>
      </c>
      <c r="E190" s="10" t="s">
        <v>77</v>
      </c>
      <c r="F190" s="10" t="s">
        <v>1111</v>
      </c>
      <c r="G190" s="10"/>
      <c r="H190" s="15" t="n">
        <v>0</v>
      </c>
      <c r="I190" s="10"/>
      <c r="J190" s="10"/>
      <c r="K190" s="10"/>
      <c r="L190" s="10" t="s">
        <v>680</v>
      </c>
      <c r="M190" s="10" t="n">
        <v>1</v>
      </c>
      <c r="N190" s="10" t="s">
        <v>679</v>
      </c>
    </row>
    <row r="191" customFormat="false" ht="15" hidden="false" customHeight="false" outlineLevel="0" collapsed="false">
      <c r="A191" s="12" t="n">
        <v>46245</v>
      </c>
      <c r="B191" s="10" t="s">
        <v>63</v>
      </c>
      <c r="C191" s="10" t="s">
        <v>52</v>
      </c>
      <c r="D191" s="15" t="n">
        <v>72</v>
      </c>
      <c r="E191" s="10" t="s">
        <v>51</v>
      </c>
      <c r="F191" s="10" t="s">
        <v>1112</v>
      </c>
      <c r="G191" s="10" t="s">
        <v>1119</v>
      </c>
      <c r="H191" s="15" t="n">
        <v>670</v>
      </c>
      <c r="I191" s="10"/>
      <c r="J191" s="15"/>
      <c r="K191" s="10"/>
      <c r="L191" s="10" t="s">
        <v>677</v>
      </c>
      <c r="M191" s="10" t="n">
        <v>1</v>
      </c>
      <c r="N191" s="10" t="s">
        <v>629</v>
      </c>
    </row>
    <row r="192" customFormat="false" ht="35.05" hidden="false" customHeight="false" outlineLevel="0" collapsed="false">
      <c r="A192" s="12" t="n">
        <v>46245</v>
      </c>
      <c r="B192" s="10" t="s">
        <v>47</v>
      </c>
      <c r="C192" s="10" t="s">
        <v>52</v>
      </c>
      <c r="D192" s="15" t="n">
        <v>72</v>
      </c>
      <c r="E192" s="10" t="s">
        <v>51</v>
      </c>
      <c r="F192" s="10" t="s">
        <v>1111</v>
      </c>
      <c r="G192" s="10"/>
      <c r="H192" s="15" t="n">
        <v>0</v>
      </c>
      <c r="I192" s="10" t="s">
        <v>52</v>
      </c>
      <c r="J192" s="10" t="n">
        <v>72</v>
      </c>
      <c r="K192" s="10" t="s">
        <v>51</v>
      </c>
      <c r="L192" s="10" t="s">
        <v>676</v>
      </c>
      <c r="M192" s="10" t="n">
        <v>1</v>
      </c>
      <c r="N192" s="10" t="s">
        <v>655</v>
      </c>
    </row>
    <row r="193" customFormat="false" ht="35.05" hidden="false" customHeight="false" outlineLevel="0" collapsed="false">
      <c r="A193" s="12" t="n">
        <v>46245</v>
      </c>
      <c r="B193" s="10" t="s">
        <v>63</v>
      </c>
      <c r="C193" s="10" t="s">
        <v>64</v>
      </c>
      <c r="D193" s="15" t="n">
        <v>18</v>
      </c>
      <c r="E193" s="10" t="s">
        <v>77</v>
      </c>
      <c r="F193" s="10" t="s">
        <v>1111</v>
      </c>
      <c r="G193" s="10"/>
      <c r="H193" s="15" t="n">
        <v>0</v>
      </c>
      <c r="I193" s="10"/>
      <c r="J193" s="10"/>
      <c r="K193" s="10"/>
      <c r="L193" s="10" t="s">
        <v>674</v>
      </c>
      <c r="M193" s="10" t="n">
        <v>1</v>
      </c>
      <c r="N193" s="10" t="s">
        <v>673</v>
      </c>
    </row>
    <row r="194" customFormat="false" ht="15" hidden="false" customHeight="false" outlineLevel="0" collapsed="false">
      <c r="A194" s="12" t="n">
        <v>46245</v>
      </c>
      <c r="B194" s="10" t="s">
        <v>63</v>
      </c>
      <c r="C194" s="10" t="s">
        <v>52</v>
      </c>
      <c r="D194" s="15" t="n">
        <v>72</v>
      </c>
      <c r="E194" s="10" t="s">
        <v>51</v>
      </c>
      <c r="F194" s="10" t="s">
        <v>1112</v>
      </c>
      <c r="G194" s="10" t="s">
        <v>1119</v>
      </c>
      <c r="H194" s="15" t="n">
        <v>670</v>
      </c>
      <c r="I194" s="10"/>
      <c r="J194" s="15"/>
      <c r="K194" s="10"/>
      <c r="L194" s="10" t="s">
        <v>671</v>
      </c>
      <c r="M194" s="10" t="n">
        <v>1</v>
      </c>
      <c r="N194" s="10" t="s">
        <v>629</v>
      </c>
    </row>
    <row r="195" customFormat="false" ht="35.05" hidden="false" customHeight="false" outlineLevel="0" collapsed="false">
      <c r="A195" s="12" t="n">
        <v>46245</v>
      </c>
      <c r="B195" s="10" t="s">
        <v>47</v>
      </c>
      <c r="C195" s="10" t="s">
        <v>52</v>
      </c>
      <c r="D195" s="15" t="n">
        <v>72</v>
      </c>
      <c r="E195" s="10" t="s">
        <v>51</v>
      </c>
      <c r="F195" s="10" t="s">
        <v>1111</v>
      </c>
      <c r="G195" s="10"/>
      <c r="H195" s="15" t="n">
        <v>0</v>
      </c>
      <c r="I195" s="10" t="s">
        <v>52</v>
      </c>
      <c r="J195" s="10" t="n">
        <v>72</v>
      </c>
      <c r="K195" s="10" t="s">
        <v>51</v>
      </c>
      <c r="L195" s="10" t="s">
        <v>670</v>
      </c>
      <c r="M195" s="10" t="n">
        <v>1</v>
      </c>
      <c r="N195" s="10" t="s">
        <v>655</v>
      </c>
    </row>
    <row r="196" customFormat="false" ht="35.05" hidden="false" customHeight="false" outlineLevel="0" collapsed="false">
      <c r="A196" s="12" t="n">
        <v>46245</v>
      </c>
      <c r="B196" s="10" t="s">
        <v>63</v>
      </c>
      <c r="C196" s="10" t="s">
        <v>64</v>
      </c>
      <c r="D196" s="15" t="n">
        <v>18</v>
      </c>
      <c r="E196" s="10" t="s">
        <v>77</v>
      </c>
      <c r="F196" s="10" t="s">
        <v>1111</v>
      </c>
      <c r="G196" s="10"/>
      <c r="H196" s="15" t="n">
        <v>0</v>
      </c>
      <c r="I196" s="10"/>
      <c r="J196" s="10"/>
      <c r="K196" s="10"/>
      <c r="L196" s="10" t="s">
        <v>668</v>
      </c>
      <c r="M196" s="10" t="n">
        <v>1</v>
      </c>
      <c r="N196" s="10" t="s">
        <v>667</v>
      </c>
    </row>
    <row r="197" customFormat="false" ht="15" hidden="false" customHeight="false" outlineLevel="0" collapsed="false">
      <c r="A197" s="12" t="n">
        <v>46245</v>
      </c>
      <c r="B197" s="10" t="s">
        <v>63</v>
      </c>
      <c r="C197" s="10" t="s">
        <v>52</v>
      </c>
      <c r="D197" s="15" t="n">
        <v>72</v>
      </c>
      <c r="E197" s="10" t="s">
        <v>51</v>
      </c>
      <c r="F197" s="10" t="s">
        <v>1112</v>
      </c>
      <c r="G197" s="10" t="s">
        <v>1116</v>
      </c>
      <c r="H197" s="15" t="n">
        <v>670</v>
      </c>
      <c r="I197" s="10"/>
      <c r="J197" s="10"/>
      <c r="K197" s="10"/>
      <c r="L197" s="10" t="s">
        <v>665</v>
      </c>
      <c r="M197" s="10" t="n">
        <v>1</v>
      </c>
      <c r="N197" s="10" t="s">
        <v>629</v>
      </c>
    </row>
    <row r="198" customFormat="false" ht="35.05" hidden="false" customHeight="false" outlineLevel="0" collapsed="false">
      <c r="A198" s="12" t="n">
        <v>46245</v>
      </c>
      <c r="B198" s="10" t="s">
        <v>47</v>
      </c>
      <c r="C198" s="10" t="s">
        <v>52</v>
      </c>
      <c r="D198" s="15" t="n">
        <v>72</v>
      </c>
      <c r="E198" s="10" t="s">
        <v>51</v>
      </c>
      <c r="F198" s="10" t="s">
        <v>1111</v>
      </c>
      <c r="G198" s="10"/>
      <c r="H198" s="15" t="n">
        <v>0</v>
      </c>
      <c r="I198" s="10" t="s">
        <v>52</v>
      </c>
      <c r="J198" s="10" t="n">
        <v>72</v>
      </c>
      <c r="K198" s="10" t="s">
        <v>51</v>
      </c>
      <c r="L198" s="10" t="s">
        <v>664</v>
      </c>
      <c r="M198" s="10" t="n">
        <v>1</v>
      </c>
      <c r="N198" s="10" t="s">
        <v>655</v>
      </c>
    </row>
    <row r="199" customFormat="false" ht="35.05" hidden="false" customHeight="false" outlineLevel="0" collapsed="false">
      <c r="A199" s="12" t="n">
        <v>46245</v>
      </c>
      <c r="B199" s="10" t="s">
        <v>63</v>
      </c>
      <c r="C199" s="10" t="s">
        <v>64</v>
      </c>
      <c r="D199" s="15" t="n">
        <v>18</v>
      </c>
      <c r="E199" s="10" t="s">
        <v>77</v>
      </c>
      <c r="F199" s="10" t="s">
        <v>1111</v>
      </c>
      <c r="G199" s="10"/>
      <c r="H199" s="15" t="n">
        <v>0</v>
      </c>
      <c r="I199" s="10"/>
      <c r="J199" s="10"/>
      <c r="K199" s="10"/>
      <c r="L199" s="10" t="s">
        <v>662</v>
      </c>
      <c r="M199" s="10" t="n">
        <v>1</v>
      </c>
      <c r="N199" s="10" t="s">
        <v>661</v>
      </c>
    </row>
    <row r="200" customFormat="false" ht="15" hidden="false" customHeight="false" outlineLevel="0" collapsed="false">
      <c r="A200" s="12" t="n">
        <v>46245</v>
      </c>
      <c r="B200" s="10" t="s">
        <v>63</v>
      </c>
      <c r="C200" s="10" t="s">
        <v>52</v>
      </c>
      <c r="D200" s="15" t="n">
        <v>72</v>
      </c>
      <c r="E200" s="10" t="s">
        <v>51</v>
      </c>
      <c r="F200" s="10" t="s">
        <v>1112</v>
      </c>
      <c r="G200" s="10" t="s">
        <v>1116</v>
      </c>
      <c r="H200" s="15" t="n">
        <v>670</v>
      </c>
      <c r="I200" s="10"/>
      <c r="J200" s="10"/>
      <c r="K200" s="10"/>
      <c r="L200" s="10" t="s">
        <v>659</v>
      </c>
      <c r="M200" s="10" t="n">
        <v>1</v>
      </c>
      <c r="N200" s="10" t="s">
        <v>658</v>
      </c>
    </row>
    <row r="201" customFormat="false" ht="35.05" hidden="false" customHeight="false" outlineLevel="0" collapsed="false">
      <c r="A201" s="12" t="n">
        <v>46245</v>
      </c>
      <c r="B201" s="10" t="s">
        <v>47</v>
      </c>
      <c r="C201" s="10" t="s">
        <v>52</v>
      </c>
      <c r="D201" s="15" t="n">
        <v>72</v>
      </c>
      <c r="E201" s="10" t="s">
        <v>51</v>
      </c>
      <c r="F201" s="10" t="s">
        <v>1111</v>
      </c>
      <c r="G201" s="10"/>
      <c r="H201" s="15" t="n">
        <v>0</v>
      </c>
      <c r="I201" s="10" t="s">
        <v>52</v>
      </c>
      <c r="J201" s="10" t="n">
        <v>72</v>
      </c>
      <c r="K201" s="10" t="s">
        <v>51</v>
      </c>
      <c r="L201" s="10" t="s">
        <v>656</v>
      </c>
      <c r="M201" s="10" t="n">
        <v>1</v>
      </c>
      <c r="N201" s="10" t="s">
        <v>655</v>
      </c>
    </row>
    <row r="202" customFormat="false" ht="35.05" hidden="false" customHeight="false" outlineLevel="0" collapsed="false">
      <c r="A202" s="12" t="n">
        <v>46245</v>
      </c>
      <c r="B202" s="10" t="s">
        <v>63</v>
      </c>
      <c r="C202" s="10" t="s">
        <v>64</v>
      </c>
      <c r="D202" s="15" t="n">
        <v>18</v>
      </c>
      <c r="E202" s="10" t="s">
        <v>77</v>
      </c>
      <c r="F202" s="10" t="s">
        <v>1111</v>
      </c>
      <c r="G202" s="10"/>
      <c r="H202" s="15" t="n">
        <v>0</v>
      </c>
      <c r="I202" s="10"/>
      <c r="J202" s="10"/>
      <c r="K202" s="10"/>
      <c r="L202" s="10" t="s">
        <v>653</v>
      </c>
      <c r="M202" s="10" t="n">
        <v>1</v>
      </c>
      <c r="N202" s="10" t="s">
        <v>652</v>
      </c>
    </row>
    <row r="203" customFormat="false" ht="35.05" hidden="false" customHeight="false" outlineLevel="0" collapsed="false">
      <c r="A203" s="12" t="n">
        <v>46244</v>
      </c>
      <c r="B203" s="10" t="s">
        <v>63</v>
      </c>
      <c r="C203" s="10" t="s">
        <v>64</v>
      </c>
      <c r="D203" s="15" t="n">
        <v>28.16</v>
      </c>
      <c r="E203" s="10" t="s">
        <v>77</v>
      </c>
      <c r="F203" s="10" t="s">
        <v>1111</v>
      </c>
      <c r="G203" s="10"/>
      <c r="H203" s="15" t="n">
        <v>0</v>
      </c>
      <c r="I203" s="10"/>
      <c r="J203" s="10"/>
      <c r="K203" s="10"/>
      <c r="L203" s="10" t="s">
        <v>649</v>
      </c>
      <c r="M203" s="10" t="n">
        <v>1</v>
      </c>
      <c r="N203" s="10" t="s">
        <v>648</v>
      </c>
    </row>
    <row r="204" customFormat="false" ht="23.85" hidden="false" customHeight="false" outlineLevel="0" collapsed="false">
      <c r="A204" s="12" t="n">
        <v>46244</v>
      </c>
      <c r="B204" s="10" t="s">
        <v>63</v>
      </c>
      <c r="C204" s="10" t="s">
        <v>64</v>
      </c>
      <c r="D204" s="15" t="n">
        <v>29.96</v>
      </c>
      <c r="E204" s="10" t="s">
        <v>77</v>
      </c>
      <c r="F204" s="10" t="s">
        <v>1111</v>
      </c>
      <c r="G204" s="10"/>
      <c r="H204" s="15" t="n">
        <v>0</v>
      </c>
      <c r="I204" s="10"/>
      <c r="J204" s="10"/>
      <c r="K204" s="10"/>
      <c r="L204" s="10" t="s">
        <v>646</v>
      </c>
      <c r="M204" s="10" t="n">
        <v>1</v>
      </c>
      <c r="N204" s="10" t="s">
        <v>302</v>
      </c>
    </row>
    <row r="205" customFormat="false" ht="15" hidden="false" customHeight="false" outlineLevel="0" collapsed="false">
      <c r="A205" s="12" t="n">
        <v>46244</v>
      </c>
      <c r="B205" s="10" t="s">
        <v>107</v>
      </c>
      <c r="C205" s="10" t="s">
        <v>643</v>
      </c>
      <c r="D205" s="15" t="n">
        <v>80</v>
      </c>
      <c r="E205" s="10" t="s">
        <v>51</v>
      </c>
      <c r="F205" s="10" t="s">
        <v>1112</v>
      </c>
      <c r="G205" s="10" t="s">
        <v>1119</v>
      </c>
      <c r="H205" s="15" t="n">
        <v>1700</v>
      </c>
      <c r="I205" s="10"/>
      <c r="J205" s="10"/>
      <c r="K205" s="10"/>
      <c r="L205" s="10" t="s">
        <v>644</v>
      </c>
      <c r="M205" s="10" t="n">
        <v>1</v>
      </c>
      <c r="N205" s="10" t="s">
        <v>629</v>
      </c>
    </row>
    <row r="206" customFormat="false" ht="15" hidden="false" customHeight="false" outlineLevel="0" collapsed="false">
      <c r="A206" s="12" t="n">
        <v>46244</v>
      </c>
      <c r="B206" s="10" t="s">
        <v>559</v>
      </c>
      <c r="C206" s="10" t="s">
        <v>52</v>
      </c>
      <c r="D206" s="15" t="n">
        <v>90</v>
      </c>
      <c r="E206" s="10" t="s">
        <v>51</v>
      </c>
      <c r="F206" s="10" t="s">
        <v>1112</v>
      </c>
      <c r="G206" s="10" t="s">
        <v>1116</v>
      </c>
      <c r="H206" s="15" t="n">
        <v>535</v>
      </c>
      <c r="I206" s="10"/>
      <c r="J206" s="10"/>
      <c r="K206" s="10"/>
      <c r="L206" s="10" t="s">
        <v>640</v>
      </c>
      <c r="M206" s="10" t="n">
        <v>1</v>
      </c>
      <c r="N206" s="10" t="s">
        <v>629</v>
      </c>
    </row>
    <row r="207" customFormat="false" ht="15" hidden="false" customHeight="false" outlineLevel="0" collapsed="false">
      <c r="A207" s="12" t="n">
        <v>46244</v>
      </c>
      <c r="B207" s="10" t="s">
        <v>107</v>
      </c>
      <c r="C207" s="10" t="s">
        <v>52</v>
      </c>
      <c r="D207" s="15" t="n">
        <v>90</v>
      </c>
      <c r="E207" s="10" t="s">
        <v>51</v>
      </c>
      <c r="F207" s="10" t="s">
        <v>1112</v>
      </c>
      <c r="G207" s="10" t="s">
        <v>1116</v>
      </c>
      <c r="H207" s="15" t="n">
        <v>200</v>
      </c>
      <c r="I207" s="10"/>
      <c r="J207" s="10"/>
      <c r="K207" s="10"/>
      <c r="L207" s="10" t="s">
        <v>638</v>
      </c>
      <c r="M207" s="10" t="n">
        <v>1</v>
      </c>
      <c r="N207" s="10" t="s">
        <v>629</v>
      </c>
    </row>
    <row r="208" customFormat="false" ht="15" hidden="false" customHeight="false" outlineLevel="0" collapsed="false">
      <c r="A208" s="12" t="n">
        <v>46244</v>
      </c>
      <c r="B208" s="10" t="s">
        <v>559</v>
      </c>
      <c r="C208" s="10" t="s">
        <v>52</v>
      </c>
      <c r="D208" s="15" t="n">
        <v>90</v>
      </c>
      <c r="E208" s="10" t="s">
        <v>51</v>
      </c>
      <c r="F208" s="10" t="s">
        <v>1112</v>
      </c>
      <c r="G208" s="10" t="s">
        <v>1116</v>
      </c>
      <c r="H208" s="15" t="n">
        <v>535</v>
      </c>
      <c r="I208" s="10"/>
      <c r="J208" s="10"/>
      <c r="K208" s="10"/>
      <c r="L208" s="10" t="s">
        <v>636</v>
      </c>
      <c r="M208" s="10" t="n">
        <v>1</v>
      </c>
      <c r="N208" s="10" t="s">
        <v>629</v>
      </c>
    </row>
    <row r="209" customFormat="false" ht="15" hidden="false" customHeight="false" outlineLevel="0" collapsed="false">
      <c r="A209" s="12" t="n">
        <v>46244</v>
      </c>
      <c r="B209" s="10" t="s">
        <v>107</v>
      </c>
      <c r="C209" s="10" t="s">
        <v>52</v>
      </c>
      <c r="D209" s="15" t="n">
        <v>90</v>
      </c>
      <c r="E209" s="10" t="s">
        <v>51</v>
      </c>
      <c r="F209" s="10" t="s">
        <v>1112</v>
      </c>
      <c r="G209" s="10" t="s">
        <v>1116</v>
      </c>
      <c r="H209" s="15" t="n">
        <v>200</v>
      </c>
      <c r="I209" s="10"/>
      <c r="J209" s="10"/>
      <c r="K209" s="10"/>
      <c r="L209" s="10" t="s">
        <v>634</v>
      </c>
      <c r="M209" s="10" t="n">
        <v>1</v>
      </c>
      <c r="N209" s="10" t="s">
        <v>629</v>
      </c>
    </row>
    <row r="210" customFormat="false" ht="15" hidden="false" customHeight="false" outlineLevel="0" collapsed="false">
      <c r="A210" s="12" t="n">
        <v>46244</v>
      </c>
      <c r="B210" s="10" t="s">
        <v>559</v>
      </c>
      <c r="C210" s="10" t="s">
        <v>52</v>
      </c>
      <c r="D210" s="15" t="n">
        <v>90</v>
      </c>
      <c r="E210" s="10" t="s">
        <v>51</v>
      </c>
      <c r="F210" s="10" t="s">
        <v>1112</v>
      </c>
      <c r="G210" s="10" t="s">
        <v>1117</v>
      </c>
      <c r="H210" s="15" t="n">
        <v>535</v>
      </c>
      <c r="I210" s="10"/>
      <c r="J210" s="10"/>
      <c r="K210" s="10"/>
      <c r="L210" s="10" t="s">
        <v>632</v>
      </c>
      <c r="M210" s="10" t="n">
        <v>1</v>
      </c>
      <c r="N210" s="10" t="s">
        <v>629</v>
      </c>
    </row>
    <row r="211" customFormat="false" ht="15" hidden="false" customHeight="false" outlineLevel="0" collapsed="false">
      <c r="A211" s="12" t="n">
        <v>46244</v>
      </c>
      <c r="B211" s="10" t="s">
        <v>107</v>
      </c>
      <c r="C211" s="10" t="s">
        <v>52</v>
      </c>
      <c r="D211" s="15" t="n">
        <v>90</v>
      </c>
      <c r="E211" s="10" t="s">
        <v>51</v>
      </c>
      <c r="F211" s="10" t="s">
        <v>1112</v>
      </c>
      <c r="G211" s="10" t="s">
        <v>1117</v>
      </c>
      <c r="H211" s="15" t="n">
        <v>200</v>
      </c>
      <c r="I211" s="10"/>
      <c r="J211" s="10"/>
      <c r="K211" s="10"/>
      <c r="L211" s="10" t="s">
        <v>630</v>
      </c>
      <c r="M211" s="10" t="n">
        <v>1</v>
      </c>
      <c r="N211" s="10" t="s">
        <v>629</v>
      </c>
    </row>
    <row r="212" customFormat="false" ht="35.05" hidden="false" customHeight="false" outlineLevel="0" collapsed="false">
      <c r="A212" s="12" t="n">
        <v>46242</v>
      </c>
      <c r="B212" s="10" t="s">
        <v>63</v>
      </c>
      <c r="C212" s="10" t="s">
        <v>625</v>
      </c>
      <c r="D212" s="15" t="n">
        <v>1158.85</v>
      </c>
      <c r="E212" s="10" t="s">
        <v>103</v>
      </c>
      <c r="F212" s="10" t="s">
        <v>1112</v>
      </c>
      <c r="G212" s="10" t="s">
        <v>221</v>
      </c>
      <c r="H212" s="15" t="n">
        <v>0</v>
      </c>
      <c r="I212" s="10"/>
      <c r="J212" s="10"/>
      <c r="K212" s="10"/>
      <c r="L212" s="10" t="s">
        <v>627</v>
      </c>
      <c r="M212" s="10" t="n">
        <v>1</v>
      </c>
      <c r="N212" s="10" t="s">
        <v>626</v>
      </c>
    </row>
    <row r="213" customFormat="false" ht="23.85" hidden="false" customHeight="false" outlineLevel="0" collapsed="false">
      <c r="A213" s="12" t="n">
        <v>46241</v>
      </c>
      <c r="B213" s="10" t="s">
        <v>559</v>
      </c>
      <c r="C213" s="10" t="s">
        <v>52</v>
      </c>
      <c r="D213" s="15" t="n">
        <v>90</v>
      </c>
      <c r="E213" s="10" t="s">
        <v>51</v>
      </c>
      <c r="F213" s="10" t="s">
        <v>1112</v>
      </c>
      <c r="G213" s="10" t="s">
        <v>1119</v>
      </c>
      <c r="H213" s="15" t="n">
        <v>535</v>
      </c>
      <c r="I213" s="10"/>
      <c r="J213" s="10"/>
      <c r="K213" s="10"/>
      <c r="L213" s="10" t="s">
        <v>623</v>
      </c>
      <c r="M213" s="10" t="n">
        <v>1</v>
      </c>
      <c r="N213" s="10" t="s">
        <v>70</v>
      </c>
    </row>
    <row r="214" customFormat="false" ht="23.85" hidden="false" customHeight="false" outlineLevel="0" collapsed="false">
      <c r="A214" s="12" t="n">
        <v>46241</v>
      </c>
      <c r="B214" s="10" t="s">
        <v>107</v>
      </c>
      <c r="C214" s="10" t="s">
        <v>52</v>
      </c>
      <c r="D214" s="15" t="n">
        <v>90</v>
      </c>
      <c r="E214" s="10" t="s">
        <v>51</v>
      </c>
      <c r="F214" s="10" t="s">
        <v>1112</v>
      </c>
      <c r="G214" s="10" t="s">
        <v>1119</v>
      </c>
      <c r="H214" s="15" t="n">
        <v>200</v>
      </c>
      <c r="I214" s="10"/>
      <c r="J214" s="10"/>
      <c r="K214" s="10"/>
      <c r="L214" s="10" t="s">
        <v>621</v>
      </c>
      <c r="M214" s="10" t="n">
        <v>1</v>
      </c>
      <c r="N214" s="10" t="s">
        <v>70</v>
      </c>
    </row>
    <row r="215" customFormat="false" ht="23.85" hidden="false" customHeight="false" outlineLevel="0" collapsed="false">
      <c r="A215" s="12" t="n">
        <v>46241</v>
      </c>
      <c r="B215" s="10" t="s">
        <v>559</v>
      </c>
      <c r="C215" s="10" t="s">
        <v>52</v>
      </c>
      <c r="D215" s="15" t="n">
        <v>90</v>
      </c>
      <c r="E215" s="10" t="s">
        <v>51</v>
      </c>
      <c r="F215" s="10" t="s">
        <v>1112</v>
      </c>
      <c r="G215" s="10" t="s">
        <v>1117</v>
      </c>
      <c r="H215" s="15" t="n">
        <v>535</v>
      </c>
      <c r="I215" s="10"/>
      <c r="J215" s="10"/>
      <c r="K215" s="10"/>
      <c r="L215" s="10" t="s">
        <v>619</v>
      </c>
      <c r="M215" s="10" t="n">
        <v>1</v>
      </c>
      <c r="N215" s="10" t="s">
        <v>70</v>
      </c>
    </row>
    <row r="216" customFormat="false" ht="15" hidden="false" customHeight="false" outlineLevel="0" collapsed="false">
      <c r="A216" s="12" t="n">
        <v>46241</v>
      </c>
      <c r="B216" s="10" t="s">
        <v>107</v>
      </c>
      <c r="C216" s="10" t="s">
        <v>52</v>
      </c>
      <c r="D216" s="15" t="n">
        <v>90</v>
      </c>
      <c r="E216" s="10" t="s">
        <v>51</v>
      </c>
      <c r="F216" s="10" t="s">
        <v>1112</v>
      </c>
      <c r="G216" s="10" t="s">
        <v>1117</v>
      </c>
      <c r="H216" s="15" t="n">
        <v>200</v>
      </c>
      <c r="I216" s="10"/>
      <c r="J216" s="10"/>
      <c r="K216" s="10"/>
      <c r="L216" s="10" t="s">
        <v>617</v>
      </c>
      <c r="M216" s="10" t="n">
        <v>1</v>
      </c>
      <c r="N216" s="10" t="s">
        <v>65</v>
      </c>
    </row>
    <row r="217" customFormat="false" ht="23.85" hidden="false" customHeight="false" outlineLevel="0" collapsed="false">
      <c r="A217" s="12" t="n">
        <v>46241</v>
      </c>
      <c r="B217" s="10" t="s">
        <v>559</v>
      </c>
      <c r="C217" s="10" t="s">
        <v>52</v>
      </c>
      <c r="D217" s="15" t="n">
        <v>90</v>
      </c>
      <c r="E217" s="10" t="s">
        <v>51</v>
      </c>
      <c r="F217" s="10" t="s">
        <v>1112</v>
      </c>
      <c r="G217" s="10" t="s">
        <v>1116</v>
      </c>
      <c r="H217" s="15" t="n">
        <v>535</v>
      </c>
      <c r="I217" s="10"/>
      <c r="J217" s="10"/>
      <c r="K217" s="10"/>
      <c r="L217" s="10" t="s">
        <v>615</v>
      </c>
      <c r="M217" s="10" t="n">
        <v>1</v>
      </c>
      <c r="N217" s="10" t="s">
        <v>70</v>
      </c>
    </row>
    <row r="218" customFormat="false" ht="23.85" hidden="false" customHeight="false" outlineLevel="0" collapsed="false">
      <c r="A218" s="12" t="n">
        <v>46241</v>
      </c>
      <c r="B218" s="10" t="s">
        <v>107</v>
      </c>
      <c r="C218" s="10" t="s">
        <v>52</v>
      </c>
      <c r="D218" s="15" t="n">
        <v>90</v>
      </c>
      <c r="E218" s="10" t="s">
        <v>51</v>
      </c>
      <c r="F218" s="10" t="s">
        <v>1112</v>
      </c>
      <c r="G218" s="10" t="s">
        <v>1116</v>
      </c>
      <c r="H218" s="15" t="n">
        <v>200</v>
      </c>
      <c r="I218" s="10"/>
      <c r="J218" s="10"/>
      <c r="K218" s="10"/>
      <c r="L218" s="10" t="s">
        <v>613</v>
      </c>
      <c r="M218" s="10" t="n">
        <v>1</v>
      </c>
      <c r="N218" s="10" t="s">
        <v>70</v>
      </c>
    </row>
    <row r="219" customFormat="false" ht="23.85" hidden="false" customHeight="false" outlineLevel="0" collapsed="false">
      <c r="A219" s="12" t="n">
        <v>46241</v>
      </c>
      <c r="B219" s="10" t="s">
        <v>559</v>
      </c>
      <c r="C219" s="10" t="s">
        <v>52</v>
      </c>
      <c r="D219" s="15" t="n">
        <v>90</v>
      </c>
      <c r="E219" s="10" t="s">
        <v>51</v>
      </c>
      <c r="F219" s="10" t="s">
        <v>1112</v>
      </c>
      <c r="G219" s="10" t="s">
        <v>1116</v>
      </c>
      <c r="H219" s="15" t="n">
        <v>535</v>
      </c>
      <c r="I219" s="10"/>
      <c r="J219" s="10"/>
      <c r="K219" s="10"/>
      <c r="L219" s="10" t="s">
        <v>611</v>
      </c>
      <c r="M219" s="10" t="n">
        <v>1</v>
      </c>
      <c r="N219" s="10" t="s">
        <v>70</v>
      </c>
    </row>
    <row r="220" customFormat="false" ht="23.85" hidden="false" customHeight="false" outlineLevel="0" collapsed="false">
      <c r="A220" s="12" t="n">
        <v>46241</v>
      </c>
      <c r="B220" s="10" t="s">
        <v>107</v>
      </c>
      <c r="C220" s="10" t="s">
        <v>52</v>
      </c>
      <c r="D220" s="15" t="n">
        <v>90</v>
      </c>
      <c r="E220" s="10" t="s">
        <v>51</v>
      </c>
      <c r="F220" s="10" t="s">
        <v>1112</v>
      </c>
      <c r="G220" s="10" t="s">
        <v>1116</v>
      </c>
      <c r="H220" s="15" t="n">
        <v>200</v>
      </c>
      <c r="I220" s="10"/>
      <c r="J220" s="10"/>
      <c r="K220" s="10"/>
      <c r="L220" s="10" t="s">
        <v>609</v>
      </c>
      <c r="M220" s="10" t="n">
        <v>1</v>
      </c>
      <c r="N220" s="10" t="s">
        <v>70</v>
      </c>
    </row>
    <row r="221" customFormat="false" ht="15" hidden="false" customHeight="false" outlineLevel="0" collapsed="false">
      <c r="A221" s="12" t="n">
        <v>46241</v>
      </c>
      <c r="B221" s="10" t="s">
        <v>559</v>
      </c>
      <c r="C221" s="10" t="s">
        <v>52</v>
      </c>
      <c r="D221" s="15" t="n">
        <v>90</v>
      </c>
      <c r="E221" s="10" t="s">
        <v>51</v>
      </c>
      <c r="F221" s="10" t="s">
        <v>1112</v>
      </c>
      <c r="G221" s="10" t="s">
        <v>1117</v>
      </c>
      <c r="H221" s="15" t="n">
        <v>535</v>
      </c>
      <c r="I221" s="10"/>
      <c r="J221" s="10"/>
      <c r="K221" s="10"/>
      <c r="L221" s="10" t="s">
        <v>607</v>
      </c>
      <c r="M221" s="10" t="n">
        <v>1</v>
      </c>
      <c r="N221" s="10" t="s">
        <v>65</v>
      </c>
    </row>
    <row r="222" customFormat="false" ht="15" hidden="false" customHeight="false" outlineLevel="0" collapsed="false">
      <c r="A222" s="12" t="n">
        <v>46241</v>
      </c>
      <c r="B222" s="10" t="s">
        <v>107</v>
      </c>
      <c r="C222" s="10" t="s">
        <v>52</v>
      </c>
      <c r="D222" s="15" t="n">
        <v>90</v>
      </c>
      <c r="E222" s="10" t="s">
        <v>51</v>
      </c>
      <c r="F222" s="10" t="s">
        <v>1112</v>
      </c>
      <c r="G222" s="10" t="s">
        <v>1117</v>
      </c>
      <c r="H222" s="15" t="n">
        <v>200</v>
      </c>
      <c r="I222" s="10"/>
      <c r="J222" s="10"/>
      <c r="K222" s="10"/>
      <c r="L222" s="10" t="s">
        <v>605</v>
      </c>
      <c r="M222" s="10" t="n">
        <v>1</v>
      </c>
      <c r="N222" s="10" t="s">
        <v>65</v>
      </c>
    </row>
    <row r="223" customFormat="false" ht="23.85" hidden="false" customHeight="false" outlineLevel="0" collapsed="false">
      <c r="A223" s="12" t="n">
        <v>46240</v>
      </c>
      <c r="B223" s="10" t="s">
        <v>559</v>
      </c>
      <c r="C223" s="10" t="s">
        <v>52</v>
      </c>
      <c r="D223" s="15" t="n">
        <v>90</v>
      </c>
      <c r="E223" s="10" t="s">
        <v>51</v>
      </c>
      <c r="F223" s="10" t="s">
        <v>1112</v>
      </c>
      <c r="G223" s="10" t="s">
        <v>1119</v>
      </c>
      <c r="H223" s="15" t="n">
        <v>535</v>
      </c>
      <c r="I223" s="10"/>
      <c r="J223" s="10"/>
      <c r="K223" s="10"/>
      <c r="L223" s="10" t="s">
        <v>603</v>
      </c>
      <c r="M223" s="10" t="n">
        <v>1</v>
      </c>
      <c r="N223" s="10" t="s">
        <v>70</v>
      </c>
    </row>
    <row r="224" customFormat="false" ht="23.85" hidden="false" customHeight="false" outlineLevel="0" collapsed="false">
      <c r="A224" s="12" t="n">
        <v>46240</v>
      </c>
      <c r="B224" s="10" t="s">
        <v>107</v>
      </c>
      <c r="C224" s="10" t="s">
        <v>52</v>
      </c>
      <c r="D224" s="15" t="n">
        <v>90</v>
      </c>
      <c r="E224" s="10" t="s">
        <v>51</v>
      </c>
      <c r="F224" s="10" t="s">
        <v>1112</v>
      </c>
      <c r="G224" s="10" t="s">
        <v>1119</v>
      </c>
      <c r="H224" s="15" t="n">
        <v>200</v>
      </c>
      <c r="I224" s="10"/>
      <c r="J224" s="10"/>
      <c r="K224" s="10"/>
      <c r="L224" s="10" t="s">
        <v>601</v>
      </c>
      <c r="M224" s="10" t="n">
        <v>1</v>
      </c>
      <c r="N224" s="10" t="s">
        <v>70</v>
      </c>
    </row>
    <row r="225" customFormat="false" ht="23.85" hidden="false" customHeight="false" outlineLevel="0" collapsed="false">
      <c r="A225" s="12" t="n">
        <v>46240</v>
      </c>
      <c r="B225" s="10" t="s">
        <v>559</v>
      </c>
      <c r="C225" s="10" t="s">
        <v>52</v>
      </c>
      <c r="D225" s="15" t="n">
        <v>90</v>
      </c>
      <c r="E225" s="10" t="s">
        <v>51</v>
      </c>
      <c r="F225" s="10" t="s">
        <v>1112</v>
      </c>
      <c r="G225" s="10" t="s">
        <v>1116</v>
      </c>
      <c r="H225" s="15" t="n">
        <v>535</v>
      </c>
      <c r="I225" s="10"/>
      <c r="J225" s="10"/>
      <c r="K225" s="10"/>
      <c r="L225" s="10" t="s">
        <v>599</v>
      </c>
      <c r="M225" s="10" t="n">
        <v>1</v>
      </c>
      <c r="N225" s="10" t="s">
        <v>70</v>
      </c>
    </row>
    <row r="226" customFormat="false" ht="23.85" hidden="false" customHeight="false" outlineLevel="0" collapsed="false">
      <c r="A226" s="12" t="n">
        <v>46240</v>
      </c>
      <c r="B226" s="10" t="s">
        <v>107</v>
      </c>
      <c r="C226" s="10" t="s">
        <v>52</v>
      </c>
      <c r="D226" s="15" t="n">
        <v>90</v>
      </c>
      <c r="E226" s="10" t="s">
        <v>51</v>
      </c>
      <c r="F226" s="10" t="s">
        <v>1112</v>
      </c>
      <c r="G226" s="10" t="s">
        <v>1116</v>
      </c>
      <c r="H226" s="15" t="n">
        <v>200</v>
      </c>
      <c r="I226" s="10"/>
      <c r="J226" s="10"/>
      <c r="K226" s="10"/>
      <c r="L226" s="10" t="s">
        <v>597</v>
      </c>
      <c r="M226" s="10" t="n">
        <v>1</v>
      </c>
      <c r="N226" s="10" t="s">
        <v>70</v>
      </c>
    </row>
    <row r="227" customFormat="false" ht="23.85" hidden="false" customHeight="false" outlineLevel="0" collapsed="false">
      <c r="A227" s="12" t="n">
        <v>46240</v>
      </c>
      <c r="B227" s="10" t="s">
        <v>559</v>
      </c>
      <c r="C227" s="10" t="s">
        <v>52</v>
      </c>
      <c r="D227" s="15" t="n">
        <v>90</v>
      </c>
      <c r="E227" s="10" t="s">
        <v>51</v>
      </c>
      <c r="F227" s="10" t="s">
        <v>1112</v>
      </c>
      <c r="G227" s="10" t="s">
        <v>1119</v>
      </c>
      <c r="H227" s="15" t="n">
        <v>535</v>
      </c>
      <c r="I227" s="10"/>
      <c r="J227" s="10"/>
      <c r="K227" s="10"/>
      <c r="L227" s="10" t="s">
        <v>595</v>
      </c>
      <c r="M227" s="10" t="n">
        <v>1</v>
      </c>
      <c r="N227" s="10" t="s">
        <v>70</v>
      </c>
    </row>
    <row r="228" customFormat="false" ht="23.85" hidden="false" customHeight="false" outlineLevel="0" collapsed="false">
      <c r="A228" s="12" t="n">
        <v>46240</v>
      </c>
      <c r="B228" s="10" t="s">
        <v>107</v>
      </c>
      <c r="C228" s="10" t="s">
        <v>52</v>
      </c>
      <c r="D228" s="15" t="n">
        <v>90</v>
      </c>
      <c r="E228" s="10" t="s">
        <v>51</v>
      </c>
      <c r="F228" s="10" t="s">
        <v>1112</v>
      </c>
      <c r="G228" s="10" t="s">
        <v>1119</v>
      </c>
      <c r="H228" s="15" t="n">
        <v>200</v>
      </c>
      <c r="I228" s="10"/>
      <c r="J228" s="10"/>
      <c r="K228" s="10"/>
      <c r="L228" s="10" t="s">
        <v>593</v>
      </c>
      <c r="M228" s="10" t="n">
        <v>1</v>
      </c>
      <c r="N228" s="10" t="s">
        <v>70</v>
      </c>
    </row>
    <row r="229" customFormat="false" ht="23.85" hidden="false" customHeight="false" outlineLevel="0" collapsed="false">
      <c r="A229" s="12" t="n">
        <v>46240</v>
      </c>
      <c r="B229" s="10" t="s">
        <v>559</v>
      </c>
      <c r="C229" s="10" t="s">
        <v>52</v>
      </c>
      <c r="D229" s="15" t="n">
        <v>90</v>
      </c>
      <c r="E229" s="10" t="s">
        <v>51</v>
      </c>
      <c r="F229" s="10" t="s">
        <v>1112</v>
      </c>
      <c r="G229" s="10" t="s">
        <v>1116</v>
      </c>
      <c r="H229" s="15" t="n">
        <v>535</v>
      </c>
      <c r="I229" s="10"/>
      <c r="J229" s="10"/>
      <c r="K229" s="10"/>
      <c r="L229" s="10" t="s">
        <v>591</v>
      </c>
      <c r="M229" s="10" t="n">
        <v>1</v>
      </c>
      <c r="N229" s="10" t="s">
        <v>70</v>
      </c>
    </row>
    <row r="230" customFormat="false" ht="15" hidden="false" customHeight="false" outlineLevel="0" collapsed="false">
      <c r="A230" s="12" t="n">
        <v>46240</v>
      </c>
      <c r="B230" s="10" t="s">
        <v>107</v>
      </c>
      <c r="C230" s="10" t="s">
        <v>52</v>
      </c>
      <c r="D230" s="15" t="n">
        <v>90</v>
      </c>
      <c r="E230" s="10" t="s">
        <v>51</v>
      </c>
      <c r="F230" s="10" t="s">
        <v>1112</v>
      </c>
      <c r="G230" s="10" t="s">
        <v>1116</v>
      </c>
      <c r="H230" s="15" t="n">
        <v>200</v>
      </c>
      <c r="I230" s="10"/>
      <c r="J230" s="10"/>
      <c r="K230" s="10"/>
      <c r="L230" s="10" t="s">
        <v>589</v>
      </c>
      <c r="M230" s="10" t="n">
        <v>1</v>
      </c>
      <c r="N230" s="10" t="s">
        <v>65</v>
      </c>
    </row>
    <row r="231" customFormat="false" ht="23.85" hidden="false" customHeight="false" outlineLevel="0" collapsed="false">
      <c r="A231" s="12" t="n">
        <v>46240</v>
      </c>
      <c r="B231" s="10" t="s">
        <v>559</v>
      </c>
      <c r="C231" s="10" t="s">
        <v>52</v>
      </c>
      <c r="D231" s="15" t="n">
        <v>90</v>
      </c>
      <c r="E231" s="10" t="s">
        <v>51</v>
      </c>
      <c r="F231" s="10" t="s">
        <v>1112</v>
      </c>
      <c r="G231" s="10" t="s">
        <v>1117</v>
      </c>
      <c r="H231" s="15" t="n">
        <v>535</v>
      </c>
      <c r="I231" s="10"/>
      <c r="J231" s="10"/>
      <c r="K231" s="10"/>
      <c r="L231" s="10" t="s">
        <v>587</v>
      </c>
      <c r="M231" s="10" t="n">
        <v>1</v>
      </c>
      <c r="N231" s="10" t="s">
        <v>70</v>
      </c>
    </row>
    <row r="232" customFormat="false" ht="23.85" hidden="false" customHeight="false" outlineLevel="0" collapsed="false">
      <c r="A232" s="12" t="n">
        <v>46240</v>
      </c>
      <c r="B232" s="10" t="s">
        <v>107</v>
      </c>
      <c r="C232" s="10" t="s">
        <v>52</v>
      </c>
      <c r="D232" s="15" t="n">
        <v>90</v>
      </c>
      <c r="E232" s="10" t="s">
        <v>51</v>
      </c>
      <c r="F232" s="10" t="s">
        <v>1112</v>
      </c>
      <c r="G232" s="10" t="s">
        <v>1117</v>
      </c>
      <c r="H232" s="15" t="n">
        <v>200</v>
      </c>
      <c r="I232" s="10"/>
      <c r="J232" s="10"/>
      <c r="K232" s="10"/>
      <c r="L232" s="10" t="s">
        <v>585</v>
      </c>
      <c r="M232" s="10" t="n">
        <v>1</v>
      </c>
      <c r="N232" s="10" t="s">
        <v>70</v>
      </c>
    </row>
    <row r="233" customFormat="false" ht="23.85" hidden="false" customHeight="false" outlineLevel="0" collapsed="false">
      <c r="A233" s="12" t="n">
        <v>46239</v>
      </c>
      <c r="B233" s="10" t="s">
        <v>559</v>
      </c>
      <c r="C233" s="10" t="s">
        <v>52</v>
      </c>
      <c r="D233" s="15" t="n">
        <v>90</v>
      </c>
      <c r="E233" s="10" t="s">
        <v>51</v>
      </c>
      <c r="F233" s="10" t="s">
        <v>1112</v>
      </c>
      <c r="G233" s="10" t="s">
        <v>1119</v>
      </c>
      <c r="H233" s="15" t="n">
        <v>535</v>
      </c>
      <c r="I233" s="10"/>
      <c r="J233" s="10"/>
      <c r="K233" s="10"/>
      <c r="L233" s="10" t="s">
        <v>583</v>
      </c>
      <c r="M233" s="10" t="n">
        <v>1</v>
      </c>
      <c r="N233" s="10" t="s">
        <v>70</v>
      </c>
    </row>
    <row r="234" customFormat="false" ht="23.85" hidden="false" customHeight="false" outlineLevel="0" collapsed="false">
      <c r="A234" s="12" t="n">
        <v>46239</v>
      </c>
      <c r="B234" s="10" t="s">
        <v>107</v>
      </c>
      <c r="C234" s="10" t="s">
        <v>52</v>
      </c>
      <c r="D234" s="15" t="n">
        <v>90</v>
      </c>
      <c r="E234" s="10" t="s">
        <v>51</v>
      </c>
      <c r="F234" s="10" t="s">
        <v>1112</v>
      </c>
      <c r="G234" s="10" t="s">
        <v>1123</v>
      </c>
      <c r="H234" s="15" t="n">
        <v>200</v>
      </c>
      <c r="I234" s="10"/>
      <c r="J234" s="10"/>
      <c r="K234" s="10"/>
      <c r="L234" s="10" t="s">
        <v>581</v>
      </c>
      <c r="M234" s="10" t="n">
        <v>1</v>
      </c>
      <c r="N234" s="10" t="s">
        <v>70</v>
      </c>
    </row>
    <row r="235" customFormat="false" ht="23.85" hidden="false" customHeight="false" outlineLevel="0" collapsed="false">
      <c r="A235" s="12" t="n">
        <v>46239</v>
      </c>
      <c r="B235" s="10" t="s">
        <v>559</v>
      </c>
      <c r="C235" s="10" t="s">
        <v>52</v>
      </c>
      <c r="D235" s="15" t="n">
        <v>90</v>
      </c>
      <c r="E235" s="10" t="s">
        <v>51</v>
      </c>
      <c r="F235" s="10" t="s">
        <v>1112</v>
      </c>
      <c r="G235" s="10" t="s">
        <v>1116</v>
      </c>
      <c r="H235" s="15" t="n">
        <v>535</v>
      </c>
      <c r="I235" s="10"/>
      <c r="J235" s="10"/>
      <c r="K235" s="10"/>
      <c r="L235" s="10" t="s">
        <v>578</v>
      </c>
      <c r="M235" s="10" t="n">
        <v>1</v>
      </c>
      <c r="N235" s="10" t="s">
        <v>70</v>
      </c>
    </row>
    <row r="236" customFormat="false" ht="23.85" hidden="false" customHeight="false" outlineLevel="0" collapsed="false">
      <c r="A236" s="12" t="n">
        <v>46239</v>
      </c>
      <c r="B236" s="10" t="s">
        <v>107</v>
      </c>
      <c r="C236" s="10" t="s">
        <v>52</v>
      </c>
      <c r="D236" s="15" t="n">
        <v>90</v>
      </c>
      <c r="E236" s="10" t="s">
        <v>51</v>
      </c>
      <c r="F236" s="10" t="s">
        <v>1112</v>
      </c>
      <c r="G236" s="10" t="s">
        <v>1116</v>
      </c>
      <c r="H236" s="15" t="n">
        <v>200</v>
      </c>
      <c r="I236" s="10"/>
      <c r="J236" s="10"/>
      <c r="K236" s="10"/>
      <c r="L236" s="10" t="s">
        <v>576</v>
      </c>
      <c r="M236" s="10" t="n">
        <v>1</v>
      </c>
      <c r="N236" s="10" t="s">
        <v>70</v>
      </c>
    </row>
    <row r="237" customFormat="false" ht="23.85" hidden="false" customHeight="false" outlineLevel="0" collapsed="false">
      <c r="A237" s="12" t="n">
        <v>46239</v>
      </c>
      <c r="B237" s="10" t="s">
        <v>559</v>
      </c>
      <c r="C237" s="10" t="s">
        <v>52</v>
      </c>
      <c r="D237" s="15" t="n">
        <v>90</v>
      </c>
      <c r="E237" s="10" t="s">
        <v>51</v>
      </c>
      <c r="F237" s="10" t="s">
        <v>1112</v>
      </c>
      <c r="G237" s="10" t="s">
        <v>1117</v>
      </c>
      <c r="H237" s="15" t="n">
        <v>535</v>
      </c>
      <c r="I237" s="10"/>
      <c r="J237" s="10"/>
      <c r="K237" s="10"/>
      <c r="L237" s="10" t="s">
        <v>574</v>
      </c>
      <c r="M237" s="10" t="n">
        <v>1</v>
      </c>
      <c r="N237" s="10" t="s">
        <v>70</v>
      </c>
    </row>
    <row r="238" customFormat="false" ht="15" hidden="false" customHeight="false" outlineLevel="0" collapsed="false">
      <c r="A238" s="12" t="n">
        <v>46239</v>
      </c>
      <c r="B238" s="10" t="s">
        <v>107</v>
      </c>
      <c r="C238" s="10" t="s">
        <v>52</v>
      </c>
      <c r="D238" s="15" t="n">
        <v>90</v>
      </c>
      <c r="E238" s="10" t="s">
        <v>51</v>
      </c>
      <c r="F238" s="10" t="s">
        <v>1112</v>
      </c>
      <c r="G238" s="10" t="s">
        <v>1117</v>
      </c>
      <c r="H238" s="15" t="n">
        <v>200</v>
      </c>
      <c r="I238" s="10"/>
      <c r="J238" s="10"/>
      <c r="K238" s="10"/>
      <c r="L238" s="10" t="s">
        <v>572</v>
      </c>
      <c r="M238" s="10" t="n">
        <v>1</v>
      </c>
      <c r="N238" s="10" t="s">
        <v>65</v>
      </c>
    </row>
    <row r="239" customFormat="false" ht="23.85" hidden="false" customHeight="false" outlineLevel="0" collapsed="false">
      <c r="A239" s="12" t="n">
        <v>46239</v>
      </c>
      <c r="B239" s="10" t="s">
        <v>559</v>
      </c>
      <c r="C239" s="10" t="s">
        <v>52</v>
      </c>
      <c r="D239" s="15" t="n">
        <v>90</v>
      </c>
      <c r="E239" s="10" t="s">
        <v>51</v>
      </c>
      <c r="F239" s="10" t="s">
        <v>1112</v>
      </c>
      <c r="G239" s="10" t="s">
        <v>1119</v>
      </c>
      <c r="H239" s="15" t="n">
        <v>535</v>
      </c>
      <c r="I239" s="10"/>
      <c r="J239" s="10"/>
      <c r="K239" s="10"/>
      <c r="L239" s="10" t="s">
        <v>570</v>
      </c>
      <c r="M239" s="10" t="n">
        <v>1</v>
      </c>
      <c r="N239" s="10" t="s">
        <v>70</v>
      </c>
    </row>
    <row r="240" customFormat="false" ht="23.85" hidden="false" customHeight="false" outlineLevel="0" collapsed="false">
      <c r="A240" s="12" t="n">
        <v>46239</v>
      </c>
      <c r="B240" s="10" t="s">
        <v>107</v>
      </c>
      <c r="C240" s="10" t="s">
        <v>52</v>
      </c>
      <c r="D240" s="15" t="n">
        <v>90</v>
      </c>
      <c r="E240" s="10" t="s">
        <v>51</v>
      </c>
      <c r="F240" s="10" t="s">
        <v>1112</v>
      </c>
      <c r="G240" s="10" t="s">
        <v>1119</v>
      </c>
      <c r="H240" s="15" t="n">
        <v>200</v>
      </c>
      <c r="I240" s="10"/>
      <c r="J240" s="10"/>
      <c r="K240" s="10"/>
      <c r="L240" s="10" t="s">
        <v>568</v>
      </c>
      <c r="M240" s="10" t="n">
        <v>1</v>
      </c>
      <c r="N240" s="10" t="s">
        <v>70</v>
      </c>
    </row>
    <row r="241" customFormat="false" ht="23.85" hidden="false" customHeight="false" outlineLevel="0" collapsed="false">
      <c r="A241" s="12" t="n">
        <v>46239</v>
      </c>
      <c r="B241" s="10" t="s">
        <v>559</v>
      </c>
      <c r="C241" s="10" t="s">
        <v>52</v>
      </c>
      <c r="D241" s="15" t="n">
        <v>90</v>
      </c>
      <c r="E241" s="10" t="s">
        <v>51</v>
      </c>
      <c r="F241" s="10" t="s">
        <v>1112</v>
      </c>
      <c r="G241" s="10" t="s">
        <v>1116</v>
      </c>
      <c r="H241" s="15" t="n">
        <v>535</v>
      </c>
      <c r="I241" s="10"/>
      <c r="J241" s="15"/>
      <c r="K241" s="10"/>
      <c r="L241" s="10" t="s">
        <v>566</v>
      </c>
      <c r="M241" s="10" t="n">
        <v>1</v>
      </c>
      <c r="N241" s="10" t="s">
        <v>70</v>
      </c>
    </row>
    <row r="242" customFormat="false" ht="23.85" hidden="false" customHeight="false" outlineLevel="0" collapsed="false">
      <c r="A242" s="12" t="n">
        <v>46239</v>
      </c>
      <c r="B242" s="10" t="s">
        <v>107</v>
      </c>
      <c r="C242" s="10" t="s">
        <v>52</v>
      </c>
      <c r="D242" s="15" t="n">
        <v>90</v>
      </c>
      <c r="E242" s="10" t="s">
        <v>51</v>
      </c>
      <c r="F242" s="10" t="s">
        <v>1112</v>
      </c>
      <c r="G242" s="10" t="s">
        <v>1116</v>
      </c>
      <c r="H242" s="15" t="n">
        <v>200</v>
      </c>
      <c r="I242" s="10"/>
      <c r="J242" s="10"/>
      <c r="K242" s="10"/>
      <c r="L242" s="10" t="s">
        <v>564</v>
      </c>
      <c r="M242" s="10" t="n">
        <v>1</v>
      </c>
      <c r="N242" s="10" t="s">
        <v>70</v>
      </c>
    </row>
    <row r="243" customFormat="false" ht="23.85" hidden="false" customHeight="false" outlineLevel="0" collapsed="false">
      <c r="A243" s="12" t="n">
        <v>46239</v>
      </c>
      <c r="B243" s="10" t="s">
        <v>559</v>
      </c>
      <c r="C243" s="10" t="s">
        <v>52</v>
      </c>
      <c r="D243" s="15" t="n">
        <v>90</v>
      </c>
      <c r="E243" s="10" t="s">
        <v>51</v>
      </c>
      <c r="F243" s="10" t="s">
        <v>1112</v>
      </c>
      <c r="G243" s="10" t="s">
        <v>1117</v>
      </c>
      <c r="H243" s="15" t="n">
        <v>535</v>
      </c>
      <c r="I243" s="10"/>
      <c r="J243" s="10"/>
      <c r="K243" s="10"/>
      <c r="L243" s="10" t="s">
        <v>562</v>
      </c>
      <c r="M243" s="10" t="n">
        <v>1</v>
      </c>
      <c r="N243" s="10" t="s">
        <v>70</v>
      </c>
    </row>
    <row r="244" customFormat="false" ht="23.85" hidden="false" customHeight="false" outlineLevel="0" collapsed="false">
      <c r="A244" s="12" t="n">
        <v>46239</v>
      </c>
      <c r="B244" s="10" t="s">
        <v>107</v>
      </c>
      <c r="C244" s="10" t="s">
        <v>52</v>
      </c>
      <c r="D244" s="15" t="n">
        <v>90</v>
      </c>
      <c r="E244" s="10" t="s">
        <v>51</v>
      </c>
      <c r="F244" s="10" t="s">
        <v>1112</v>
      </c>
      <c r="G244" s="10" t="s">
        <v>1117</v>
      </c>
      <c r="H244" s="15" t="n">
        <v>200</v>
      </c>
      <c r="I244" s="10"/>
      <c r="J244" s="15"/>
      <c r="K244" s="10"/>
      <c r="L244" s="10" t="s">
        <v>558</v>
      </c>
      <c r="M244" s="10" t="n">
        <v>1</v>
      </c>
      <c r="N244" s="10" t="s">
        <v>70</v>
      </c>
    </row>
    <row r="245" customFormat="false" ht="15" hidden="false" customHeight="false" outlineLevel="0" collapsed="false">
      <c r="A245" s="12" t="n">
        <v>46239</v>
      </c>
      <c r="B245" s="10" t="s">
        <v>63</v>
      </c>
      <c r="C245" s="10" t="s">
        <v>64</v>
      </c>
      <c r="D245" s="15" t="n">
        <v>29.82</v>
      </c>
      <c r="E245" s="10" t="s">
        <v>77</v>
      </c>
      <c r="F245" s="10" t="s">
        <v>1111</v>
      </c>
      <c r="G245" s="10"/>
      <c r="H245" s="15" t="n">
        <v>0</v>
      </c>
      <c r="I245" s="10"/>
      <c r="J245" s="10"/>
      <c r="K245" s="10"/>
      <c r="L245" s="10" t="s">
        <v>556</v>
      </c>
      <c r="M245" s="10" t="n">
        <v>1</v>
      </c>
      <c r="N245" s="10" t="s">
        <v>242</v>
      </c>
    </row>
    <row r="246" customFormat="false" ht="23.85" hidden="false" customHeight="false" outlineLevel="0" collapsed="false">
      <c r="A246" s="12" t="n">
        <v>46239</v>
      </c>
      <c r="B246" s="10" t="s">
        <v>63</v>
      </c>
      <c r="C246" s="10" t="s">
        <v>64</v>
      </c>
      <c r="D246" s="15" t="n">
        <v>28.15</v>
      </c>
      <c r="E246" s="10" t="s">
        <v>77</v>
      </c>
      <c r="F246" s="10" t="s">
        <v>1111</v>
      </c>
      <c r="G246" s="10"/>
      <c r="H246" s="15" t="n">
        <v>0</v>
      </c>
      <c r="I246" s="10"/>
      <c r="J246" s="10"/>
      <c r="K246" s="10"/>
      <c r="L246" s="10" t="s">
        <v>554</v>
      </c>
      <c r="M246" s="10" t="n">
        <v>1</v>
      </c>
      <c r="N246" s="10" t="s">
        <v>302</v>
      </c>
    </row>
    <row r="247" customFormat="false" ht="23.85" hidden="false" customHeight="false" outlineLevel="0" collapsed="false">
      <c r="A247" s="12" t="n">
        <v>46238</v>
      </c>
      <c r="B247" s="10" t="s">
        <v>63</v>
      </c>
      <c r="C247" s="10" t="s">
        <v>52</v>
      </c>
      <c r="D247" s="15" t="n">
        <v>67.84</v>
      </c>
      <c r="E247" s="10" t="s">
        <v>51</v>
      </c>
      <c r="F247" s="10" t="s">
        <v>1112</v>
      </c>
      <c r="G247" s="10" t="s">
        <v>1115</v>
      </c>
      <c r="H247" s="15" t="n">
        <v>525</v>
      </c>
      <c r="I247" s="10"/>
      <c r="J247" s="15"/>
      <c r="K247" s="10"/>
      <c r="L247" s="10" t="s">
        <v>552</v>
      </c>
      <c r="M247" s="10" t="n">
        <v>1</v>
      </c>
      <c r="N247" s="10" t="s">
        <v>547</v>
      </c>
    </row>
    <row r="248" customFormat="false" ht="23.85" hidden="false" customHeight="false" outlineLevel="0" collapsed="false">
      <c r="A248" s="12" t="n">
        <v>46238</v>
      </c>
      <c r="B248" s="10" t="s">
        <v>47</v>
      </c>
      <c r="C248" s="10" t="s">
        <v>52</v>
      </c>
      <c r="D248" s="15" t="n">
        <v>67.84</v>
      </c>
      <c r="E248" s="10" t="s">
        <v>51</v>
      </c>
      <c r="F248" s="10" t="s">
        <v>1111</v>
      </c>
      <c r="G248" s="10"/>
      <c r="H248" s="15" t="n">
        <v>0</v>
      </c>
      <c r="I248" s="10" t="s">
        <v>549</v>
      </c>
      <c r="J248" s="10" t="n">
        <v>67.84</v>
      </c>
      <c r="K248" s="10" t="s">
        <v>51</v>
      </c>
      <c r="L248" s="10" t="s">
        <v>548</v>
      </c>
      <c r="M248" s="10" t="n">
        <v>1</v>
      </c>
      <c r="N248" s="10" t="s">
        <v>547</v>
      </c>
    </row>
    <row r="249" customFormat="false" ht="35.05" hidden="false" customHeight="false" outlineLevel="0" collapsed="false">
      <c r="A249" s="12" t="n">
        <v>46238</v>
      </c>
      <c r="B249" s="10" t="s">
        <v>63</v>
      </c>
      <c r="C249" s="10" t="s">
        <v>64</v>
      </c>
      <c r="D249" s="15" t="n">
        <v>16.96</v>
      </c>
      <c r="E249" s="10" t="s">
        <v>77</v>
      </c>
      <c r="F249" s="10" t="s">
        <v>1111</v>
      </c>
      <c r="G249" s="10"/>
      <c r="H249" s="15" t="n">
        <v>0</v>
      </c>
      <c r="I249" s="10"/>
      <c r="J249" s="10"/>
      <c r="K249" s="10"/>
      <c r="L249" s="10" t="s">
        <v>545</v>
      </c>
      <c r="M249" s="10" t="n">
        <v>1</v>
      </c>
      <c r="N249" s="10" t="s">
        <v>544</v>
      </c>
    </row>
    <row r="250" customFormat="false" ht="15" hidden="false" customHeight="false" outlineLevel="0" collapsed="false">
      <c r="A250" s="12" t="n">
        <v>46238</v>
      </c>
      <c r="B250" s="10" t="s">
        <v>63</v>
      </c>
      <c r="C250" s="10" t="s">
        <v>52</v>
      </c>
      <c r="D250" s="15" t="n">
        <v>69.52</v>
      </c>
      <c r="E250" s="10" t="s">
        <v>51</v>
      </c>
      <c r="F250" s="10" t="s">
        <v>1112</v>
      </c>
      <c r="G250" s="10" t="s">
        <v>1117</v>
      </c>
      <c r="H250" s="15" t="n">
        <v>525</v>
      </c>
      <c r="I250" s="10"/>
      <c r="J250" s="15"/>
      <c r="K250" s="10"/>
      <c r="L250" s="10" t="s">
        <v>542</v>
      </c>
      <c r="M250" s="10" t="n">
        <v>1</v>
      </c>
      <c r="N250" s="10" t="s">
        <v>65</v>
      </c>
    </row>
    <row r="251" customFormat="false" ht="23.85" hidden="false" customHeight="false" outlineLevel="0" collapsed="false">
      <c r="A251" s="12" t="n">
        <v>46238</v>
      </c>
      <c r="B251" s="10" t="s">
        <v>47</v>
      </c>
      <c r="C251" s="10" t="s">
        <v>52</v>
      </c>
      <c r="D251" s="15" t="n">
        <v>69.52</v>
      </c>
      <c r="E251" s="10" t="s">
        <v>51</v>
      </c>
      <c r="F251" s="10" t="s">
        <v>1111</v>
      </c>
      <c r="G251" s="10"/>
      <c r="H251" s="15" t="n">
        <v>0</v>
      </c>
      <c r="I251" s="10" t="s">
        <v>52</v>
      </c>
      <c r="J251" s="10" t="n">
        <v>69.52</v>
      </c>
      <c r="K251" s="10" t="s">
        <v>51</v>
      </c>
      <c r="L251" s="10" t="s">
        <v>541</v>
      </c>
      <c r="M251" s="10" t="n">
        <v>1</v>
      </c>
      <c r="N251" s="10" t="s">
        <v>70</v>
      </c>
    </row>
    <row r="252" customFormat="false" ht="23.85" hidden="false" customHeight="false" outlineLevel="0" collapsed="false">
      <c r="A252" s="12" t="n">
        <v>46238</v>
      </c>
      <c r="B252" s="10" t="s">
        <v>63</v>
      </c>
      <c r="C252" s="10" t="s">
        <v>64</v>
      </c>
      <c r="D252" s="15" t="n">
        <v>17.38</v>
      </c>
      <c r="E252" s="10" t="s">
        <v>77</v>
      </c>
      <c r="F252" s="10" t="s">
        <v>1111</v>
      </c>
      <c r="G252" s="10"/>
      <c r="H252" s="15" t="n">
        <v>0</v>
      </c>
      <c r="I252" s="10"/>
      <c r="J252" s="10"/>
      <c r="K252" s="10"/>
      <c r="L252" s="10" t="s">
        <v>539</v>
      </c>
      <c r="M252" s="10" t="n">
        <v>1</v>
      </c>
      <c r="N252" s="10" t="s">
        <v>70</v>
      </c>
    </row>
    <row r="253" customFormat="false" ht="35.05" hidden="false" customHeight="false" outlineLevel="0" collapsed="false">
      <c r="A253" s="12" t="n">
        <v>46238</v>
      </c>
      <c r="B253" s="10" t="s">
        <v>63</v>
      </c>
      <c r="C253" s="10" t="s">
        <v>52</v>
      </c>
      <c r="D253" s="15" t="n">
        <v>69.52</v>
      </c>
      <c r="E253" s="10" t="s">
        <v>51</v>
      </c>
      <c r="F253" s="10" t="s">
        <v>1112</v>
      </c>
      <c r="G253" s="10" t="s">
        <v>1116</v>
      </c>
      <c r="H253" s="15" t="n">
        <v>525</v>
      </c>
      <c r="I253" s="10"/>
      <c r="J253" s="15"/>
      <c r="K253" s="10"/>
      <c r="L253" s="10" t="s">
        <v>537</v>
      </c>
      <c r="M253" s="10" t="n">
        <v>1</v>
      </c>
      <c r="N253" s="10" t="s">
        <v>536</v>
      </c>
    </row>
    <row r="254" customFormat="false" ht="23.85" hidden="false" customHeight="false" outlineLevel="0" collapsed="false">
      <c r="A254" s="12" t="n">
        <v>46238</v>
      </c>
      <c r="B254" s="10" t="s">
        <v>47</v>
      </c>
      <c r="C254" s="10" t="s">
        <v>52</v>
      </c>
      <c r="D254" s="15" t="n">
        <v>69.52</v>
      </c>
      <c r="E254" s="10" t="s">
        <v>51</v>
      </c>
      <c r="F254" s="10" t="s">
        <v>1111</v>
      </c>
      <c r="G254" s="10"/>
      <c r="H254" s="15" t="n">
        <v>0</v>
      </c>
      <c r="I254" s="10" t="s">
        <v>52</v>
      </c>
      <c r="J254" s="10" t="n">
        <v>69.52</v>
      </c>
      <c r="K254" s="10" t="s">
        <v>51</v>
      </c>
      <c r="L254" s="10" t="s">
        <v>535</v>
      </c>
      <c r="M254" s="10" t="n">
        <v>1</v>
      </c>
      <c r="N254" s="10" t="s">
        <v>70</v>
      </c>
    </row>
    <row r="255" customFormat="false" ht="23.85" hidden="false" customHeight="false" outlineLevel="0" collapsed="false">
      <c r="A255" s="12" t="n">
        <v>46238</v>
      </c>
      <c r="B255" s="10" t="s">
        <v>63</v>
      </c>
      <c r="C255" s="10" t="s">
        <v>64</v>
      </c>
      <c r="D255" s="15" t="n">
        <v>17.38</v>
      </c>
      <c r="E255" s="10" t="s">
        <v>77</v>
      </c>
      <c r="F255" s="10" t="s">
        <v>1111</v>
      </c>
      <c r="G255" s="10"/>
      <c r="H255" s="15" t="n">
        <v>0</v>
      </c>
      <c r="I255" s="10"/>
      <c r="J255" s="10"/>
      <c r="K255" s="10"/>
      <c r="L255" s="10" t="s">
        <v>533</v>
      </c>
      <c r="M255" s="10" t="n">
        <v>1</v>
      </c>
      <c r="N255" s="10" t="s">
        <v>70</v>
      </c>
    </row>
    <row r="256" customFormat="false" ht="15" hidden="false" customHeight="false" outlineLevel="0" collapsed="false">
      <c r="A256" s="12" t="n">
        <v>46238</v>
      </c>
      <c r="B256" s="10" t="s">
        <v>63</v>
      </c>
      <c r="C256" s="10" t="s">
        <v>52</v>
      </c>
      <c r="D256" s="15" t="n">
        <v>67.84</v>
      </c>
      <c r="E256" s="10" t="s">
        <v>51</v>
      </c>
      <c r="F256" s="10" t="s">
        <v>1112</v>
      </c>
      <c r="G256" s="10" t="s">
        <v>1119</v>
      </c>
      <c r="H256" s="15" t="n">
        <v>525</v>
      </c>
      <c r="I256" s="10"/>
      <c r="J256" s="15"/>
      <c r="K256" s="10"/>
      <c r="L256" s="10" t="s">
        <v>531</v>
      </c>
      <c r="M256" s="10" t="n">
        <v>1</v>
      </c>
      <c r="N256" s="10" t="s">
        <v>65</v>
      </c>
    </row>
    <row r="257" customFormat="false" ht="23.85" hidden="false" customHeight="false" outlineLevel="0" collapsed="false">
      <c r="A257" s="12" t="n">
        <v>46238</v>
      </c>
      <c r="B257" s="10" t="s">
        <v>47</v>
      </c>
      <c r="C257" s="10" t="s">
        <v>52</v>
      </c>
      <c r="D257" s="15" t="n">
        <v>67.84</v>
      </c>
      <c r="E257" s="10" t="s">
        <v>51</v>
      </c>
      <c r="F257" s="10" t="s">
        <v>1111</v>
      </c>
      <c r="G257" s="10"/>
      <c r="H257" s="15" t="n">
        <v>0</v>
      </c>
      <c r="I257" s="10" t="s">
        <v>52</v>
      </c>
      <c r="J257" s="10" t="n">
        <v>67.84</v>
      </c>
      <c r="K257" s="10" t="s">
        <v>51</v>
      </c>
      <c r="L257" s="10" t="s">
        <v>530</v>
      </c>
      <c r="M257" s="10" t="n">
        <v>1</v>
      </c>
      <c r="N257" s="10" t="s">
        <v>70</v>
      </c>
    </row>
    <row r="258" customFormat="false" ht="23.85" hidden="false" customHeight="false" outlineLevel="0" collapsed="false">
      <c r="A258" s="12" t="n">
        <v>46238</v>
      </c>
      <c r="B258" s="10" t="s">
        <v>63</v>
      </c>
      <c r="C258" s="10" t="s">
        <v>64</v>
      </c>
      <c r="D258" s="15" t="n">
        <v>16.96</v>
      </c>
      <c r="E258" s="10" t="s">
        <v>77</v>
      </c>
      <c r="F258" s="10" t="s">
        <v>1111</v>
      </c>
      <c r="G258" s="10"/>
      <c r="H258" s="15" t="n">
        <v>0</v>
      </c>
      <c r="I258" s="10"/>
      <c r="J258" s="10"/>
      <c r="K258" s="10"/>
      <c r="L258" s="10" t="s">
        <v>529</v>
      </c>
      <c r="M258" s="10" t="n">
        <v>1</v>
      </c>
      <c r="N258" s="10" t="s">
        <v>70</v>
      </c>
    </row>
    <row r="259" customFormat="false" ht="23.85" hidden="false" customHeight="false" outlineLevel="0" collapsed="false">
      <c r="A259" s="12" t="n">
        <v>46238</v>
      </c>
      <c r="B259" s="10" t="s">
        <v>63</v>
      </c>
      <c r="C259" s="10" t="s">
        <v>52</v>
      </c>
      <c r="D259" s="15" t="n">
        <v>63.84</v>
      </c>
      <c r="E259" s="10" t="s">
        <v>51</v>
      </c>
      <c r="F259" s="10" t="s">
        <v>1112</v>
      </c>
      <c r="G259" s="10" t="s">
        <v>1124</v>
      </c>
      <c r="H259" s="15" t="n">
        <v>630</v>
      </c>
      <c r="I259" s="10"/>
      <c r="J259" s="15"/>
      <c r="K259" s="10"/>
      <c r="L259" s="10" t="s">
        <v>527</v>
      </c>
      <c r="M259" s="10" t="n">
        <v>1</v>
      </c>
      <c r="N259" s="10" t="s">
        <v>70</v>
      </c>
    </row>
    <row r="260" customFormat="false" ht="15" hidden="false" customHeight="false" outlineLevel="0" collapsed="false">
      <c r="A260" s="12" t="n">
        <v>46238</v>
      </c>
      <c r="B260" s="10" t="s">
        <v>47</v>
      </c>
      <c r="C260" s="10" t="s">
        <v>52</v>
      </c>
      <c r="D260" s="15" t="n">
        <v>63.84</v>
      </c>
      <c r="E260" s="10" t="s">
        <v>51</v>
      </c>
      <c r="F260" s="10" t="s">
        <v>1111</v>
      </c>
      <c r="G260" s="10"/>
      <c r="H260" s="15" t="n">
        <v>0</v>
      </c>
      <c r="I260" s="10" t="s">
        <v>52</v>
      </c>
      <c r="J260" s="10" t="n">
        <v>63.84</v>
      </c>
      <c r="K260" s="10" t="s">
        <v>51</v>
      </c>
      <c r="L260" s="10" t="s">
        <v>526</v>
      </c>
      <c r="M260" s="10" t="n">
        <v>1</v>
      </c>
      <c r="N260" s="10" t="s">
        <v>65</v>
      </c>
    </row>
    <row r="261" customFormat="false" ht="23.85" hidden="false" customHeight="false" outlineLevel="0" collapsed="false">
      <c r="A261" s="12" t="n">
        <v>46238</v>
      </c>
      <c r="B261" s="10" t="s">
        <v>63</v>
      </c>
      <c r="C261" s="10" t="s">
        <v>64</v>
      </c>
      <c r="D261" s="15" t="n">
        <v>15.96</v>
      </c>
      <c r="E261" s="10" t="s">
        <v>77</v>
      </c>
      <c r="F261" s="10" t="s">
        <v>1111</v>
      </c>
      <c r="G261" s="10"/>
      <c r="H261" s="15" t="n">
        <v>0</v>
      </c>
      <c r="I261" s="10"/>
      <c r="J261" s="10"/>
      <c r="K261" s="10"/>
      <c r="L261" s="10" t="s">
        <v>524</v>
      </c>
      <c r="M261" s="10" t="n">
        <v>1</v>
      </c>
      <c r="N261" s="10" t="s">
        <v>70</v>
      </c>
    </row>
    <row r="262" customFormat="false" ht="23.85" hidden="false" customHeight="false" outlineLevel="0" collapsed="false">
      <c r="A262" s="12" t="n">
        <v>46238</v>
      </c>
      <c r="B262" s="10" t="s">
        <v>63</v>
      </c>
      <c r="C262" s="10" t="s">
        <v>52</v>
      </c>
      <c r="D262" s="15" t="n">
        <v>69.52</v>
      </c>
      <c r="E262" s="10" t="s">
        <v>51</v>
      </c>
      <c r="F262" s="10" t="s">
        <v>1112</v>
      </c>
      <c r="G262" s="10" t="s">
        <v>1117</v>
      </c>
      <c r="H262" s="15" t="n">
        <v>525</v>
      </c>
      <c r="I262" s="10"/>
      <c r="J262" s="15"/>
      <c r="K262" s="10"/>
      <c r="L262" s="10" t="s">
        <v>522</v>
      </c>
      <c r="M262" s="10" t="n">
        <v>1</v>
      </c>
      <c r="N262" s="10" t="s">
        <v>70</v>
      </c>
    </row>
    <row r="263" customFormat="false" ht="15" hidden="false" customHeight="false" outlineLevel="0" collapsed="false">
      <c r="A263" s="12" t="n">
        <v>46238</v>
      </c>
      <c r="B263" s="10" t="s">
        <v>47</v>
      </c>
      <c r="C263" s="10" t="s">
        <v>52</v>
      </c>
      <c r="D263" s="15" t="n">
        <v>69.52</v>
      </c>
      <c r="E263" s="10" t="s">
        <v>51</v>
      </c>
      <c r="F263" s="10" t="s">
        <v>1111</v>
      </c>
      <c r="G263" s="10"/>
      <c r="H263" s="15" t="n">
        <v>0</v>
      </c>
      <c r="I263" s="10" t="s">
        <v>52</v>
      </c>
      <c r="J263" s="10" t="n">
        <v>69.52</v>
      </c>
      <c r="K263" s="10" t="s">
        <v>51</v>
      </c>
      <c r="L263" s="10" t="s">
        <v>521</v>
      </c>
      <c r="M263" s="10" t="n">
        <v>1</v>
      </c>
      <c r="N263" s="10" t="s">
        <v>65</v>
      </c>
    </row>
    <row r="264" customFormat="false" ht="15" hidden="false" customHeight="false" outlineLevel="0" collapsed="false">
      <c r="A264" s="12" t="n">
        <v>46238</v>
      </c>
      <c r="B264" s="10" t="s">
        <v>63</v>
      </c>
      <c r="C264" s="10" t="s">
        <v>64</v>
      </c>
      <c r="D264" s="15" t="n">
        <v>17.38</v>
      </c>
      <c r="E264" s="10" t="s">
        <v>77</v>
      </c>
      <c r="F264" s="10" t="s">
        <v>1111</v>
      </c>
      <c r="G264" s="10"/>
      <c r="H264" s="15" t="n">
        <v>0</v>
      </c>
      <c r="I264" s="10"/>
      <c r="J264" s="10"/>
      <c r="K264" s="10"/>
      <c r="L264" s="10" t="s">
        <v>519</v>
      </c>
      <c r="M264" s="10" t="n">
        <v>1</v>
      </c>
      <c r="N264" s="10" t="s">
        <v>65</v>
      </c>
    </row>
    <row r="265" customFormat="false" ht="23.85" hidden="false" customHeight="false" outlineLevel="0" collapsed="false">
      <c r="A265" s="12" t="n">
        <v>46238</v>
      </c>
      <c r="B265" s="10" t="s">
        <v>63</v>
      </c>
      <c r="C265" s="10" t="s">
        <v>52</v>
      </c>
      <c r="D265" s="15" t="n">
        <v>67.84</v>
      </c>
      <c r="E265" s="10" t="s">
        <v>51</v>
      </c>
      <c r="F265" s="10" t="s">
        <v>1112</v>
      </c>
      <c r="G265" s="10" t="s">
        <v>1116</v>
      </c>
      <c r="H265" s="15" t="n">
        <v>525</v>
      </c>
      <c r="I265" s="10"/>
      <c r="J265" s="15"/>
      <c r="K265" s="10"/>
      <c r="L265" s="10" t="s">
        <v>517</v>
      </c>
      <c r="M265" s="10" t="n">
        <v>1</v>
      </c>
      <c r="N265" s="10" t="s">
        <v>70</v>
      </c>
    </row>
    <row r="266" customFormat="false" ht="23.85" hidden="false" customHeight="false" outlineLevel="0" collapsed="false">
      <c r="A266" s="12" t="n">
        <v>46238</v>
      </c>
      <c r="B266" s="10" t="s">
        <v>47</v>
      </c>
      <c r="C266" s="10" t="s">
        <v>52</v>
      </c>
      <c r="D266" s="15" t="n">
        <v>67.84</v>
      </c>
      <c r="E266" s="10" t="s">
        <v>51</v>
      </c>
      <c r="F266" s="10" t="s">
        <v>1111</v>
      </c>
      <c r="G266" s="10"/>
      <c r="H266" s="15" t="n">
        <v>0</v>
      </c>
      <c r="I266" s="10" t="s">
        <v>52</v>
      </c>
      <c r="J266" s="10" t="n">
        <v>67.84</v>
      </c>
      <c r="K266" s="10" t="s">
        <v>51</v>
      </c>
      <c r="L266" s="10" t="s">
        <v>515</v>
      </c>
      <c r="M266" s="10" t="n">
        <v>1</v>
      </c>
      <c r="N266" s="10" t="s">
        <v>70</v>
      </c>
    </row>
    <row r="267" customFormat="false" ht="23.85" hidden="false" customHeight="false" outlineLevel="0" collapsed="false">
      <c r="A267" s="12" t="n">
        <v>46238</v>
      </c>
      <c r="B267" s="10" t="s">
        <v>63</v>
      </c>
      <c r="C267" s="10" t="s">
        <v>64</v>
      </c>
      <c r="D267" s="15" t="n">
        <v>16.96</v>
      </c>
      <c r="E267" s="10" t="s">
        <v>77</v>
      </c>
      <c r="F267" s="10" t="s">
        <v>1111</v>
      </c>
      <c r="G267" s="10"/>
      <c r="H267" s="15" t="n">
        <v>0</v>
      </c>
      <c r="I267" s="10"/>
      <c r="J267" s="10"/>
      <c r="K267" s="10"/>
      <c r="L267" s="10" t="s">
        <v>513</v>
      </c>
      <c r="M267" s="10" t="n">
        <v>1</v>
      </c>
      <c r="N267" s="10" t="s">
        <v>70</v>
      </c>
    </row>
    <row r="268" customFormat="false" ht="23.85" hidden="false" customHeight="false" outlineLevel="0" collapsed="false">
      <c r="A268" s="12" t="n">
        <v>46237</v>
      </c>
      <c r="B268" s="10" t="s">
        <v>63</v>
      </c>
      <c r="C268" s="10" t="s">
        <v>52</v>
      </c>
      <c r="D268" s="15" t="n">
        <v>68</v>
      </c>
      <c r="E268" s="10" t="s">
        <v>51</v>
      </c>
      <c r="F268" s="10" t="s">
        <v>1112</v>
      </c>
      <c r="G268" s="10" t="s">
        <v>1119</v>
      </c>
      <c r="H268" s="15" t="n">
        <v>1000</v>
      </c>
      <c r="I268" s="10"/>
      <c r="J268" s="15"/>
      <c r="K268" s="10"/>
      <c r="L268" s="10" t="s">
        <v>510</v>
      </c>
      <c r="M268" s="10" t="n">
        <v>1</v>
      </c>
      <c r="N268" s="10" t="s">
        <v>70</v>
      </c>
    </row>
    <row r="269" customFormat="false" ht="23.85" hidden="false" customHeight="false" outlineLevel="0" collapsed="false">
      <c r="A269" s="12" t="n">
        <v>46237</v>
      </c>
      <c r="B269" s="10" t="s">
        <v>47</v>
      </c>
      <c r="C269" s="10" t="s">
        <v>52</v>
      </c>
      <c r="D269" s="15" t="n">
        <v>68</v>
      </c>
      <c r="E269" s="10" t="s">
        <v>51</v>
      </c>
      <c r="F269" s="10" t="s">
        <v>1111</v>
      </c>
      <c r="G269" s="10"/>
      <c r="H269" s="15" t="n">
        <v>0</v>
      </c>
      <c r="I269" s="10" t="s">
        <v>52</v>
      </c>
      <c r="J269" s="10" t="n">
        <v>68</v>
      </c>
      <c r="K269" s="10" t="s">
        <v>51</v>
      </c>
      <c r="L269" s="10" t="s">
        <v>508</v>
      </c>
      <c r="M269" s="10" t="n">
        <v>1</v>
      </c>
      <c r="N269" s="10" t="s">
        <v>70</v>
      </c>
    </row>
    <row r="270" customFormat="false" ht="23.85" hidden="false" customHeight="false" outlineLevel="0" collapsed="false">
      <c r="A270" s="12" t="n">
        <v>46237</v>
      </c>
      <c r="B270" s="10" t="s">
        <v>63</v>
      </c>
      <c r="C270" s="10" t="s">
        <v>64</v>
      </c>
      <c r="D270" s="15" t="n">
        <v>17</v>
      </c>
      <c r="E270" s="10" t="s">
        <v>77</v>
      </c>
      <c r="F270" s="10" t="s">
        <v>1111</v>
      </c>
      <c r="G270" s="10"/>
      <c r="H270" s="15" t="n">
        <v>0</v>
      </c>
      <c r="I270" s="10"/>
      <c r="J270" s="10"/>
      <c r="K270" s="10"/>
      <c r="L270" s="10" t="s">
        <v>507</v>
      </c>
      <c r="M270" s="10" t="n">
        <v>1</v>
      </c>
      <c r="N270" s="10" t="s">
        <v>70</v>
      </c>
    </row>
    <row r="271" customFormat="false" ht="23.85" hidden="false" customHeight="false" outlineLevel="0" collapsed="false">
      <c r="A271" s="12" t="n">
        <v>46237</v>
      </c>
      <c r="B271" s="10" t="s">
        <v>63</v>
      </c>
      <c r="C271" s="10" t="s">
        <v>52</v>
      </c>
      <c r="D271" s="15" t="n">
        <v>81.12</v>
      </c>
      <c r="E271" s="10" t="s">
        <v>51</v>
      </c>
      <c r="F271" s="10" t="s">
        <v>1112</v>
      </c>
      <c r="G271" s="10" t="s">
        <v>1117</v>
      </c>
      <c r="H271" s="15" t="n">
        <v>1000</v>
      </c>
      <c r="I271" s="10"/>
      <c r="J271" s="10"/>
      <c r="K271" s="10"/>
      <c r="L271" s="10" t="s">
        <v>505</v>
      </c>
      <c r="M271" s="10" t="n">
        <v>1</v>
      </c>
      <c r="N271" s="10" t="s">
        <v>70</v>
      </c>
    </row>
    <row r="272" customFormat="false" ht="23.85" hidden="false" customHeight="false" outlineLevel="0" collapsed="false">
      <c r="A272" s="12" t="n">
        <v>46237</v>
      </c>
      <c r="B272" s="10" t="s">
        <v>47</v>
      </c>
      <c r="C272" s="10" t="s">
        <v>52</v>
      </c>
      <c r="D272" s="15" t="n">
        <v>81.12</v>
      </c>
      <c r="E272" s="10" t="s">
        <v>51</v>
      </c>
      <c r="F272" s="10" t="s">
        <v>1111</v>
      </c>
      <c r="G272" s="10"/>
      <c r="H272" s="15" t="n">
        <v>0</v>
      </c>
      <c r="I272" s="10" t="s">
        <v>52</v>
      </c>
      <c r="J272" s="10" t="n">
        <v>81.12</v>
      </c>
      <c r="K272" s="10" t="s">
        <v>51</v>
      </c>
      <c r="L272" s="10" t="s">
        <v>504</v>
      </c>
      <c r="M272" s="10" t="n">
        <v>1</v>
      </c>
      <c r="N272" s="10" t="s">
        <v>70</v>
      </c>
    </row>
    <row r="273" customFormat="false" ht="15" hidden="false" customHeight="false" outlineLevel="0" collapsed="false">
      <c r="A273" s="12" t="n">
        <v>46237</v>
      </c>
      <c r="B273" s="10" t="s">
        <v>63</v>
      </c>
      <c r="C273" s="10" t="s">
        <v>64</v>
      </c>
      <c r="D273" s="15" t="n">
        <v>20.28</v>
      </c>
      <c r="E273" s="10" t="s">
        <v>77</v>
      </c>
      <c r="F273" s="10" t="s">
        <v>1111</v>
      </c>
      <c r="G273" s="10"/>
      <c r="H273" s="15" t="n">
        <v>0</v>
      </c>
      <c r="I273" s="10"/>
      <c r="J273" s="10"/>
      <c r="K273" s="10"/>
      <c r="L273" s="10" t="s">
        <v>502</v>
      </c>
      <c r="M273" s="10" t="n">
        <v>1</v>
      </c>
      <c r="N273" s="10" t="s">
        <v>65</v>
      </c>
    </row>
    <row r="274" customFormat="false" ht="23.85" hidden="false" customHeight="false" outlineLevel="0" collapsed="false">
      <c r="A274" s="12" t="n">
        <v>46237</v>
      </c>
      <c r="B274" s="10" t="s">
        <v>63</v>
      </c>
      <c r="C274" s="10" t="s">
        <v>52</v>
      </c>
      <c r="D274" s="15" t="n">
        <v>81.12</v>
      </c>
      <c r="E274" s="10" t="s">
        <v>51</v>
      </c>
      <c r="F274" s="10" t="s">
        <v>1112</v>
      </c>
      <c r="G274" s="10" t="s">
        <v>1116</v>
      </c>
      <c r="H274" s="15" t="n">
        <v>1000</v>
      </c>
      <c r="I274" s="10"/>
      <c r="J274" s="10"/>
      <c r="K274" s="10"/>
      <c r="L274" s="10" t="s">
        <v>500</v>
      </c>
      <c r="M274" s="10" t="n">
        <v>1</v>
      </c>
      <c r="N274" s="10" t="s">
        <v>70</v>
      </c>
    </row>
    <row r="275" customFormat="false" ht="23.85" hidden="false" customHeight="false" outlineLevel="0" collapsed="false">
      <c r="A275" s="12" t="n">
        <v>46237</v>
      </c>
      <c r="B275" s="10" t="s">
        <v>47</v>
      </c>
      <c r="C275" s="10" t="s">
        <v>52</v>
      </c>
      <c r="D275" s="15" t="n">
        <v>81.12</v>
      </c>
      <c r="E275" s="10" t="s">
        <v>51</v>
      </c>
      <c r="F275" s="10" t="s">
        <v>1111</v>
      </c>
      <c r="G275" s="10"/>
      <c r="H275" s="15" t="n">
        <v>0</v>
      </c>
      <c r="I275" s="10" t="s">
        <v>52</v>
      </c>
      <c r="J275" s="10" t="n">
        <v>81.12</v>
      </c>
      <c r="K275" s="10" t="s">
        <v>51</v>
      </c>
      <c r="L275" s="10" t="s">
        <v>499</v>
      </c>
      <c r="M275" s="10" t="n">
        <v>1</v>
      </c>
      <c r="N275" s="10" t="s">
        <v>70</v>
      </c>
    </row>
    <row r="276" customFormat="false" ht="23.85" hidden="false" customHeight="false" outlineLevel="0" collapsed="false">
      <c r="A276" s="12" t="n">
        <v>46237</v>
      </c>
      <c r="B276" s="10" t="s">
        <v>63</v>
      </c>
      <c r="C276" s="10" t="s">
        <v>64</v>
      </c>
      <c r="D276" s="15" t="n">
        <v>20.28</v>
      </c>
      <c r="E276" s="10" t="s">
        <v>77</v>
      </c>
      <c r="F276" s="10" t="s">
        <v>1111</v>
      </c>
      <c r="G276" s="10"/>
      <c r="H276" s="15" t="n">
        <v>0</v>
      </c>
      <c r="I276" s="10"/>
      <c r="J276" s="15"/>
      <c r="K276" s="10"/>
      <c r="L276" s="10" t="s">
        <v>497</v>
      </c>
      <c r="M276" s="10" t="n">
        <v>1</v>
      </c>
      <c r="N276" s="10" t="s">
        <v>70</v>
      </c>
    </row>
    <row r="277" customFormat="false" ht="15" hidden="false" customHeight="false" outlineLevel="0" collapsed="false">
      <c r="A277" s="12" t="n">
        <v>46237</v>
      </c>
      <c r="B277" s="10" t="s">
        <v>107</v>
      </c>
      <c r="C277" s="10" t="s">
        <v>52</v>
      </c>
      <c r="D277" s="15" t="n">
        <v>23</v>
      </c>
      <c r="E277" s="10" t="s">
        <v>51</v>
      </c>
      <c r="F277" s="10" t="s">
        <v>1112</v>
      </c>
      <c r="G277" s="10" t="s">
        <v>1124</v>
      </c>
      <c r="H277" s="15" t="n">
        <v>240</v>
      </c>
      <c r="I277" s="10"/>
      <c r="J277" s="10"/>
      <c r="K277" s="10"/>
      <c r="L277" s="10" t="s">
        <v>495</v>
      </c>
      <c r="M277" s="10" t="n">
        <v>1</v>
      </c>
      <c r="N277" s="10" t="s">
        <v>65</v>
      </c>
    </row>
    <row r="278" customFormat="false" ht="15" hidden="false" customHeight="false" outlineLevel="0" collapsed="false">
      <c r="A278" s="12" t="n">
        <v>46234</v>
      </c>
      <c r="B278" s="10" t="s">
        <v>63</v>
      </c>
      <c r="C278" s="10" t="s">
        <v>64</v>
      </c>
      <c r="D278" s="15" t="n">
        <v>6.44</v>
      </c>
      <c r="E278" s="10" t="s">
        <v>77</v>
      </c>
      <c r="F278" s="10" t="s">
        <v>1111</v>
      </c>
      <c r="G278" s="10"/>
      <c r="H278" s="15" t="n">
        <v>0</v>
      </c>
      <c r="I278" s="10"/>
      <c r="J278" s="10"/>
      <c r="K278" s="10"/>
      <c r="L278" s="10" t="s">
        <v>493</v>
      </c>
      <c r="M278" s="10" t="n">
        <v>1</v>
      </c>
      <c r="N278" s="10" t="s">
        <v>242</v>
      </c>
    </row>
    <row r="279" customFormat="false" ht="23.85" hidden="false" customHeight="false" outlineLevel="0" collapsed="false">
      <c r="A279" s="12" t="n">
        <v>46233</v>
      </c>
      <c r="B279" s="10" t="s">
        <v>63</v>
      </c>
      <c r="C279" s="10" t="s">
        <v>489</v>
      </c>
      <c r="D279" s="15" t="n">
        <v>271.35</v>
      </c>
      <c r="E279" s="10" t="s">
        <v>103</v>
      </c>
      <c r="F279" s="10" t="s">
        <v>1112</v>
      </c>
      <c r="G279" s="10" t="s">
        <v>221</v>
      </c>
      <c r="H279" s="15" t="n">
        <v>0</v>
      </c>
      <c r="I279" s="10"/>
      <c r="J279" s="15"/>
      <c r="K279" s="10"/>
      <c r="L279" s="10" t="s">
        <v>491</v>
      </c>
      <c r="M279" s="10" t="n">
        <v>1</v>
      </c>
      <c r="N279" s="10" t="s">
        <v>490</v>
      </c>
    </row>
    <row r="280" customFormat="false" ht="35.05" hidden="false" customHeight="false" outlineLevel="0" collapsed="false">
      <c r="A280" s="12" t="n">
        <v>46233</v>
      </c>
      <c r="B280" s="10" t="s">
        <v>63</v>
      </c>
      <c r="C280" s="10" t="s">
        <v>486</v>
      </c>
      <c r="D280" s="15" t="n">
        <v>315.7</v>
      </c>
      <c r="E280" s="10" t="s">
        <v>103</v>
      </c>
      <c r="F280" s="10" t="s">
        <v>1112</v>
      </c>
      <c r="G280" s="10" t="s">
        <v>221</v>
      </c>
      <c r="H280" s="15" t="n">
        <v>0</v>
      </c>
      <c r="I280" s="10"/>
      <c r="J280" s="10"/>
      <c r="K280" s="10"/>
      <c r="L280" s="10" t="s">
        <v>488</v>
      </c>
      <c r="M280" s="10" t="n">
        <v>1</v>
      </c>
      <c r="N280" s="10" t="s">
        <v>487</v>
      </c>
    </row>
    <row r="281" customFormat="false" ht="23.85" hidden="false" customHeight="false" outlineLevel="0" collapsed="false">
      <c r="A281" s="12" t="n">
        <v>46233</v>
      </c>
      <c r="B281" s="10" t="s">
        <v>63</v>
      </c>
      <c r="C281" s="10" t="s">
        <v>220</v>
      </c>
      <c r="D281" s="15" t="n">
        <v>652.2</v>
      </c>
      <c r="E281" s="10" t="s">
        <v>103</v>
      </c>
      <c r="F281" s="10" t="s">
        <v>1112</v>
      </c>
      <c r="G281" s="10" t="s">
        <v>221</v>
      </c>
      <c r="H281" s="15" t="n">
        <v>0</v>
      </c>
      <c r="I281" s="10"/>
      <c r="J281" s="10"/>
      <c r="K281" s="10"/>
      <c r="L281" s="10" t="s">
        <v>485</v>
      </c>
      <c r="M281" s="10" t="n">
        <v>1</v>
      </c>
      <c r="N281" s="10" t="s">
        <v>484</v>
      </c>
    </row>
    <row r="282" customFormat="false" ht="23.85" hidden="false" customHeight="false" outlineLevel="0" collapsed="false">
      <c r="A282" s="12" t="n">
        <v>46233</v>
      </c>
      <c r="B282" s="10" t="s">
        <v>63</v>
      </c>
      <c r="C282" s="10" t="s">
        <v>52</v>
      </c>
      <c r="D282" s="15" t="n">
        <v>56</v>
      </c>
      <c r="E282" s="10" t="s">
        <v>51</v>
      </c>
      <c r="F282" s="10" t="s">
        <v>1112</v>
      </c>
      <c r="G282" s="10" t="s">
        <v>1124</v>
      </c>
      <c r="H282" s="15" t="n">
        <v>1200</v>
      </c>
      <c r="I282" s="10"/>
      <c r="J282" s="15"/>
      <c r="K282" s="10"/>
      <c r="L282" s="10" t="s">
        <v>482</v>
      </c>
      <c r="M282" s="10" t="n">
        <v>1</v>
      </c>
      <c r="N282" s="10" t="s">
        <v>70</v>
      </c>
    </row>
    <row r="283" customFormat="false" ht="15" hidden="false" customHeight="false" outlineLevel="0" collapsed="false">
      <c r="A283" s="12" t="n">
        <v>46233</v>
      </c>
      <c r="B283" s="10" t="s">
        <v>47</v>
      </c>
      <c r="C283" s="10" t="s">
        <v>52</v>
      </c>
      <c r="D283" s="15" t="n">
        <v>56</v>
      </c>
      <c r="E283" s="10" t="s">
        <v>51</v>
      </c>
      <c r="F283" s="10" t="s">
        <v>1111</v>
      </c>
      <c r="G283" s="10"/>
      <c r="H283" s="15" t="n">
        <v>0</v>
      </c>
      <c r="I283" s="10" t="s">
        <v>52</v>
      </c>
      <c r="J283" s="10" t="n">
        <v>56</v>
      </c>
      <c r="K283" s="10" t="s">
        <v>51</v>
      </c>
      <c r="L283" s="10" t="s">
        <v>480</v>
      </c>
      <c r="M283" s="10" t="n">
        <v>1</v>
      </c>
      <c r="N283" s="10" t="s">
        <v>65</v>
      </c>
    </row>
    <row r="284" customFormat="false" ht="15" hidden="false" customHeight="false" outlineLevel="0" collapsed="false">
      <c r="A284" s="12" t="n">
        <v>46233</v>
      </c>
      <c r="B284" s="10" t="s">
        <v>63</v>
      </c>
      <c r="C284" s="10" t="s">
        <v>64</v>
      </c>
      <c r="D284" s="15" t="n">
        <v>14</v>
      </c>
      <c r="E284" s="10" t="s">
        <v>77</v>
      </c>
      <c r="F284" s="10" t="s">
        <v>1111</v>
      </c>
      <c r="G284" s="10"/>
      <c r="H284" s="15" t="n">
        <v>0</v>
      </c>
      <c r="I284" s="10"/>
      <c r="J284" s="10"/>
      <c r="K284" s="10"/>
      <c r="L284" s="10" t="s">
        <v>479</v>
      </c>
      <c r="M284" s="10" t="n">
        <v>1</v>
      </c>
      <c r="N284" s="10" t="s">
        <v>65</v>
      </c>
    </row>
    <row r="285" customFormat="false" ht="23.85" hidden="false" customHeight="false" outlineLevel="0" collapsed="false">
      <c r="A285" s="12" t="n">
        <v>46233</v>
      </c>
      <c r="B285" s="10" t="s">
        <v>63</v>
      </c>
      <c r="C285" s="10" t="s">
        <v>52</v>
      </c>
      <c r="D285" s="15" t="n">
        <v>87.12</v>
      </c>
      <c r="E285" s="10" t="s">
        <v>51</v>
      </c>
      <c r="F285" s="10" t="s">
        <v>1112</v>
      </c>
      <c r="G285" s="10" t="s">
        <v>1125</v>
      </c>
      <c r="H285" s="15" t="n">
        <v>1000</v>
      </c>
      <c r="I285" s="10"/>
      <c r="J285" s="15"/>
      <c r="K285" s="10"/>
      <c r="L285" s="10" t="s">
        <v>477</v>
      </c>
      <c r="M285" s="10" t="n">
        <v>1</v>
      </c>
      <c r="N285" s="10" t="s">
        <v>70</v>
      </c>
    </row>
    <row r="286" customFormat="false" ht="23.85" hidden="false" customHeight="false" outlineLevel="0" collapsed="false">
      <c r="A286" s="12" t="n">
        <v>46233</v>
      </c>
      <c r="B286" s="10" t="s">
        <v>47</v>
      </c>
      <c r="C286" s="10" t="s">
        <v>52</v>
      </c>
      <c r="D286" s="15" t="n">
        <v>87.12</v>
      </c>
      <c r="E286" s="10" t="s">
        <v>51</v>
      </c>
      <c r="F286" s="10" t="s">
        <v>1111</v>
      </c>
      <c r="G286" s="10"/>
      <c r="H286" s="15" t="n">
        <v>0</v>
      </c>
      <c r="I286" s="10" t="s">
        <v>52</v>
      </c>
      <c r="J286" s="10" t="n">
        <v>87.12</v>
      </c>
      <c r="K286" s="10" t="s">
        <v>51</v>
      </c>
      <c r="L286" s="10" t="s">
        <v>475</v>
      </c>
      <c r="M286" s="10" t="n">
        <v>1</v>
      </c>
      <c r="N286" s="10" t="s">
        <v>70</v>
      </c>
    </row>
    <row r="287" customFormat="false" ht="15" hidden="false" customHeight="false" outlineLevel="0" collapsed="false">
      <c r="A287" s="12" t="n">
        <v>46233</v>
      </c>
      <c r="B287" s="10" t="s">
        <v>63</v>
      </c>
      <c r="C287" s="10" t="s">
        <v>64</v>
      </c>
      <c r="D287" s="15" t="n">
        <v>21.78</v>
      </c>
      <c r="E287" s="10" t="s">
        <v>77</v>
      </c>
      <c r="F287" s="10" t="s">
        <v>1111</v>
      </c>
      <c r="G287" s="10"/>
      <c r="H287" s="15" t="n">
        <v>0</v>
      </c>
      <c r="I287" s="10"/>
      <c r="J287" s="10"/>
      <c r="K287" s="10"/>
      <c r="L287" s="10" t="s">
        <v>474</v>
      </c>
      <c r="M287" s="10" t="n">
        <v>1</v>
      </c>
      <c r="N287" s="10" t="s">
        <v>65</v>
      </c>
    </row>
    <row r="288" customFormat="false" ht="23.85" hidden="false" customHeight="false" outlineLevel="0" collapsed="false">
      <c r="A288" s="12" t="n">
        <v>46233</v>
      </c>
      <c r="B288" s="10" t="s">
        <v>63</v>
      </c>
      <c r="C288" s="10" t="s">
        <v>52</v>
      </c>
      <c r="D288" s="15" t="n">
        <v>80.12</v>
      </c>
      <c r="E288" s="10" t="s">
        <v>51</v>
      </c>
      <c r="F288" s="10" t="s">
        <v>1112</v>
      </c>
      <c r="G288" s="10" t="s">
        <v>1116</v>
      </c>
      <c r="H288" s="15" t="n">
        <v>1000</v>
      </c>
      <c r="I288" s="10"/>
      <c r="J288" s="15"/>
      <c r="K288" s="10"/>
      <c r="L288" s="10" t="s">
        <v>472</v>
      </c>
      <c r="M288" s="10" t="n">
        <v>1</v>
      </c>
      <c r="N288" s="10" t="s">
        <v>70</v>
      </c>
    </row>
    <row r="289" customFormat="false" ht="15" hidden="false" customHeight="false" outlineLevel="0" collapsed="false">
      <c r="A289" s="12" t="n">
        <v>46233</v>
      </c>
      <c r="B289" s="10" t="s">
        <v>47</v>
      </c>
      <c r="C289" s="10" t="s">
        <v>52</v>
      </c>
      <c r="D289" s="15" t="n">
        <v>81.12</v>
      </c>
      <c r="E289" s="10" t="s">
        <v>51</v>
      </c>
      <c r="F289" s="10" t="s">
        <v>1111</v>
      </c>
      <c r="G289" s="10"/>
      <c r="H289" s="15" t="n">
        <v>0</v>
      </c>
      <c r="I289" s="10" t="s">
        <v>52</v>
      </c>
      <c r="J289" s="10" t="n">
        <v>81.12</v>
      </c>
      <c r="K289" s="10" t="s">
        <v>51</v>
      </c>
      <c r="L289" s="10" t="s">
        <v>470</v>
      </c>
      <c r="M289" s="10" t="n">
        <v>1</v>
      </c>
      <c r="N289" s="10" t="s">
        <v>65</v>
      </c>
    </row>
    <row r="290" customFormat="false" ht="15" hidden="false" customHeight="false" outlineLevel="0" collapsed="false">
      <c r="A290" s="12" t="n">
        <v>46233</v>
      </c>
      <c r="B290" s="10" t="s">
        <v>63</v>
      </c>
      <c r="C290" s="10" t="s">
        <v>64</v>
      </c>
      <c r="D290" s="15" t="n">
        <v>20.28</v>
      </c>
      <c r="E290" s="10" t="s">
        <v>77</v>
      </c>
      <c r="F290" s="10" t="s">
        <v>1111</v>
      </c>
      <c r="G290" s="10"/>
      <c r="H290" s="15" t="n">
        <v>0</v>
      </c>
      <c r="I290" s="10"/>
      <c r="J290" s="10"/>
      <c r="K290" s="10"/>
      <c r="L290" s="10" t="s">
        <v>469</v>
      </c>
      <c r="M290" s="10" t="n">
        <v>1</v>
      </c>
      <c r="N290" s="10" t="s">
        <v>65</v>
      </c>
    </row>
    <row r="291" customFormat="false" ht="23.85" hidden="false" customHeight="false" outlineLevel="0" collapsed="false">
      <c r="A291" s="12" t="n">
        <v>46233</v>
      </c>
      <c r="B291" s="10" t="s">
        <v>63</v>
      </c>
      <c r="C291" s="10" t="s">
        <v>52</v>
      </c>
      <c r="D291" s="15" t="n">
        <v>81</v>
      </c>
      <c r="E291" s="10" t="s">
        <v>51</v>
      </c>
      <c r="F291" s="10" t="s">
        <v>1112</v>
      </c>
      <c r="G291" s="10" t="s">
        <v>1117</v>
      </c>
      <c r="H291" s="15" t="n">
        <v>1000</v>
      </c>
      <c r="I291" s="10"/>
      <c r="J291" s="10"/>
      <c r="K291" s="10"/>
      <c r="L291" s="10" t="s">
        <v>467</v>
      </c>
      <c r="M291" s="10" t="n">
        <v>1</v>
      </c>
      <c r="N291" s="10" t="s">
        <v>70</v>
      </c>
    </row>
    <row r="292" customFormat="false" ht="23.85" hidden="false" customHeight="false" outlineLevel="0" collapsed="false">
      <c r="A292" s="12" t="n">
        <v>46233</v>
      </c>
      <c r="B292" s="10" t="s">
        <v>47</v>
      </c>
      <c r="C292" s="10" t="s">
        <v>52</v>
      </c>
      <c r="D292" s="15" t="n">
        <v>81</v>
      </c>
      <c r="E292" s="10" t="s">
        <v>51</v>
      </c>
      <c r="F292" s="10" t="s">
        <v>1111</v>
      </c>
      <c r="G292" s="10"/>
      <c r="H292" s="15" t="n">
        <v>0</v>
      </c>
      <c r="I292" s="10" t="s">
        <v>52</v>
      </c>
      <c r="J292" s="10" t="n">
        <v>81</v>
      </c>
      <c r="K292" s="10" t="s">
        <v>51</v>
      </c>
      <c r="L292" s="10" t="s">
        <v>465</v>
      </c>
      <c r="M292" s="10" t="n">
        <v>1</v>
      </c>
      <c r="N292" s="10" t="s">
        <v>70</v>
      </c>
    </row>
    <row r="293" customFormat="false" ht="23.85" hidden="false" customHeight="false" outlineLevel="0" collapsed="false">
      <c r="A293" s="12" t="n">
        <v>46233</v>
      </c>
      <c r="B293" s="10" t="s">
        <v>63</v>
      </c>
      <c r="C293" s="10" t="s">
        <v>64</v>
      </c>
      <c r="D293" s="15" t="n">
        <v>20.28</v>
      </c>
      <c r="E293" s="10" t="s">
        <v>77</v>
      </c>
      <c r="F293" s="10" t="s">
        <v>1111</v>
      </c>
      <c r="G293" s="10"/>
      <c r="H293" s="15" t="n">
        <v>0</v>
      </c>
      <c r="I293" s="10"/>
      <c r="J293" s="15"/>
      <c r="K293" s="10"/>
      <c r="L293" s="10" t="s">
        <v>464</v>
      </c>
      <c r="M293" s="10" t="n">
        <v>1</v>
      </c>
      <c r="N293" s="10" t="s">
        <v>70</v>
      </c>
    </row>
    <row r="294" customFormat="false" ht="15" hidden="false" customHeight="false" outlineLevel="0" collapsed="false">
      <c r="A294" s="12" t="n">
        <v>46232</v>
      </c>
      <c r="B294" s="10" t="s">
        <v>63</v>
      </c>
      <c r="C294" s="10" t="s">
        <v>52</v>
      </c>
      <c r="D294" s="15" t="n">
        <v>85.24</v>
      </c>
      <c r="E294" s="10" t="s">
        <v>51</v>
      </c>
      <c r="F294" s="10" t="s">
        <v>1112</v>
      </c>
      <c r="G294" s="10" t="s">
        <v>1125</v>
      </c>
      <c r="H294" s="15" t="n">
        <v>1000</v>
      </c>
      <c r="I294" s="10"/>
      <c r="J294" s="10"/>
      <c r="K294" s="10"/>
      <c r="L294" s="10" t="s">
        <v>461</v>
      </c>
      <c r="M294" s="10" t="n">
        <v>1</v>
      </c>
      <c r="N294" s="10" t="s">
        <v>65</v>
      </c>
    </row>
    <row r="295" customFormat="false" ht="23.85" hidden="false" customHeight="false" outlineLevel="0" collapsed="false">
      <c r="A295" s="12" t="n">
        <v>46232</v>
      </c>
      <c r="B295" s="10" t="s">
        <v>47</v>
      </c>
      <c r="C295" s="10" t="s">
        <v>52</v>
      </c>
      <c r="D295" s="15" t="n">
        <v>85.24</v>
      </c>
      <c r="E295" s="10" t="s">
        <v>51</v>
      </c>
      <c r="F295" s="10" t="s">
        <v>1111</v>
      </c>
      <c r="G295" s="10"/>
      <c r="H295" s="15" t="n">
        <v>0</v>
      </c>
      <c r="I295" s="10" t="s">
        <v>52</v>
      </c>
      <c r="J295" s="10" t="n">
        <v>85.24</v>
      </c>
      <c r="K295" s="10" t="s">
        <v>51</v>
      </c>
      <c r="L295" s="10" t="s">
        <v>458</v>
      </c>
      <c r="M295" s="10" t="n">
        <v>1</v>
      </c>
      <c r="N295" s="10" t="s">
        <v>70</v>
      </c>
    </row>
    <row r="296" customFormat="false" ht="15" hidden="false" customHeight="false" outlineLevel="0" collapsed="false">
      <c r="A296" s="12" t="n">
        <v>46232</v>
      </c>
      <c r="B296" s="10" t="s">
        <v>63</v>
      </c>
      <c r="C296" s="10" t="s">
        <v>64</v>
      </c>
      <c r="D296" s="15" t="n">
        <v>21.31</v>
      </c>
      <c r="E296" s="10" t="s">
        <v>77</v>
      </c>
      <c r="F296" s="10" t="s">
        <v>1111</v>
      </c>
      <c r="G296" s="10"/>
      <c r="H296" s="15" t="n">
        <v>0</v>
      </c>
      <c r="I296" s="10"/>
      <c r="J296" s="15"/>
      <c r="K296" s="10"/>
      <c r="L296" s="10" t="s">
        <v>457</v>
      </c>
      <c r="M296" s="10" t="n">
        <v>1</v>
      </c>
      <c r="N296" s="10" t="s">
        <v>65</v>
      </c>
    </row>
    <row r="297" customFormat="false" ht="15" hidden="false" customHeight="false" outlineLevel="0" collapsed="false">
      <c r="A297" s="12" t="n">
        <v>46232</v>
      </c>
      <c r="B297" s="10" t="s">
        <v>63</v>
      </c>
      <c r="C297" s="10" t="s">
        <v>64</v>
      </c>
      <c r="D297" s="15" t="n">
        <v>30</v>
      </c>
      <c r="E297" s="10" t="s">
        <v>77</v>
      </c>
      <c r="F297" s="10" t="s">
        <v>1111</v>
      </c>
      <c r="G297" s="10"/>
      <c r="H297" s="15" t="n">
        <v>0</v>
      </c>
      <c r="I297" s="10"/>
      <c r="J297" s="10"/>
      <c r="K297" s="10"/>
      <c r="L297" s="10" t="s">
        <v>455</v>
      </c>
      <c r="M297" s="10" t="n">
        <v>1</v>
      </c>
      <c r="N297" s="10" t="s">
        <v>242</v>
      </c>
    </row>
    <row r="298" customFormat="false" ht="23.85" hidden="false" customHeight="false" outlineLevel="0" collapsed="false">
      <c r="A298" s="12" t="n">
        <v>46232</v>
      </c>
      <c r="B298" s="10" t="s">
        <v>63</v>
      </c>
      <c r="C298" s="10" t="s">
        <v>64</v>
      </c>
      <c r="D298" s="15" t="n">
        <v>29.55</v>
      </c>
      <c r="E298" s="10" t="s">
        <v>77</v>
      </c>
      <c r="F298" s="10" t="s">
        <v>1111</v>
      </c>
      <c r="G298" s="10"/>
      <c r="H298" s="15" t="n">
        <v>0</v>
      </c>
      <c r="I298" s="10"/>
      <c r="J298" s="10"/>
      <c r="K298" s="10"/>
      <c r="L298" s="10" t="s">
        <v>453</v>
      </c>
      <c r="M298" s="10" t="n">
        <v>1</v>
      </c>
      <c r="N298" s="10" t="s">
        <v>302</v>
      </c>
    </row>
    <row r="299" customFormat="false" ht="23.85" hidden="false" customHeight="false" outlineLevel="0" collapsed="false">
      <c r="A299" s="12" t="n">
        <v>46232</v>
      </c>
      <c r="B299" s="10" t="s">
        <v>63</v>
      </c>
      <c r="C299" s="10" t="s">
        <v>52</v>
      </c>
      <c r="D299" s="15" t="n">
        <v>80.4</v>
      </c>
      <c r="E299" s="10" t="s">
        <v>51</v>
      </c>
      <c r="F299" s="10" t="s">
        <v>1112</v>
      </c>
      <c r="G299" s="10" t="s">
        <v>1116</v>
      </c>
      <c r="H299" s="15" t="n">
        <v>1000</v>
      </c>
      <c r="I299" s="10"/>
      <c r="J299" s="15"/>
      <c r="K299" s="10"/>
      <c r="L299" s="10" t="s">
        <v>452</v>
      </c>
      <c r="M299" s="10" t="n">
        <v>1</v>
      </c>
      <c r="N299" s="10" t="s">
        <v>70</v>
      </c>
    </row>
    <row r="300" customFormat="false" ht="23.85" hidden="false" customHeight="false" outlineLevel="0" collapsed="false">
      <c r="A300" s="12" t="n">
        <v>46232</v>
      </c>
      <c r="B300" s="10" t="s">
        <v>47</v>
      </c>
      <c r="C300" s="10" t="s">
        <v>52</v>
      </c>
      <c r="D300" s="15" t="n">
        <v>80.4</v>
      </c>
      <c r="E300" s="10" t="s">
        <v>51</v>
      </c>
      <c r="F300" s="10" t="s">
        <v>1111</v>
      </c>
      <c r="G300" s="10"/>
      <c r="H300" s="15" t="n">
        <v>0</v>
      </c>
      <c r="I300" s="10" t="s">
        <v>52</v>
      </c>
      <c r="J300" s="10" t="n">
        <v>80.4</v>
      </c>
      <c r="K300" s="10" t="s">
        <v>51</v>
      </c>
      <c r="L300" s="10" t="s">
        <v>450</v>
      </c>
      <c r="M300" s="10" t="n">
        <v>1</v>
      </c>
      <c r="N300" s="10" t="s">
        <v>70</v>
      </c>
    </row>
    <row r="301" customFormat="false" ht="15" hidden="false" customHeight="false" outlineLevel="0" collapsed="false">
      <c r="A301" s="12" t="n">
        <v>46232</v>
      </c>
      <c r="B301" s="10" t="s">
        <v>63</v>
      </c>
      <c r="C301" s="10" t="s">
        <v>64</v>
      </c>
      <c r="D301" s="15" t="n">
        <v>20.1</v>
      </c>
      <c r="E301" s="10" t="s">
        <v>77</v>
      </c>
      <c r="F301" s="10" t="s">
        <v>1111</v>
      </c>
      <c r="G301" s="10"/>
      <c r="H301" s="15" t="n">
        <v>0</v>
      </c>
      <c r="I301" s="10"/>
      <c r="J301" s="10"/>
      <c r="K301" s="10"/>
      <c r="L301" s="10" t="s">
        <v>449</v>
      </c>
      <c r="M301" s="10" t="n">
        <v>1</v>
      </c>
      <c r="N301" s="10" t="s">
        <v>65</v>
      </c>
    </row>
    <row r="302" customFormat="false" ht="15" hidden="false" customHeight="false" outlineLevel="0" collapsed="false">
      <c r="A302" s="12" t="n">
        <v>46232</v>
      </c>
      <c r="B302" s="10" t="s">
        <v>63</v>
      </c>
      <c r="C302" s="10" t="s">
        <v>52</v>
      </c>
      <c r="D302" s="15" t="n">
        <v>24</v>
      </c>
      <c r="E302" s="10" t="s">
        <v>51</v>
      </c>
      <c r="F302" s="10" t="s">
        <v>1112</v>
      </c>
      <c r="G302" s="10" t="s">
        <v>1117</v>
      </c>
      <c r="H302" s="15" t="n">
        <v>1000</v>
      </c>
      <c r="I302" s="10"/>
      <c r="J302" s="10"/>
      <c r="K302" s="10"/>
      <c r="L302" s="10" t="s">
        <v>447</v>
      </c>
      <c r="M302" s="10" t="n">
        <v>1</v>
      </c>
      <c r="N302" s="10" t="s">
        <v>65</v>
      </c>
    </row>
    <row r="303" customFormat="false" ht="15" hidden="false" customHeight="false" outlineLevel="0" collapsed="false">
      <c r="A303" s="12" t="n">
        <v>46232</v>
      </c>
      <c r="B303" s="10" t="s">
        <v>47</v>
      </c>
      <c r="C303" s="10" t="s">
        <v>52</v>
      </c>
      <c r="D303" s="15" t="n">
        <v>24</v>
      </c>
      <c r="E303" s="10" t="s">
        <v>51</v>
      </c>
      <c r="F303" s="10" t="s">
        <v>1111</v>
      </c>
      <c r="G303" s="10"/>
      <c r="H303" s="15" t="n">
        <v>0</v>
      </c>
      <c r="I303" s="10" t="s">
        <v>52</v>
      </c>
      <c r="J303" s="10" t="n">
        <v>24</v>
      </c>
      <c r="K303" s="10" t="s">
        <v>51</v>
      </c>
      <c r="L303" s="10" t="s">
        <v>445</v>
      </c>
      <c r="M303" s="10" t="n">
        <v>1</v>
      </c>
      <c r="N303" s="10" t="s">
        <v>65</v>
      </c>
    </row>
    <row r="304" customFormat="false" ht="23.85" hidden="false" customHeight="false" outlineLevel="0" collapsed="false">
      <c r="A304" s="12" t="n">
        <v>46232</v>
      </c>
      <c r="B304" s="10" t="s">
        <v>63</v>
      </c>
      <c r="C304" s="10" t="s">
        <v>64</v>
      </c>
      <c r="D304" s="15" t="n">
        <v>6.03</v>
      </c>
      <c r="E304" s="10" t="s">
        <v>77</v>
      </c>
      <c r="F304" s="10" t="s">
        <v>1111</v>
      </c>
      <c r="G304" s="10"/>
      <c r="H304" s="15" t="n">
        <v>0</v>
      </c>
      <c r="I304" s="10"/>
      <c r="J304" s="10"/>
      <c r="K304" s="10"/>
      <c r="L304" s="10" t="s">
        <v>444</v>
      </c>
      <c r="M304" s="10" t="n">
        <v>1</v>
      </c>
      <c r="N304" s="10" t="s">
        <v>70</v>
      </c>
    </row>
    <row r="305" customFormat="false" ht="23.85" hidden="false" customHeight="false" outlineLevel="0" collapsed="false">
      <c r="A305" s="12" t="n">
        <v>46232</v>
      </c>
      <c r="B305" s="10" t="s">
        <v>63</v>
      </c>
      <c r="C305" s="10" t="s">
        <v>52</v>
      </c>
      <c r="D305" s="15" t="n">
        <v>85</v>
      </c>
      <c r="E305" s="10" t="s">
        <v>51</v>
      </c>
      <c r="F305" s="10" t="s">
        <v>1112</v>
      </c>
      <c r="G305" s="10" t="s">
        <v>1126</v>
      </c>
      <c r="H305" s="15" t="n">
        <v>1200</v>
      </c>
      <c r="I305" s="10"/>
      <c r="J305" s="15"/>
      <c r="K305" s="10"/>
      <c r="L305" s="10" t="s">
        <v>442</v>
      </c>
      <c r="M305" s="10" t="n">
        <v>1</v>
      </c>
      <c r="N305" s="10" t="s">
        <v>70</v>
      </c>
    </row>
    <row r="306" customFormat="false" ht="23.85" hidden="false" customHeight="false" outlineLevel="0" collapsed="false">
      <c r="A306" s="12" t="n">
        <v>46232</v>
      </c>
      <c r="B306" s="10" t="s">
        <v>47</v>
      </c>
      <c r="C306" s="10" t="s">
        <v>52</v>
      </c>
      <c r="D306" s="15" t="n">
        <v>85</v>
      </c>
      <c r="E306" s="10" t="s">
        <v>51</v>
      </c>
      <c r="F306" s="10" t="s">
        <v>1111</v>
      </c>
      <c r="G306" s="10"/>
      <c r="H306" s="15" t="n">
        <v>0</v>
      </c>
      <c r="I306" s="10" t="s">
        <v>52</v>
      </c>
      <c r="J306" s="10" t="n">
        <v>85</v>
      </c>
      <c r="K306" s="10" t="s">
        <v>51</v>
      </c>
      <c r="L306" s="10" t="s">
        <v>439</v>
      </c>
      <c r="M306" s="10" t="n">
        <v>1</v>
      </c>
      <c r="N306" s="10" t="s">
        <v>70</v>
      </c>
    </row>
    <row r="307" customFormat="false" ht="15" hidden="false" customHeight="false" outlineLevel="0" collapsed="false">
      <c r="A307" s="12" t="n">
        <v>46232</v>
      </c>
      <c r="B307" s="10" t="s">
        <v>63</v>
      </c>
      <c r="C307" s="10" t="s">
        <v>64</v>
      </c>
      <c r="D307" s="15" t="n">
        <v>21.31</v>
      </c>
      <c r="E307" s="10" t="s">
        <v>77</v>
      </c>
      <c r="F307" s="10" t="s">
        <v>1111</v>
      </c>
      <c r="G307" s="10"/>
      <c r="H307" s="15" t="n">
        <v>0</v>
      </c>
      <c r="I307" s="10"/>
      <c r="J307" s="10"/>
      <c r="K307" s="10"/>
      <c r="L307" s="10" t="s">
        <v>438</v>
      </c>
      <c r="M307" s="10" t="n">
        <v>1</v>
      </c>
      <c r="N307" s="10" t="s">
        <v>65</v>
      </c>
    </row>
    <row r="308" customFormat="false" ht="23.85" hidden="false" customHeight="false" outlineLevel="0" collapsed="false">
      <c r="A308" s="12" t="n">
        <v>46232</v>
      </c>
      <c r="B308" s="10" t="s">
        <v>107</v>
      </c>
      <c r="C308" s="10" t="s">
        <v>52</v>
      </c>
      <c r="D308" s="15" t="n">
        <v>58</v>
      </c>
      <c r="E308" s="10" t="s">
        <v>51</v>
      </c>
      <c r="F308" s="10" t="s">
        <v>1112</v>
      </c>
      <c r="G308" s="10" t="s">
        <v>1124</v>
      </c>
      <c r="H308" s="15" t="n">
        <v>240</v>
      </c>
      <c r="I308" s="10"/>
      <c r="J308" s="15"/>
      <c r="K308" s="10"/>
      <c r="L308" s="10" t="s">
        <v>435</v>
      </c>
      <c r="M308" s="10" t="n">
        <v>1</v>
      </c>
      <c r="N308" s="10" t="s">
        <v>434</v>
      </c>
    </row>
    <row r="309" customFormat="false" ht="23.85" hidden="false" customHeight="false" outlineLevel="0" collapsed="false">
      <c r="A309" s="12" t="n">
        <v>46232</v>
      </c>
      <c r="B309" s="10" t="s">
        <v>107</v>
      </c>
      <c r="C309" s="10" t="s">
        <v>52</v>
      </c>
      <c r="D309" s="15" t="n">
        <v>60</v>
      </c>
      <c r="E309" s="10" t="s">
        <v>51</v>
      </c>
      <c r="F309" s="10" t="s">
        <v>1112</v>
      </c>
      <c r="G309" s="10" t="s">
        <v>1124</v>
      </c>
      <c r="H309" s="15" t="n">
        <v>240</v>
      </c>
      <c r="I309" s="10"/>
      <c r="J309" s="10"/>
      <c r="K309" s="10"/>
      <c r="L309" s="10" t="s">
        <v>432</v>
      </c>
      <c r="M309" s="10" t="n">
        <v>1</v>
      </c>
      <c r="N309" s="10" t="s">
        <v>70</v>
      </c>
    </row>
    <row r="310" customFormat="false" ht="23.85" hidden="false" customHeight="false" outlineLevel="0" collapsed="false">
      <c r="A310" s="12" t="n">
        <v>46232</v>
      </c>
      <c r="B310" s="10" t="s">
        <v>63</v>
      </c>
      <c r="C310" s="10" t="s">
        <v>64</v>
      </c>
      <c r="D310" s="15" t="n">
        <v>30</v>
      </c>
      <c r="E310" s="10" t="s">
        <v>77</v>
      </c>
      <c r="F310" s="10" t="s">
        <v>1111</v>
      </c>
      <c r="G310" s="10"/>
      <c r="H310" s="15" t="n">
        <v>0</v>
      </c>
      <c r="I310" s="10"/>
      <c r="J310" s="10"/>
      <c r="K310" s="10"/>
      <c r="L310" s="10" t="s">
        <v>430</v>
      </c>
      <c r="M310" s="10" t="n">
        <v>1</v>
      </c>
      <c r="N310" s="10" t="s">
        <v>302</v>
      </c>
    </row>
    <row r="311" customFormat="false" ht="23.85" hidden="false" customHeight="false" outlineLevel="0" collapsed="false">
      <c r="A311" s="12" t="n">
        <v>46231</v>
      </c>
      <c r="B311" s="10" t="s">
        <v>63</v>
      </c>
      <c r="C311" s="10" t="s">
        <v>258</v>
      </c>
      <c r="D311" s="15" t="n">
        <v>80</v>
      </c>
      <c r="E311" s="10" t="s">
        <v>51</v>
      </c>
      <c r="F311" s="10" t="s">
        <v>1112</v>
      </c>
      <c r="G311" s="10" t="s">
        <v>1126</v>
      </c>
      <c r="H311" s="15" t="n">
        <v>1200</v>
      </c>
      <c r="I311" s="10"/>
      <c r="J311" s="10"/>
      <c r="K311" s="10"/>
      <c r="L311" s="10" t="s">
        <v>428</v>
      </c>
      <c r="M311" s="10" t="n">
        <v>1</v>
      </c>
      <c r="N311" s="10" t="s">
        <v>70</v>
      </c>
    </row>
    <row r="312" customFormat="false" ht="23.85" hidden="false" customHeight="false" outlineLevel="0" collapsed="false">
      <c r="A312" s="12" t="n">
        <v>46231</v>
      </c>
      <c r="B312" s="10" t="s">
        <v>47</v>
      </c>
      <c r="C312" s="10" t="s">
        <v>258</v>
      </c>
      <c r="D312" s="15" t="n">
        <v>80</v>
      </c>
      <c r="E312" s="10" t="s">
        <v>51</v>
      </c>
      <c r="F312" s="10" t="s">
        <v>1111</v>
      </c>
      <c r="G312" s="10"/>
      <c r="H312" s="15" t="n">
        <v>0</v>
      </c>
      <c r="I312" s="10" t="s">
        <v>258</v>
      </c>
      <c r="J312" s="10" t="n">
        <v>80</v>
      </c>
      <c r="K312" s="10" t="s">
        <v>51</v>
      </c>
      <c r="L312" s="10" t="s">
        <v>427</v>
      </c>
      <c r="M312" s="10" t="n">
        <v>1</v>
      </c>
      <c r="N312" s="10" t="s">
        <v>70</v>
      </c>
    </row>
    <row r="313" customFormat="false" ht="23.85" hidden="false" customHeight="false" outlineLevel="0" collapsed="false">
      <c r="A313" s="12" t="n">
        <v>46231</v>
      </c>
      <c r="B313" s="10" t="s">
        <v>63</v>
      </c>
      <c r="C313" s="10" t="s">
        <v>255</v>
      </c>
      <c r="D313" s="15" t="n">
        <v>80</v>
      </c>
      <c r="E313" s="10" t="s">
        <v>51</v>
      </c>
      <c r="F313" s="10" t="s">
        <v>1111</v>
      </c>
      <c r="G313" s="10"/>
      <c r="H313" s="15" t="n">
        <v>0</v>
      </c>
      <c r="I313" s="10"/>
      <c r="J313" s="10"/>
      <c r="K313" s="10"/>
      <c r="L313" s="10" t="s">
        <v>426</v>
      </c>
      <c r="M313" s="10" t="n">
        <v>1</v>
      </c>
      <c r="N313" s="10" t="s">
        <v>70</v>
      </c>
    </row>
    <row r="314" customFormat="false" ht="15" hidden="false" customHeight="false" outlineLevel="0" collapsed="false">
      <c r="A314" s="12" t="n">
        <v>46231</v>
      </c>
      <c r="B314" s="10" t="s">
        <v>63</v>
      </c>
      <c r="C314" s="10" t="s">
        <v>258</v>
      </c>
      <c r="D314" s="15" t="n">
        <v>82</v>
      </c>
      <c r="E314" s="10" t="s">
        <v>51</v>
      </c>
      <c r="F314" s="10" t="s">
        <v>1112</v>
      </c>
      <c r="G314" s="10" t="s">
        <v>1117</v>
      </c>
      <c r="H314" s="15" t="n">
        <v>1000</v>
      </c>
      <c r="I314" s="10"/>
      <c r="J314" s="10"/>
      <c r="K314" s="10"/>
      <c r="L314" s="10" t="s">
        <v>424</v>
      </c>
      <c r="M314" s="10" t="n">
        <v>1</v>
      </c>
      <c r="N314" s="10" t="s">
        <v>65</v>
      </c>
    </row>
    <row r="315" customFormat="false" ht="23.85" hidden="false" customHeight="false" outlineLevel="0" collapsed="false">
      <c r="A315" s="12" t="n">
        <v>46231</v>
      </c>
      <c r="B315" s="10" t="s">
        <v>47</v>
      </c>
      <c r="C315" s="10" t="s">
        <v>258</v>
      </c>
      <c r="D315" s="15" t="n">
        <v>82</v>
      </c>
      <c r="E315" s="10" t="s">
        <v>51</v>
      </c>
      <c r="F315" s="10" t="s">
        <v>1111</v>
      </c>
      <c r="G315" s="10"/>
      <c r="H315" s="15" t="n">
        <v>0</v>
      </c>
      <c r="I315" s="10" t="s">
        <v>258</v>
      </c>
      <c r="J315" s="15" t="n">
        <v>82</v>
      </c>
      <c r="K315" s="10" t="s">
        <v>51</v>
      </c>
      <c r="L315" s="10" t="s">
        <v>423</v>
      </c>
      <c r="M315" s="10" t="n">
        <v>1</v>
      </c>
      <c r="N315" s="10" t="s">
        <v>70</v>
      </c>
    </row>
    <row r="316" customFormat="false" ht="15" hidden="false" customHeight="false" outlineLevel="0" collapsed="false">
      <c r="A316" s="12" t="n">
        <v>46231</v>
      </c>
      <c r="B316" s="10" t="s">
        <v>63</v>
      </c>
      <c r="C316" s="10" t="s">
        <v>255</v>
      </c>
      <c r="D316" s="15" t="n">
        <v>82</v>
      </c>
      <c r="E316" s="10" t="s">
        <v>51</v>
      </c>
      <c r="F316" s="10" t="s">
        <v>1111</v>
      </c>
      <c r="G316" s="10"/>
      <c r="H316" s="15" t="n">
        <v>0</v>
      </c>
      <c r="I316" s="10"/>
      <c r="J316" s="10"/>
      <c r="K316" s="10"/>
      <c r="L316" s="10" t="s">
        <v>422</v>
      </c>
      <c r="M316" s="10" t="n">
        <v>1</v>
      </c>
      <c r="N316" s="10" t="s">
        <v>65</v>
      </c>
    </row>
    <row r="317" customFormat="false" ht="23.85" hidden="false" customHeight="false" outlineLevel="0" collapsed="false">
      <c r="A317" s="12" t="n">
        <v>46231</v>
      </c>
      <c r="B317" s="10" t="s">
        <v>63</v>
      </c>
      <c r="C317" s="10" t="s">
        <v>258</v>
      </c>
      <c r="D317" s="15" t="n">
        <v>81</v>
      </c>
      <c r="E317" s="10" t="s">
        <v>51</v>
      </c>
      <c r="F317" s="10" t="s">
        <v>1112</v>
      </c>
      <c r="G317" s="10" t="s">
        <v>1116</v>
      </c>
      <c r="H317" s="15" t="n">
        <v>1000</v>
      </c>
      <c r="I317" s="10"/>
      <c r="J317" s="10"/>
      <c r="K317" s="10"/>
      <c r="L317" s="10" t="s">
        <v>420</v>
      </c>
      <c r="M317" s="10" t="n">
        <v>1</v>
      </c>
      <c r="N317" s="10" t="s">
        <v>70</v>
      </c>
    </row>
    <row r="318" customFormat="false" ht="15" hidden="false" customHeight="false" outlineLevel="0" collapsed="false">
      <c r="A318" s="12" t="n">
        <v>46231</v>
      </c>
      <c r="B318" s="10" t="s">
        <v>79</v>
      </c>
      <c r="C318" s="10" t="s">
        <v>258</v>
      </c>
      <c r="D318" s="15" t="n">
        <v>81</v>
      </c>
      <c r="E318" s="10" t="s">
        <v>51</v>
      </c>
      <c r="F318" s="10" t="s">
        <v>1111</v>
      </c>
      <c r="G318" s="10"/>
      <c r="H318" s="15" t="n">
        <v>0</v>
      </c>
      <c r="I318" s="10"/>
      <c r="J318" s="10"/>
      <c r="K318" s="10"/>
      <c r="L318" s="10" t="s">
        <v>419</v>
      </c>
      <c r="M318" s="10" t="n">
        <v>1</v>
      </c>
      <c r="N318" s="10" t="s">
        <v>260</v>
      </c>
    </row>
    <row r="319" customFormat="false" ht="23.85" hidden="false" customHeight="false" outlineLevel="0" collapsed="false">
      <c r="A319" s="12" t="n">
        <v>46231</v>
      </c>
      <c r="B319" s="10" t="s">
        <v>47</v>
      </c>
      <c r="C319" s="10" t="s">
        <v>258</v>
      </c>
      <c r="D319" s="15" t="n">
        <v>81</v>
      </c>
      <c r="E319" s="10" t="s">
        <v>51</v>
      </c>
      <c r="F319" s="10" t="s">
        <v>1111</v>
      </c>
      <c r="G319" s="10"/>
      <c r="H319" s="15" t="n">
        <v>0</v>
      </c>
      <c r="I319" s="10"/>
      <c r="J319" s="10"/>
      <c r="K319" s="10"/>
      <c r="L319" s="10" t="s">
        <v>418</v>
      </c>
      <c r="M319" s="10" t="n">
        <v>1</v>
      </c>
      <c r="N319" s="10" t="s">
        <v>70</v>
      </c>
    </row>
    <row r="320" customFormat="false" ht="23.85" hidden="false" customHeight="false" outlineLevel="0" collapsed="false">
      <c r="A320" s="12" t="n">
        <v>46231</v>
      </c>
      <c r="B320" s="10" t="s">
        <v>63</v>
      </c>
      <c r="C320" s="10" t="s">
        <v>255</v>
      </c>
      <c r="D320" s="15" t="n">
        <v>81</v>
      </c>
      <c r="E320" s="10" t="s">
        <v>51</v>
      </c>
      <c r="F320" s="10" t="s">
        <v>1111</v>
      </c>
      <c r="G320" s="10"/>
      <c r="H320" s="15" t="n">
        <v>0</v>
      </c>
      <c r="I320" s="10"/>
      <c r="J320" s="10"/>
      <c r="K320" s="10"/>
      <c r="L320" s="10" t="s">
        <v>417</v>
      </c>
      <c r="M320" s="10" t="n">
        <v>1</v>
      </c>
      <c r="N320" s="10" t="s">
        <v>70</v>
      </c>
    </row>
    <row r="321" customFormat="false" ht="15" hidden="false" customHeight="false" outlineLevel="0" collapsed="false">
      <c r="A321" s="12" t="n">
        <v>46231</v>
      </c>
      <c r="B321" s="10" t="s">
        <v>63</v>
      </c>
      <c r="C321" s="10" t="s">
        <v>258</v>
      </c>
      <c r="D321" s="15" t="n">
        <v>57</v>
      </c>
      <c r="E321" s="10" t="s">
        <v>51</v>
      </c>
      <c r="F321" s="10" t="s">
        <v>1112</v>
      </c>
      <c r="G321" s="10" t="s">
        <v>1124</v>
      </c>
      <c r="H321" s="15" t="n">
        <v>1200</v>
      </c>
      <c r="I321" s="10"/>
      <c r="J321" s="10"/>
      <c r="K321" s="10"/>
      <c r="L321" s="10" t="s">
        <v>415</v>
      </c>
      <c r="M321" s="10" t="n">
        <v>1</v>
      </c>
      <c r="N321" s="10" t="s">
        <v>65</v>
      </c>
    </row>
    <row r="322" customFormat="false" ht="15" hidden="false" customHeight="false" outlineLevel="0" collapsed="false">
      <c r="A322" s="12" t="n">
        <v>46231</v>
      </c>
      <c r="B322" s="10" t="s">
        <v>47</v>
      </c>
      <c r="C322" s="10" t="s">
        <v>258</v>
      </c>
      <c r="D322" s="15" t="n">
        <v>57</v>
      </c>
      <c r="E322" s="10" t="s">
        <v>51</v>
      </c>
      <c r="F322" s="10" t="s">
        <v>1111</v>
      </c>
      <c r="G322" s="10"/>
      <c r="H322" s="15" t="n">
        <v>0</v>
      </c>
      <c r="I322" s="10" t="s">
        <v>258</v>
      </c>
      <c r="J322" s="15" t="n">
        <v>57</v>
      </c>
      <c r="K322" s="10" t="s">
        <v>51</v>
      </c>
      <c r="L322" s="10" t="s">
        <v>413</v>
      </c>
      <c r="M322" s="10" t="n">
        <v>1</v>
      </c>
      <c r="N322" s="10" t="s">
        <v>65</v>
      </c>
    </row>
    <row r="323" customFormat="false" ht="15" hidden="false" customHeight="false" outlineLevel="0" collapsed="false">
      <c r="A323" s="12" t="n">
        <v>46231</v>
      </c>
      <c r="B323" s="10" t="s">
        <v>63</v>
      </c>
      <c r="C323" s="10" t="s">
        <v>255</v>
      </c>
      <c r="D323" s="15" t="n">
        <v>57</v>
      </c>
      <c r="E323" s="10" t="s">
        <v>51</v>
      </c>
      <c r="F323" s="10" t="s">
        <v>1111</v>
      </c>
      <c r="G323" s="10"/>
      <c r="H323" s="15" t="n">
        <v>0</v>
      </c>
      <c r="I323" s="10"/>
      <c r="J323" s="10"/>
      <c r="K323" s="10"/>
      <c r="L323" s="10" t="s">
        <v>412</v>
      </c>
      <c r="M323" s="10" t="n">
        <v>1</v>
      </c>
      <c r="N323" s="10" t="s">
        <v>65</v>
      </c>
    </row>
    <row r="324" customFormat="false" ht="23.85" hidden="false" customHeight="false" outlineLevel="0" collapsed="false">
      <c r="A324" s="12" t="n">
        <v>46231</v>
      </c>
      <c r="B324" s="10" t="s">
        <v>63</v>
      </c>
      <c r="C324" s="10" t="s">
        <v>258</v>
      </c>
      <c r="D324" s="15" t="n">
        <v>84</v>
      </c>
      <c r="E324" s="10" t="s">
        <v>51</v>
      </c>
      <c r="F324" s="10" t="s">
        <v>1112</v>
      </c>
      <c r="G324" s="10" t="s">
        <v>1117</v>
      </c>
      <c r="H324" s="15" t="n">
        <v>1000</v>
      </c>
      <c r="I324" s="10"/>
      <c r="J324" s="10"/>
      <c r="K324" s="10"/>
      <c r="L324" s="10" t="s">
        <v>410</v>
      </c>
      <c r="M324" s="10" t="n">
        <v>1</v>
      </c>
      <c r="N324" s="10" t="s">
        <v>70</v>
      </c>
    </row>
    <row r="325" customFormat="false" ht="15" hidden="false" customHeight="false" outlineLevel="0" collapsed="false">
      <c r="A325" s="12" t="n">
        <v>46231</v>
      </c>
      <c r="B325" s="10" t="s">
        <v>79</v>
      </c>
      <c r="C325" s="10" t="s">
        <v>258</v>
      </c>
      <c r="D325" s="15" t="n">
        <v>84</v>
      </c>
      <c r="E325" s="10" t="s">
        <v>51</v>
      </c>
      <c r="F325" s="10" t="s">
        <v>1111</v>
      </c>
      <c r="G325" s="10"/>
      <c r="H325" s="15" t="n">
        <v>0</v>
      </c>
      <c r="I325" s="10"/>
      <c r="J325" s="10"/>
      <c r="K325" s="10"/>
      <c r="L325" s="10" t="s">
        <v>409</v>
      </c>
      <c r="M325" s="10" t="n">
        <v>1</v>
      </c>
      <c r="N325" s="10" t="s">
        <v>260</v>
      </c>
    </row>
    <row r="326" customFormat="false" ht="23.85" hidden="false" customHeight="false" outlineLevel="0" collapsed="false">
      <c r="A326" s="12" t="n">
        <v>46231</v>
      </c>
      <c r="B326" s="10" t="s">
        <v>47</v>
      </c>
      <c r="C326" s="10" t="s">
        <v>258</v>
      </c>
      <c r="D326" s="15" t="n">
        <v>84</v>
      </c>
      <c r="E326" s="10" t="s">
        <v>51</v>
      </c>
      <c r="F326" s="10" t="s">
        <v>1111</v>
      </c>
      <c r="G326" s="10"/>
      <c r="H326" s="15" t="n">
        <v>0</v>
      </c>
      <c r="I326" s="10"/>
      <c r="J326" s="10"/>
      <c r="K326" s="10"/>
      <c r="L326" s="10" t="s">
        <v>408</v>
      </c>
      <c r="M326" s="10" t="n">
        <v>1</v>
      </c>
      <c r="N326" s="10" t="s">
        <v>70</v>
      </c>
    </row>
    <row r="327" customFormat="false" ht="23.85" hidden="false" customHeight="false" outlineLevel="0" collapsed="false">
      <c r="A327" s="12" t="n">
        <v>46231</v>
      </c>
      <c r="B327" s="10" t="s">
        <v>63</v>
      </c>
      <c r="C327" s="10" t="s">
        <v>255</v>
      </c>
      <c r="D327" s="15" t="n">
        <v>84</v>
      </c>
      <c r="E327" s="10" t="s">
        <v>51</v>
      </c>
      <c r="F327" s="10" t="s">
        <v>1111</v>
      </c>
      <c r="G327" s="10"/>
      <c r="H327" s="15" t="n">
        <v>0</v>
      </c>
      <c r="I327" s="10"/>
      <c r="J327" s="10"/>
      <c r="K327" s="10"/>
      <c r="L327" s="10" t="s">
        <v>407</v>
      </c>
      <c r="M327" s="10" t="n">
        <v>1</v>
      </c>
      <c r="N327" s="10" t="s">
        <v>70</v>
      </c>
    </row>
    <row r="328" customFormat="false" ht="23.85" hidden="false" customHeight="false" outlineLevel="0" collapsed="false">
      <c r="A328" s="12" t="n">
        <v>46231</v>
      </c>
      <c r="B328" s="10" t="s">
        <v>63</v>
      </c>
      <c r="C328" s="10" t="s">
        <v>258</v>
      </c>
      <c r="D328" s="15" t="n">
        <v>82</v>
      </c>
      <c r="E328" s="10" t="s">
        <v>51</v>
      </c>
      <c r="F328" s="10" t="s">
        <v>1112</v>
      </c>
      <c r="G328" s="10" t="s">
        <v>1116</v>
      </c>
      <c r="H328" s="15" t="n">
        <v>1000</v>
      </c>
      <c r="I328" s="10"/>
      <c r="J328" s="10"/>
      <c r="K328" s="10"/>
      <c r="L328" s="10" t="s">
        <v>405</v>
      </c>
      <c r="M328" s="10" t="n">
        <v>1</v>
      </c>
      <c r="N328" s="10" t="s">
        <v>70</v>
      </c>
    </row>
    <row r="329" customFormat="false" ht="23.85" hidden="false" customHeight="false" outlineLevel="0" collapsed="false">
      <c r="A329" s="12" t="n">
        <v>46231</v>
      </c>
      <c r="B329" s="10" t="s">
        <v>47</v>
      </c>
      <c r="C329" s="10" t="s">
        <v>258</v>
      </c>
      <c r="D329" s="15" t="n">
        <v>82</v>
      </c>
      <c r="E329" s="10" t="s">
        <v>51</v>
      </c>
      <c r="F329" s="10" t="s">
        <v>1111</v>
      </c>
      <c r="G329" s="10"/>
      <c r="H329" s="15" t="n">
        <v>0</v>
      </c>
      <c r="I329" s="10" t="s">
        <v>258</v>
      </c>
      <c r="J329" s="10" t="n">
        <v>82</v>
      </c>
      <c r="K329" s="10" t="s">
        <v>51</v>
      </c>
      <c r="L329" s="10" t="s">
        <v>403</v>
      </c>
      <c r="M329" s="10" t="n">
        <v>1</v>
      </c>
      <c r="N329" s="10" t="s">
        <v>70</v>
      </c>
    </row>
    <row r="330" customFormat="false" ht="23.85" hidden="false" customHeight="false" outlineLevel="0" collapsed="false">
      <c r="A330" s="12" t="n">
        <v>46231</v>
      </c>
      <c r="B330" s="10" t="s">
        <v>63</v>
      </c>
      <c r="C330" s="10" t="s">
        <v>255</v>
      </c>
      <c r="D330" s="15" t="n">
        <v>82</v>
      </c>
      <c r="E330" s="10" t="s">
        <v>51</v>
      </c>
      <c r="F330" s="10" t="s">
        <v>1111</v>
      </c>
      <c r="G330" s="10"/>
      <c r="H330" s="15" t="n">
        <v>0</v>
      </c>
      <c r="I330" s="10"/>
      <c r="J330" s="10"/>
      <c r="K330" s="10"/>
      <c r="L330" s="10" t="s">
        <v>402</v>
      </c>
      <c r="M330" s="10" t="n">
        <v>1</v>
      </c>
      <c r="N330" s="10" t="s">
        <v>70</v>
      </c>
    </row>
    <row r="331" customFormat="false" ht="15" hidden="false" customHeight="false" outlineLevel="0" collapsed="false">
      <c r="A331" s="12" t="n">
        <v>46231</v>
      </c>
      <c r="B331" s="10" t="s">
        <v>107</v>
      </c>
      <c r="C331" s="10" t="s">
        <v>52</v>
      </c>
      <c r="D331" s="15" t="n">
        <v>84</v>
      </c>
      <c r="E331" s="10" t="s">
        <v>51</v>
      </c>
      <c r="F331" s="10" t="s">
        <v>1112</v>
      </c>
      <c r="G331" s="10" t="s">
        <v>1126</v>
      </c>
      <c r="H331" s="15" t="n">
        <v>600</v>
      </c>
      <c r="I331" s="10"/>
      <c r="J331" s="10"/>
      <c r="K331" s="10"/>
      <c r="L331" s="10" t="s">
        <v>400</v>
      </c>
      <c r="M331" s="10" t="n">
        <v>1</v>
      </c>
      <c r="N331" s="10" t="s">
        <v>65</v>
      </c>
    </row>
    <row r="332" customFormat="false" ht="23.85" hidden="false" customHeight="false" outlineLevel="0" collapsed="false">
      <c r="A332" s="12" t="n">
        <v>46231</v>
      </c>
      <c r="B332" s="10" t="s">
        <v>63</v>
      </c>
      <c r="C332" s="10" t="s">
        <v>64</v>
      </c>
      <c r="D332" s="15" t="n">
        <v>29.95</v>
      </c>
      <c r="E332" s="10" t="s">
        <v>77</v>
      </c>
      <c r="F332" s="10" t="s">
        <v>1111</v>
      </c>
      <c r="G332" s="10"/>
      <c r="H332" s="15" t="n">
        <v>0</v>
      </c>
      <c r="I332" s="10"/>
      <c r="J332" s="15"/>
      <c r="K332" s="10"/>
      <c r="L332" s="10" t="s">
        <v>398</v>
      </c>
      <c r="M332" s="10" t="n">
        <v>1</v>
      </c>
      <c r="N332" s="10" t="s">
        <v>302</v>
      </c>
    </row>
    <row r="333" customFormat="false" ht="15" hidden="false" customHeight="false" outlineLevel="0" collapsed="false">
      <c r="A333" s="12" t="n">
        <v>46231</v>
      </c>
      <c r="B333" s="10" t="s">
        <v>63</v>
      </c>
      <c r="C333" s="10" t="s">
        <v>64</v>
      </c>
      <c r="D333" s="15" t="n">
        <v>30</v>
      </c>
      <c r="E333" s="10" t="s">
        <v>77</v>
      </c>
      <c r="F333" s="10" t="s">
        <v>1111</v>
      </c>
      <c r="G333" s="10"/>
      <c r="H333" s="15" t="n">
        <v>0</v>
      </c>
      <c r="I333" s="10"/>
      <c r="J333" s="10"/>
      <c r="K333" s="10"/>
      <c r="L333" s="10" t="s">
        <v>396</v>
      </c>
      <c r="M333" s="10" t="n">
        <v>1</v>
      </c>
      <c r="N333" s="10" t="s">
        <v>242</v>
      </c>
    </row>
    <row r="334" customFormat="false" ht="23.85" hidden="false" customHeight="false" outlineLevel="0" collapsed="false">
      <c r="A334" s="12" t="n">
        <v>46230</v>
      </c>
      <c r="B334" s="10" t="s">
        <v>63</v>
      </c>
      <c r="C334" s="10" t="s">
        <v>258</v>
      </c>
      <c r="D334" s="15" t="n">
        <v>87</v>
      </c>
      <c r="E334" s="10" t="s">
        <v>51</v>
      </c>
      <c r="F334" s="10" t="s">
        <v>1112</v>
      </c>
      <c r="G334" s="10" t="s">
        <v>1126</v>
      </c>
      <c r="H334" s="15" t="n">
        <v>1200</v>
      </c>
      <c r="I334" s="10"/>
      <c r="J334" s="10"/>
      <c r="K334" s="10"/>
      <c r="L334" s="10" t="s">
        <v>394</v>
      </c>
      <c r="M334" s="10" t="n">
        <v>1</v>
      </c>
      <c r="N334" s="10" t="s">
        <v>70</v>
      </c>
    </row>
    <row r="335" customFormat="false" ht="15" hidden="false" customHeight="false" outlineLevel="0" collapsed="false">
      <c r="A335" s="12" t="n">
        <v>46230</v>
      </c>
      <c r="B335" s="10" t="s">
        <v>79</v>
      </c>
      <c r="C335" s="10" t="s">
        <v>258</v>
      </c>
      <c r="D335" s="15" t="n">
        <v>87</v>
      </c>
      <c r="E335" s="10" t="s">
        <v>51</v>
      </c>
      <c r="F335" s="10" t="s">
        <v>1111</v>
      </c>
      <c r="G335" s="10"/>
      <c r="H335" s="15" t="n">
        <v>0</v>
      </c>
      <c r="I335" s="10"/>
      <c r="J335" s="15"/>
      <c r="K335" s="10"/>
      <c r="L335" s="10" t="s">
        <v>393</v>
      </c>
      <c r="M335" s="10" t="n">
        <v>1</v>
      </c>
      <c r="N335" s="10" t="s">
        <v>260</v>
      </c>
    </row>
    <row r="336" customFormat="false" ht="23.85" hidden="false" customHeight="false" outlineLevel="0" collapsed="false">
      <c r="A336" s="12" t="n">
        <v>46230</v>
      </c>
      <c r="B336" s="10" t="s">
        <v>47</v>
      </c>
      <c r="C336" s="10" t="s">
        <v>258</v>
      </c>
      <c r="D336" s="15" t="n">
        <v>87</v>
      </c>
      <c r="E336" s="10" t="s">
        <v>51</v>
      </c>
      <c r="F336" s="10" t="s">
        <v>1111</v>
      </c>
      <c r="G336" s="10"/>
      <c r="H336" s="15" t="n">
        <v>0</v>
      </c>
      <c r="I336" s="10"/>
      <c r="J336" s="10"/>
      <c r="K336" s="10"/>
      <c r="L336" s="10" t="s">
        <v>392</v>
      </c>
      <c r="M336" s="10" t="n">
        <v>1</v>
      </c>
      <c r="N336" s="10" t="s">
        <v>70</v>
      </c>
    </row>
    <row r="337" customFormat="false" ht="23.85" hidden="false" customHeight="false" outlineLevel="0" collapsed="false">
      <c r="A337" s="12" t="n">
        <v>46230</v>
      </c>
      <c r="B337" s="10" t="s">
        <v>63</v>
      </c>
      <c r="C337" s="10" t="s">
        <v>255</v>
      </c>
      <c r="D337" s="15" t="n">
        <v>87</v>
      </c>
      <c r="E337" s="10" t="s">
        <v>51</v>
      </c>
      <c r="F337" s="10" t="s">
        <v>1111</v>
      </c>
      <c r="G337" s="10"/>
      <c r="H337" s="15" t="n">
        <v>0</v>
      </c>
      <c r="I337" s="10"/>
      <c r="J337" s="10"/>
      <c r="K337" s="10"/>
      <c r="L337" s="10" t="s">
        <v>391</v>
      </c>
      <c r="M337" s="10" t="n">
        <v>1</v>
      </c>
      <c r="N337" s="10" t="s">
        <v>70</v>
      </c>
    </row>
    <row r="338" customFormat="false" ht="23.85" hidden="false" customHeight="false" outlineLevel="0" collapsed="false">
      <c r="A338" s="12" t="n">
        <v>46230</v>
      </c>
      <c r="B338" s="10" t="s">
        <v>63</v>
      </c>
      <c r="C338" s="10" t="s">
        <v>258</v>
      </c>
      <c r="D338" s="15" t="n">
        <v>88</v>
      </c>
      <c r="E338" s="10" t="s">
        <v>51</v>
      </c>
      <c r="F338" s="10" t="s">
        <v>1112</v>
      </c>
      <c r="G338" s="10" t="s">
        <v>1117</v>
      </c>
      <c r="H338" s="15" t="n">
        <v>1000</v>
      </c>
      <c r="I338" s="10"/>
      <c r="J338" s="15"/>
      <c r="K338" s="10"/>
      <c r="L338" s="10" t="s">
        <v>389</v>
      </c>
      <c r="M338" s="10" t="n">
        <v>1</v>
      </c>
      <c r="N338" s="10" t="s">
        <v>70</v>
      </c>
    </row>
    <row r="339" customFormat="false" ht="23.85" hidden="false" customHeight="false" outlineLevel="0" collapsed="false">
      <c r="A339" s="12" t="n">
        <v>46230</v>
      </c>
      <c r="B339" s="10" t="s">
        <v>47</v>
      </c>
      <c r="C339" s="10" t="s">
        <v>258</v>
      </c>
      <c r="D339" s="15" t="n">
        <v>88</v>
      </c>
      <c r="E339" s="10" t="s">
        <v>51</v>
      </c>
      <c r="F339" s="10" t="s">
        <v>1111</v>
      </c>
      <c r="G339" s="10"/>
      <c r="H339" s="15" t="n">
        <v>0</v>
      </c>
      <c r="I339" s="10" t="s">
        <v>258</v>
      </c>
      <c r="J339" s="10" t="n">
        <v>88</v>
      </c>
      <c r="K339" s="10" t="s">
        <v>51</v>
      </c>
      <c r="L339" s="10" t="s">
        <v>388</v>
      </c>
      <c r="M339" s="10" t="n">
        <v>1</v>
      </c>
      <c r="N339" s="10" t="s">
        <v>70</v>
      </c>
    </row>
    <row r="340" customFormat="false" ht="23.85" hidden="false" customHeight="false" outlineLevel="0" collapsed="false">
      <c r="A340" s="12" t="n">
        <v>46230</v>
      </c>
      <c r="B340" s="10" t="s">
        <v>63</v>
      </c>
      <c r="C340" s="10" t="s">
        <v>258</v>
      </c>
      <c r="D340" s="15" t="n">
        <v>88</v>
      </c>
      <c r="E340" s="10" t="s">
        <v>51</v>
      </c>
      <c r="F340" s="10" t="s">
        <v>1111</v>
      </c>
      <c r="G340" s="10"/>
      <c r="H340" s="15" t="n">
        <v>0</v>
      </c>
      <c r="I340" s="10"/>
      <c r="J340" s="10"/>
      <c r="K340" s="10"/>
      <c r="L340" s="10" t="s">
        <v>387</v>
      </c>
      <c r="M340" s="10" t="n">
        <v>1</v>
      </c>
      <c r="N340" s="10" t="s">
        <v>70</v>
      </c>
    </row>
    <row r="341" customFormat="false" ht="15" hidden="false" customHeight="false" outlineLevel="0" collapsed="false">
      <c r="A341" s="12" t="n">
        <v>46230</v>
      </c>
      <c r="B341" s="10" t="s">
        <v>63</v>
      </c>
      <c r="C341" s="10" t="s">
        <v>258</v>
      </c>
      <c r="D341" s="15" t="n">
        <v>86</v>
      </c>
      <c r="E341" s="10" t="s">
        <v>51</v>
      </c>
      <c r="F341" s="10" t="s">
        <v>1112</v>
      </c>
      <c r="G341" s="10" t="s">
        <v>1116</v>
      </c>
      <c r="H341" s="15" t="n">
        <v>1000</v>
      </c>
      <c r="I341" s="10"/>
      <c r="J341" s="10"/>
      <c r="K341" s="10"/>
      <c r="L341" s="10" t="s">
        <v>385</v>
      </c>
      <c r="M341" s="10" t="n">
        <v>1</v>
      </c>
      <c r="N341" s="10" t="s">
        <v>65</v>
      </c>
    </row>
    <row r="342" customFormat="false" ht="15" hidden="false" customHeight="false" outlineLevel="0" collapsed="false">
      <c r="A342" s="12" t="n">
        <v>46230</v>
      </c>
      <c r="B342" s="10" t="s">
        <v>47</v>
      </c>
      <c r="C342" s="10" t="s">
        <v>258</v>
      </c>
      <c r="D342" s="15" t="n">
        <v>86</v>
      </c>
      <c r="E342" s="10" t="s">
        <v>51</v>
      </c>
      <c r="F342" s="10" t="s">
        <v>1111</v>
      </c>
      <c r="G342" s="10"/>
      <c r="H342" s="15" t="n">
        <v>0</v>
      </c>
      <c r="I342" s="10" t="s">
        <v>258</v>
      </c>
      <c r="J342" s="10" t="n">
        <v>86</v>
      </c>
      <c r="K342" s="10" t="s">
        <v>51</v>
      </c>
      <c r="L342" s="10" t="s">
        <v>384</v>
      </c>
      <c r="M342" s="10" t="n">
        <v>1</v>
      </c>
      <c r="N342" s="10" t="s">
        <v>65</v>
      </c>
    </row>
    <row r="343" customFormat="false" ht="15" hidden="false" customHeight="false" outlineLevel="0" collapsed="false">
      <c r="A343" s="12" t="n">
        <v>46230</v>
      </c>
      <c r="B343" s="10" t="s">
        <v>63</v>
      </c>
      <c r="C343" s="10" t="s">
        <v>255</v>
      </c>
      <c r="D343" s="15" t="n">
        <v>86</v>
      </c>
      <c r="E343" s="10" t="s">
        <v>51</v>
      </c>
      <c r="F343" s="10" t="s">
        <v>1111</v>
      </c>
      <c r="G343" s="10"/>
      <c r="H343" s="15" t="n">
        <v>0</v>
      </c>
      <c r="I343" s="10"/>
      <c r="J343" s="10"/>
      <c r="K343" s="10"/>
      <c r="L343" s="10" t="s">
        <v>383</v>
      </c>
      <c r="M343" s="10" t="n">
        <v>1</v>
      </c>
      <c r="N343" s="10" t="s">
        <v>65</v>
      </c>
    </row>
    <row r="344" customFormat="false" ht="23.85" hidden="false" customHeight="false" outlineLevel="0" collapsed="false">
      <c r="A344" s="12" t="n">
        <v>46230</v>
      </c>
      <c r="B344" s="10" t="s">
        <v>63</v>
      </c>
      <c r="C344" s="10" t="s">
        <v>258</v>
      </c>
      <c r="D344" s="15" t="n">
        <v>57</v>
      </c>
      <c r="E344" s="10" t="s">
        <v>51</v>
      </c>
      <c r="F344" s="10" t="s">
        <v>1112</v>
      </c>
      <c r="G344" s="10" t="s">
        <v>1124</v>
      </c>
      <c r="H344" s="15" t="n">
        <v>1200</v>
      </c>
      <c r="I344" s="10"/>
      <c r="J344" s="10"/>
      <c r="K344" s="10"/>
      <c r="L344" s="10" t="s">
        <v>381</v>
      </c>
      <c r="M344" s="10" t="n">
        <v>1</v>
      </c>
      <c r="N344" s="10" t="s">
        <v>70</v>
      </c>
    </row>
    <row r="345" customFormat="false" ht="23.85" hidden="false" customHeight="false" outlineLevel="0" collapsed="false">
      <c r="A345" s="12" t="n">
        <v>46230</v>
      </c>
      <c r="B345" s="10" t="s">
        <v>47</v>
      </c>
      <c r="C345" s="10" t="s">
        <v>258</v>
      </c>
      <c r="D345" s="15" t="n">
        <v>57</v>
      </c>
      <c r="E345" s="10" t="s">
        <v>51</v>
      </c>
      <c r="F345" s="10" t="s">
        <v>1111</v>
      </c>
      <c r="G345" s="10"/>
      <c r="H345" s="15" t="n">
        <v>0</v>
      </c>
      <c r="I345" s="10" t="s">
        <v>258</v>
      </c>
      <c r="J345" s="10" t="n">
        <v>57</v>
      </c>
      <c r="K345" s="10" t="s">
        <v>51</v>
      </c>
      <c r="L345" s="10" t="s">
        <v>379</v>
      </c>
      <c r="M345" s="10" t="n">
        <v>1</v>
      </c>
      <c r="N345" s="10" t="s">
        <v>70</v>
      </c>
    </row>
    <row r="346" customFormat="false" ht="23.85" hidden="false" customHeight="false" outlineLevel="0" collapsed="false">
      <c r="A346" s="12" t="n">
        <v>46230</v>
      </c>
      <c r="B346" s="10" t="s">
        <v>63</v>
      </c>
      <c r="C346" s="10" t="s">
        <v>255</v>
      </c>
      <c r="D346" s="15" t="n">
        <v>57</v>
      </c>
      <c r="E346" s="10" t="s">
        <v>51</v>
      </c>
      <c r="F346" s="10" t="s">
        <v>1111</v>
      </c>
      <c r="G346" s="10"/>
      <c r="H346" s="15" t="n">
        <v>0</v>
      </c>
      <c r="I346" s="10"/>
      <c r="J346" s="10"/>
      <c r="K346" s="10"/>
      <c r="L346" s="10" t="s">
        <v>378</v>
      </c>
      <c r="M346" s="10" t="n">
        <v>1</v>
      </c>
      <c r="N346" s="10" t="s">
        <v>70</v>
      </c>
    </row>
    <row r="347" customFormat="false" ht="23.85" hidden="false" customHeight="false" outlineLevel="0" collapsed="false">
      <c r="A347" s="12" t="n">
        <v>46227</v>
      </c>
      <c r="B347" s="10" t="s">
        <v>63</v>
      </c>
      <c r="C347" s="10" t="s">
        <v>220</v>
      </c>
      <c r="D347" s="15" t="n">
        <v>1185.4</v>
      </c>
      <c r="E347" s="10" t="s">
        <v>103</v>
      </c>
      <c r="F347" s="10" t="s">
        <v>1112</v>
      </c>
      <c r="G347" s="10" t="s">
        <v>221</v>
      </c>
      <c r="H347" s="15" t="n">
        <v>0</v>
      </c>
      <c r="I347" s="10"/>
      <c r="J347" s="10"/>
      <c r="K347" s="10"/>
      <c r="L347" s="10" t="s">
        <v>375</v>
      </c>
      <c r="M347" s="10" t="n">
        <v>1</v>
      </c>
      <c r="N347" s="10" t="s">
        <v>374</v>
      </c>
    </row>
    <row r="348" customFormat="false" ht="15" hidden="false" customHeight="false" outlineLevel="0" collapsed="false">
      <c r="A348" s="12" t="n">
        <v>46227</v>
      </c>
      <c r="B348" s="10" t="s">
        <v>63</v>
      </c>
      <c r="C348" s="10" t="s">
        <v>104</v>
      </c>
      <c r="D348" s="15" t="n">
        <v>23.9</v>
      </c>
      <c r="E348" s="10" t="s">
        <v>103</v>
      </c>
      <c r="F348" s="10" t="s">
        <v>1111</v>
      </c>
      <c r="G348" s="10"/>
      <c r="H348" s="15" t="n">
        <v>0</v>
      </c>
      <c r="I348" s="10"/>
      <c r="J348" s="15"/>
      <c r="K348" s="10"/>
      <c r="L348" s="10" t="s">
        <v>372</v>
      </c>
      <c r="M348" s="10" t="n">
        <v>1</v>
      </c>
      <c r="N348" s="10" t="s">
        <v>361</v>
      </c>
    </row>
    <row r="349" customFormat="false" ht="15" hidden="false" customHeight="false" outlineLevel="0" collapsed="false">
      <c r="A349" s="12" t="n">
        <v>46227</v>
      </c>
      <c r="B349" s="10" t="s">
        <v>63</v>
      </c>
      <c r="C349" s="10" t="s">
        <v>104</v>
      </c>
      <c r="D349" s="15" t="n">
        <v>23.78</v>
      </c>
      <c r="E349" s="10" t="s">
        <v>103</v>
      </c>
      <c r="F349" s="10" t="s">
        <v>1111</v>
      </c>
      <c r="G349" s="10"/>
      <c r="H349" s="15" t="n">
        <v>0</v>
      </c>
      <c r="I349" s="10"/>
      <c r="J349" s="10"/>
      <c r="K349" s="10"/>
      <c r="L349" s="10" t="s">
        <v>370</v>
      </c>
      <c r="M349" s="10" t="n">
        <v>1</v>
      </c>
      <c r="N349" s="10" t="s">
        <v>361</v>
      </c>
    </row>
    <row r="350" customFormat="false" ht="15" hidden="false" customHeight="false" outlineLevel="0" collapsed="false">
      <c r="A350" s="12" t="n">
        <v>46227</v>
      </c>
      <c r="B350" s="10" t="s">
        <v>63</v>
      </c>
      <c r="C350" s="10" t="s">
        <v>104</v>
      </c>
      <c r="D350" s="15" t="n">
        <v>23.52</v>
      </c>
      <c r="E350" s="10" t="s">
        <v>103</v>
      </c>
      <c r="F350" s="10" t="s">
        <v>1111</v>
      </c>
      <c r="G350" s="10"/>
      <c r="H350" s="15" t="n">
        <v>0</v>
      </c>
      <c r="I350" s="10"/>
      <c r="J350" s="10"/>
      <c r="K350" s="10"/>
      <c r="L350" s="10" t="s">
        <v>368</v>
      </c>
      <c r="M350" s="10" t="n">
        <v>1</v>
      </c>
      <c r="N350" s="10" t="s">
        <v>367</v>
      </c>
    </row>
    <row r="351" customFormat="false" ht="15" hidden="false" customHeight="false" outlineLevel="0" collapsed="false">
      <c r="A351" s="12" t="n">
        <v>46227</v>
      </c>
      <c r="B351" s="10" t="s">
        <v>63</v>
      </c>
      <c r="C351" s="10" t="s">
        <v>104</v>
      </c>
      <c r="D351" s="15" t="n">
        <v>23.18</v>
      </c>
      <c r="E351" s="10" t="s">
        <v>103</v>
      </c>
      <c r="F351" s="10" t="s">
        <v>1111</v>
      </c>
      <c r="G351" s="10"/>
      <c r="H351" s="15" t="n">
        <v>0</v>
      </c>
      <c r="I351" s="10"/>
      <c r="J351" s="10"/>
      <c r="K351" s="10"/>
      <c r="L351" s="10" t="s">
        <v>365</v>
      </c>
      <c r="M351" s="10" t="n">
        <v>1</v>
      </c>
      <c r="N351" s="10" t="s">
        <v>364</v>
      </c>
    </row>
    <row r="352" customFormat="false" ht="15" hidden="false" customHeight="false" outlineLevel="0" collapsed="false">
      <c r="A352" s="12" t="n">
        <v>46227</v>
      </c>
      <c r="B352" s="10" t="s">
        <v>63</v>
      </c>
      <c r="C352" s="10" t="s">
        <v>104</v>
      </c>
      <c r="D352" s="15" t="n">
        <v>24.36</v>
      </c>
      <c r="E352" s="10" t="s">
        <v>103</v>
      </c>
      <c r="F352" s="10" t="s">
        <v>1111</v>
      </c>
      <c r="G352" s="10"/>
      <c r="H352" s="15" t="n">
        <v>0</v>
      </c>
      <c r="I352" s="10"/>
      <c r="J352" s="10"/>
      <c r="K352" s="10"/>
      <c r="L352" s="10" t="s">
        <v>362</v>
      </c>
      <c r="M352" s="10" t="n">
        <v>1</v>
      </c>
      <c r="N352" s="10" t="s">
        <v>361</v>
      </c>
    </row>
    <row r="353" customFormat="false" ht="15" hidden="false" customHeight="false" outlineLevel="0" collapsed="false">
      <c r="A353" s="12" t="n">
        <v>46227</v>
      </c>
      <c r="B353" s="10" t="s">
        <v>63</v>
      </c>
      <c r="C353" s="10" t="s">
        <v>64</v>
      </c>
      <c r="D353" s="15" t="n">
        <v>15.09</v>
      </c>
      <c r="E353" s="10" t="s">
        <v>77</v>
      </c>
      <c r="F353" s="10" t="s">
        <v>1111</v>
      </c>
      <c r="G353" s="10"/>
      <c r="H353" s="15" t="n">
        <v>0</v>
      </c>
      <c r="I353" s="10"/>
      <c r="J353" s="10"/>
      <c r="K353" s="10"/>
      <c r="L353" s="10" t="s">
        <v>359</v>
      </c>
      <c r="M353" s="10" t="n">
        <v>1</v>
      </c>
      <c r="N353" s="10" t="s">
        <v>242</v>
      </c>
    </row>
    <row r="354" customFormat="false" ht="23.85" hidden="false" customHeight="false" outlineLevel="0" collapsed="false">
      <c r="A354" s="12" t="n">
        <v>46226</v>
      </c>
      <c r="B354" s="10" t="s">
        <v>63</v>
      </c>
      <c r="C354" s="10" t="s">
        <v>258</v>
      </c>
      <c r="D354" s="15" t="n">
        <v>80</v>
      </c>
      <c r="E354" s="10" t="s">
        <v>51</v>
      </c>
      <c r="F354" s="10" t="s">
        <v>1112</v>
      </c>
      <c r="G354" s="10" t="s">
        <v>1117</v>
      </c>
      <c r="H354" s="15" t="n">
        <v>700</v>
      </c>
      <c r="I354" s="10"/>
      <c r="J354" s="10"/>
      <c r="K354" s="10"/>
      <c r="L354" s="10" t="s">
        <v>357</v>
      </c>
      <c r="M354" s="10" t="n">
        <v>1</v>
      </c>
      <c r="N354" s="10" t="s">
        <v>70</v>
      </c>
    </row>
    <row r="355" customFormat="false" ht="23.85" hidden="false" customHeight="false" outlineLevel="0" collapsed="false">
      <c r="A355" s="12" t="n">
        <v>46226</v>
      </c>
      <c r="B355" s="10" t="s">
        <v>47</v>
      </c>
      <c r="C355" s="10" t="s">
        <v>258</v>
      </c>
      <c r="D355" s="15" t="n">
        <v>80</v>
      </c>
      <c r="E355" s="10" t="s">
        <v>51</v>
      </c>
      <c r="F355" s="10" t="s">
        <v>1111</v>
      </c>
      <c r="G355" s="10"/>
      <c r="H355" s="15" t="n">
        <v>0</v>
      </c>
      <c r="I355" s="10" t="s">
        <v>258</v>
      </c>
      <c r="J355" s="10" t="n">
        <v>80</v>
      </c>
      <c r="K355" s="10" t="s">
        <v>51</v>
      </c>
      <c r="L355" s="10" t="s">
        <v>356</v>
      </c>
      <c r="M355" s="10" t="n">
        <v>1</v>
      </c>
      <c r="N355" s="10" t="s">
        <v>70</v>
      </c>
    </row>
    <row r="356" customFormat="false" ht="15" hidden="false" customHeight="false" outlineLevel="0" collapsed="false">
      <c r="A356" s="12" t="n">
        <v>46226</v>
      </c>
      <c r="B356" s="10" t="s">
        <v>63</v>
      </c>
      <c r="C356" s="10" t="s">
        <v>255</v>
      </c>
      <c r="D356" s="15" t="n">
        <v>80</v>
      </c>
      <c r="E356" s="10" t="s">
        <v>51</v>
      </c>
      <c r="F356" s="10" t="s">
        <v>1111</v>
      </c>
      <c r="G356" s="10"/>
      <c r="H356" s="15" t="n">
        <v>0</v>
      </c>
      <c r="I356" s="10"/>
      <c r="J356" s="10"/>
      <c r="K356" s="10"/>
      <c r="L356" s="10" t="s">
        <v>355</v>
      </c>
      <c r="M356" s="10" t="n">
        <v>1</v>
      </c>
      <c r="N356" s="10" t="s">
        <v>65</v>
      </c>
    </row>
    <row r="357" customFormat="false" ht="15" hidden="false" customHeight="false" outlineLevel="0" collapsed="false">
      <c r="A357" s="12" t="n">
        <v>46226</v>
      </c>
      <c r="B357" s="10" t="s">
        <v>63</v>
      </c>
      <c r="C357" s="10" t="s">
        <v>64</v>
      </c>
      <c r="D357" s="15" t="n">
        <v>29.99</v>
      </c>
      <c r="E357" s="10" t="s">
        <v>77</v>
      </c>
      <c r="F357" s="10" t="s">
        <v>1111</v>
      </c>
      <c r="G357" s="10"/>
      <c r="H357" s="15" t="n">
        <v>0</v>
      </c>
      <c r="I357" s="10"/>
      <c r="J357" s="15"/>
      <c r="K357" s="10"/>
      <c r="L357" s="10" t="s">
        <v>353</v>
      </c>
      <c r="M357" s="10" t="n">
        <v>1</v>
      </c>
      <c r="N357" s="10" t="s">
        <v>242</v>
      </c>
    </row>
    <row r="358" customFormat="false" ht="15" hidden="false" customHeight="false" outlineLevel="0" collapsed="false">
      <c r="A358" s="12" t="n">
        <v>46226</v>
      </c>
      <c r="B358" s="10" t="s">
        <v>63</v>
      </c>
      <c r="C358" s="10" t="s">
        <v>64</v>
      </c>
      <c r="D358" s="15" t="n">
        <v>28.01</v>
      </c>
      <c r="E358" s="10" t="s">
        <v>77</v>
      </c>
      <c r="F358" s="10" t="s">
        <v>1111</v>
      </c>
      <c r="G358" s="10"/>
      <c r="H358" s="15" t="n">
        <v>0</v>
      </c>
      <c r="I358" s="10"/>
      <c r="J358" s="10"/>
      <c r="K358" s="10"/>
      <c r="L358" s="10" t="s">
        <v>351</v>
      </c>
      <c r="M358" s="10" t="n">
        <v>1</v>
      </c>
      <c r="N358" s="10" t="s">
        <v>242</v>
      </c>
    </row>
    <row r="359" customFormat="false" ht="15" hidden="false" customHeight="false" outlineLevel="0" collapsed="false">
      <c r="A359" s="12" t="n">
        <v>46226</v>
      </c>
      <c r="B359" s="10" t="s">
        <v>63</v>
      </c>
      <c r="C359" s="10" t="s">
        <v>64</v>
      </c>
      <c r="D359" s="15" t="n">
        <v>28.99</v>
      </c>
      <c r="E359" s="10" t="s">
        <v>77</v>
      </c>
      <c r="F359" s="10" t="s">
        <v>1111</v>
      </c>
      <c r="G359" s="10"/>
      <c r="H359" s="15" t="n">
        <v>0</v>
      </c>
      <c r="I359" s="10"/>
      <c r="J359" s="10"/>
      <c r="K359" s="10"/>
      <c r="L359" s="10" t="s">
        <v>349</v>
      </c>
      <c r="M359" s="10" t="n">
        <v>1</v>
      </c>
      <c r="N359" s="10" t="s">
        <v>242</v>
      </c>
    </row>
    <row r="360" customFormat="false" ht="15" hidden="false" customHeight="false" outlineLevel="0" collapsed="false">
      <c r="A360" s="12" t="n">
        <v>46226</v>
      </c>
      <c r="B360" s="10" t="s">
        <v>63</v>
      </c>
      <c r="C360" s="10" t="s">
        <v>64</v>
      </c>
      <c r="D360" s="15" t="n">
        <v>15.08</v>
      </c>
      <c r="E360" s="10" t="s">
        <v>77</v>
      </c>
      <c r="F360" s="10" t="s">
        <v>1111</v>
      </c>
      <c r="G360" s="10"/>
      <c r="H360" s="15" t="n">
        <v>0</v>
      </c>
      <c r="I360" s="10"/>
      <c r="J360" s="15"/>
      <c r="K360" s="10"/>
      <c r="L360" s="10" t="s">
        <v>347</v>
      </c>
      <c r="M360" s="10" t="n">
        <v>1</v>
      </c>
      <c r="N360" s="10" t="s">
        <v>242</v>
      </c>
    </row>
    <row r="361" customFormat="false" ht="15" hidden="false" customHeight="false" outlineLevel="0" collapsed="false">
      <c r="A361" s="12" t="n">
        <v>46226</v>
      </c>
      <c r="B361" s="10" t="s">
        <v>63</v>
      </c>
      <c r="C361" s="10" t="s">
        <v>64</v>
      </c>
      <c r="D361" s="15" t="n">
        <v>15.3</v>
      </c>
      <c r="E361" s="10" t="s">
        <v>77</v>
      </c>
      <c r="F361" s="10" t="s">
        <v>1111</v>
      </c>
      <c r="G361" s="10"/>
      <c r="H361" s="15" t="n">
        <v>0</v>
      </c>
      <c r="I361" s="10"/>
      <c r="J361" s="10"/>
      <c r="K361" s="10"/>
      <c r="L361" s="10" t="s">
        <v>345</v>
      </c>
      <c r="M361" s="10" t="n">
        <v>1</v>
      </c>
      <c r="N361" s="10" t="s">
        <v>242</v>
      </c>
    </row>
    <row r="362" customFormat="false" ht="23.85" hidden="false" customHeight="false" outlineLevel="0" collapsed="false">
      <c r="A362" s="12" t="n">
        <v>46225</v>
      </c>
      <c r="B362" s="10" t="s">
        <v>63</v>
      </c>
      <c r="C362" s="10" t="s">
        <v>64</v>
      </c>
      <c r="D362" s="15" t="n">
        <v>15.56</v>
      </c>
      <c r="E362" s="10" t="s">
        <v>77</v>
      </c>
      <c r="F362" s="10" t="s">
        <v>1111</v>
      </c>
      <c r="G362" s="10"/>
      <c r="H362" s="15" t="n">
        <v>0</v>
      </c>
      <c r="I362" s="10"/>
      <c r="J362" s="10"/>
      <c r="K362" s="10"/>
      <c r="L362" s="10" t="s">
        <v>343</v>
      </c>
      <c r="M362" s="10" t="n">
        <v>1</v>
      </c>
      <c r="N362" s="10" t="s">
        <v>302</v>
      </c>
    </row>
    <row r="363" customFormat="false" ht="23.85" hidden="false" customHeight="false" outlineLevel="0" collapsed="false">
      <c r="A363" s="12" t="n">
        <v>46225</v>
      </c>
      <c r="B363" s="10" t="s">
        <v>63</v>
      </c>
      <c r="C363" s="10" t="s">
        <v>52</v>
      </c>
      <c r="D363" s="15" t="n">
        <v>80.12</v>
      </c>
      <c r="E363" s="10" t="s">
        <v>51</v>
      </c>
      <c r="F363" s="10" t="s">
        <v>1112</v>
      </c>
      <c r="G363" s="10" t="s">
        <v>1127</v>
      </c>
      <c r="H363" s="15" t="n">
        <v>800</v>
      </c>
      <c r="I363" s="10"/>
      <c r="J363" s="15"/>
      <c r="K363" s="10"/>
      <c r="L363" s="10" t="s">
        <v>341</v>
      </c>
      <c r="M363" s="10" t="n">
        <v>1</v>
      </c>
      <c r="N363" s="10" t="s">
        <v>70</v>
      </c>
    </row>
    <row r="364" customFormat="false" ht="23.85" hidden="false" customHeight="false" outlineLevel="0" collapsed="false">
      <c r="A364" s="12" t="n">
        <v>46225</v>
      </c>
      <c r="B364" s="10" t="s">
        <v>47</v>
      </c>
      <c r="C364" s="10" t="s">
        <v>52</v>
      </c>
      <c r="D364" s="15" t="n">
        <v>80.12</v>
      </c>
      <c r="E364" s="10" t="s">
        <v>51</v>
      </c>
      <c r="F364" s="10" t="s">
        <v>1111</v>
      </c>
      <c r="G364" s="10"/>
      <c r="H364" s="15" t="n">
        <v>0</v>
      </c>
      <c r="I364" s="10" t="s">
        <v>52</v>
      </c>
      <c r="J364" s="10" t="n">
        <v>80.12</v>
      </c>
      <c r="K364" s="10" t="s">
        <v>51</v>
      </c>
      <c r="L364" s="10" t="s">
        <v>340</v>
      </c>
      <c r="M364" s="10" t="n">
        <v>1</v>
      </c>
      <c r="N364" s="10" t="s">
        <v>70</v>
      </c>
    </row>
    <row r="365" customFormat="false" ht="23.85" hidden="false" customHeight="false" outlineLevel="0" collapsed="false">
      <c r="A365" s="12" t="n">
        <v>46225</v>
      </c>
      <c r="B365" s="10" t="s">
        <v>63</v>
      </c>
      <c r="C365" s="10" t="s">
        <v>64</v>
      </c>
      <c r="D365" s="15" t="n">
        <v>20.03</v>
      </c>
      <c r="E365" s="10" t="s">
        <v>77</v>
      </c>
      <c r="F365" s="10" t="s">
        <v>1111</v>
      </c>
      <c r="G365" s="10"/>
      <c r="H365" s="15" t="n">
        <v>0</v>
      </c>
      <c r="I365" s="10"/>
      <c r="J365" s="10"/>
      <c r="K365" s="10"/>
      <c r="L365" s="10" t="s">
        <v>338</v>
      </c>
      <c r="M365" s="10" t="n">
        <v>1</v>
      </c>
      <c r="N365" s="10" t="s">
        <v>70</v>
      </c>
    </row>
    <row r="366" customFormat="false" ht="15" hidden="false" customHeight="false" outlineLevel="0" collapsed="false">
      <c r="A366" s="12" t="n">
        <v>46225</v>
      </c>
      <c r="B366" s="10" t="s">
        <v>63</v>
      </c>
      <c r="C366" s="10" t="s">
        <v>52</v>
      </c>
      <c r="D366" s="15" t="n">
        <v>80.12</v>
      </c>
      <c r="E366" s="10" t="s">
        <v>51</v>
      </c>
      <c r="F366" s="10" t="s">
        <v>1112</v>
      </c>
      <c r="G366" s="10" t="s">
        <v>1127</v>
      </c>
      <c r="H366" s="15" t="n">
        <v>800</v>
      </c>
      <c r="I366" s="10"/>
      <c r="J366" s="15"/>
      <c r="K366" s="10"/>
      <c r="L366" s="10" t="s">
        <v>336</v>
      </c>
      <c r="M366" s="10" t="n">
        <v>1</v>
      </c>
      <c r="N366" s="10" t="s">
        <v>65</v>
      </c>
    </row>
    <row r="367" customFormat="false" ht="23.85" hidden="false" customHeight="false" outlineLevel="0" collapsed="false">
      <c r="A367" s="12" t="n">
        <v>46225</v>
      </c>
      <c r="B367" s="10" t="s">
        <v>47</v>
      </c>
      <c r="C367" s="10" t="s">
        <v>52</v>
      </c>
      <c r="D367" s="15" t="n">
        <v>80.12</v>
      </c>
      <c r="E367" s="10" t="s">
        <v>51</v>
      </c>
      <c r="F367" s="10" t="s">
        <v>1111</v>
      </c>
      <c r="G367" s="10"/>
      <c r="H367" s="15" t="n">
        <v>0</v>
      </c>
      <c r="I367" s="10" t="s">
        <v>52</v>
      </c>
      <c r="J367" s="10" t="n">
        <v>80.12</v>
      </c>
      <c r="K367" s="10" t="s">
        <v>51</v>
      </c>
      <c r="L367" s="10" t="s">
        <v>335</v>
      </c>
      <c r="M367" s="10" t="n">
        <v>1</v>
      </c>
      <c r="N367" s="10" t="s">
        <v>70</v>
      </c>
    </row>
    <row r="368" customFormat="false" ht="23.85" hidden="false" customHeight="false" outlineLevel="0" collapsed="false">
      <c r="A368" s="12" t="n">
        <v>46225</v>
      </c>
      <c r="B368" s="10" t="s">
        <v>63</v>
      </c>
      <c r="C368" s="10" t="s">
        <v>64</v>
      </c>
      <c r="D368" s="15" t="n">
        <v>20.03</v>
      </c>
      <c r="E368" s="10" t="s">
        <v>77</v>
      </c>
      <c r="F368" s="10" t="s">
        <v>1111</v>
      </c>
      <c r="G368" s="10"/>
      <c r="H368" s="15" t="n">
        <v>0</v>
      </c>
      <c r="I368" s="10"/>
      <c r="J368" s="10"/>
      <c r="K368" s="10"/>
      <c r="L368" s="10" t="s">
        <v>333</v>
      </c>
      <c r="M368" s="10" t="n">
        <v>1</v>
      </c>
      <c r="N368" s="10" t="s">
        <v>70</v>
      </c>
    </row>
    <row r="369" customFormat="false" ht="23.85" hidden="false" customHeight="false" outlineLevel="0" collapsed="false">
      <c r="A369" s="12" t="n">
        <v>46225</v>
      </c>
      <c r="B369" s="10" t="s">
        <v>63</v>
      </c>
      <c r="C369" s="10" t="s">
        <v>52</v>
      </c>
      <c r="D369" s="15" t="n">
        <v>80.12</v>
      </c>
      <c r="E369" s="10" t="s">
        <v>51</v>
      </c>
      <c r="F369" s="10" t="s">
        <v>1112</v>
      </c>
      <c r="G369" s="10" t="s">
        <v>1117</v>
      </c>
      <c r="H369" s="15" t="n">
        <v>122</v>
      </c>
      <c r="I369" s="10"/>
      <c r="J369" s="15"/>
      <c r="K369" s="10"/>
      <c r="L369" s="10" t="s">
        <v>331</v>
      </c>
      <c r="M369" s="10" t="n">
        <v>1</v>
      </c>
      <c r="N369" s="10" t="s">
        <v>70</v>
      </c>
    </row>
    <row r="370" customFormat="false" ht="23.85" hidden="false" customHeight="false" outlineLevel="0" collapsed="false">
      <c r="A370" s="12" t="n">
        <v>46225</v>
      </c>
      <c r="B370" s="10" t="s">
        <v>47</v>
      </c>
      <c r="C370" s="10" t="s">
        <v>52</v>
      </c>
      <c r="D370" s="15" t="n">
        <v>80.12</v>
      </c>
      <c r="E370" s="10" t="s">
        <v>51</v>
      </c>
      <c r="F370" s="10" t="s">
        <v>1111</v>
      </c>
      <c r="G370" s="10"/>
      <c r="H370" s="15" t="n">
        <v>0</v>
      </c>
      <c r="I370" s="10" t="s">
        <v>52</v>
      </c>
      <c r="J370" s="10" t="n">
        <v>80.12</v>
      </c>
      <c r="K370" s="10" t="s">
        <v>51</v>
      </c>
      <c r="L370" s="10" t="s">
        <v>330</v>
      </c>
      <c r="M370" s="10" t="n">
        <v>1</v>
      </c>
      <c r="N370" s="10" t="s">
        <v>70</v>
      </c>
    </row>
    <row r="371" customFormat="false" ht="23.85" hidden="false" customHeight="false" outlineLevel="0" collapsed="false">
      <c r="A371" s="12" t="n">
        <v>46225</v>
      </c>
      <c r="B371" s="10" t="s">
        <v>63</v>
      </c>
      <c r="C371" s="10" t="s">
        <v>64</v>
      </c>
      <c r="D371" s="15" t="n">
        <v>20.03</v>
      </c>
      <c r="E371" s="10" t="s">
        <v>77</v>
      </c>
      <c r="F371" s="10" t="s">
        <v>1111</v>
      </c>
      <c r="G371" s="10"/>
      <c r="H371" s="15" t="n">
        <v>0</v>
      </c>
      <c r="I371" s="10"/>
      <c r="J371" s="10"/>
      <c r="K371" s="10"/>
      <c r="L371" s="10" t="s">
        <v>328</v>
      </c>
      <c r="M371" s="10" t="n">
        <v>1</v>
      </c>
      <c r="N371" s="10" t="s">
        <v>70</v>
      </c>
    </row>
    <row r="372" customFormat="false" ht="23.85" hidden="false" customHeight="false" outlineLevel="0" collapsed="false">
      <c r="A372" s="12" t="n">
        <v>46225</v>
      </c>
      <c r="B372" s="10" t="s">
        <v>63</v>
      </c>
      <c r="C372" s="10" t="s">
        <v>52</v>
      </c>
      <c r="D372" s="15" t="n">
        <v>80.12</v>
      </c>
      <c r="E372" s="10" t="s">
        <v>51</v>
      </c>
      <c r="F372" s="10" t="s">
        <v>1112</v>
      </c>
      <c r="G372" s="10" t="s">
        <v>1116</v>
      </c>
      <c r="H372" s="15" t="n">
        <v>610</v>
      </c>
      <c r="I372" s="10"/>
      <c r="J372" s="10"/>
      <c r="K372" s="10"/>
      <c r="L372" s="10" t="s">
        <v>326</v>
      </c>
      <c r="M372" s="10" t="n">
        <v>1</v>
      </c>
      <c r="N372" s="10" t="s">
        <v>70</v>
      </c>
    </row>
    <row r="373" customFormat="false" ht="23.85" hidden="false" customHeight="false" outlineLevel="0" collapsed="false">
      <c r="A373" s="12" t="n">
        <v>46225</v>
      </c>
      <c r="B373" s="10" t="s">
        <v>47</v>
      </c>
      <c r="C373" s="10" t="s">
        <v>52</v>
      </c>
      <c r="D373" s="15" t="n">
        <v>80.12</v>
      </c>
      <c r="E373" s="10" t="s">
        <v>51</v>
      </c>
      <c r="F373" s="10" t="s">
        <v>1111</v>
      </c>
      <c r="G373" s="10"/>
      <c r="H373" s="15" t="n">
        <v>0</v>
      </c>
      <c r="I373" s="10" t="s">
        <v>52</v>
      </c>
      <c r="J373" s="10" t="n">
        <v>80.12</v>
      </c>
      <c r="K373" s="10" t="s">
        <v>51</v>
      </c>
      <c r="L373" s="10" t="s">
        <v>325</v>
      </c>
      <c r="M373" s="10" t="n">
        <v>1</v>
      </c>
      <c r="N373" s="10" t="s">
        <v>70</v>
      </c>
    </row>
    <row r="374" customFormat="false" ht="23.85" hidden="false" customHeight="false" outlineLevel="0" collapsed="false">
      <c r="A374" s="12" t="n">
        <v>46225</v>
      </c>
      <c r="B374" s="10" t="s">
        <v>63</v>
      </c>
      <c r="C374" s="10" t="s">
        <v>64</v>
      </c>
      <c r="D374" s="15" t="n">
        <v>20.03</v>
      </c>
      <c r="E374" s="10" t="s">
        <v>77</v>
      </c>
      <c r="F374" s="10" t="s">
        <v>1111</v>
      </c>
      <c r="G374" s="10"/>
      <c r="H374" s="15" t="n">
        <v>0</v>
      </c>
      <c r="I374" s="10"/>
      <c r="J374" s="10"/>
      <c r="K374" s="10"/>
      <c r="L374" s="10" t="s">
        <v>323</v>
      </c>
      <c r="M374" s="10" t="n">
        <v>1</v>
      </c>
      <c r="N374" s="10" t="s">
        <v>70</v>
      </c>
    </row>
    <row r="375" customFormat="false" ht="23.85" hidden="false" customHeight="false" outlineLevel="0" collapsed="false">
      <c r="A375" s="12" t="n">
        <v>46225</v>
      </c>
      <c r="B375" s="10" t="s">
        <v>63</v>
      </c>
      <c r="C375" s="10" t="s">
        <v>52</v>
      </c>
      <c r="D375" s="15" t="n">
        <v>80.12</v>
      </c>
      <c r="E375" s="10" t="s">
        <v>51</v>
      </c>
      <c r="F375" s="10" t="s">
        <v>1112</v>
      </c>
      <c r="G375" s="10" t="s">
        <v>1117</v>
      </c>
      <c r="H375" s="15" t="n">
        <v>610</v>
      </c>
      <c r="I375" s="10"/>
      <c r="J375" s="15"/>
      <c r="K375" s="10"/>
      <c r="L375" s="10" t="s">
        <v>321</v>
      </c>
      <c r="M375" s="10" t="n">
        <v>1</v>
      </c>
      <c r="N375" s="10" t="s">
        <v>70</v>
      </c>
    </row>
    <row r="376" customFormat="false" ht="23.85" hidden="false" customHeight="false" outlineLevel="0" collapsed="false">
      <c r="A376" s="12" t="n">
        <v>46225</v>
      </c>
      <c r="B376" s="10" t="s">
        <v>47</v>
      </c>
      <c r="C376" s="10" t="s">
        <v>52</v>
      </c>
      <c r="D376" s="15" t="n">
        <v>80.12</v>
      </c>
      <c r="E376" s="10" t="s">
        <v>51</v>
      </c>
      <c r="F376" s="10" t="s">
        <v>1111</v>
      </c>
      <c r="G376" s="10"/>
      <c r="H376" s="15" t="n">
        <v>0</v>
      </c>
      <c r="I376" s="10" t="s">
        <v>52</v>
      </c>
      <c r="J376" s="10" t="n">
        <v>80.12</v>
      </c>
      <c r="K376" s="10" t="s">
        <v>51</v>
      </c>
      <c r="L376" s="10" t="s">
        <v>320</v>
      </c>
      <c r="M376" s="10" t="n">
        <v>1</v>
      </c>
      <c r="N376" s="10" t="s">
        <v>70</v>
      </c>
    </row>
    <row r="377" customFormat="false" ht="15" hidden="false" customHeight="false" outlineLevel="0" collapsed="false">
      <c r="A377" s="12" t="n">
        <v>46225</v>
      </c>
      <c r="B377" s="10" t="s">
        <v>63</v>
      </c>
      <c r="C377" s="10" t="s">
        <v>64</v>
      </c>
      <c r="D377" s="15" t="n">
        <v>20.03</v>
      </c>
      <c r="E377" s="10" t="s">
        <v>77</v>
      </c>
      <c r="F377" s="10" t="s">
        <v>1111</v>
      </c>
      <c r="G377" s="10"/>
      <c r="H377" s="15" t="n">
        <v>0</v>
      </c>
      <c r="I377" s="10"/>
      <c r="J377" s="10"/>
      <c r="K377" s="10"/>
      <c r="L377" s="10" t="s">
        <v>318</v>
      </c>
      <c r="M377" s="10" t="n">
        <v>1</v>
      </c>
      <c r="N377" s="10" t="s">
        <v>65</v>
      </c>
    </row>
    <row r="378" customFormat="false" ht="23.85" hidden="false" customHeight="false" outlineLevel="0" collapsed="false">
      <c r="A378" s="12" t="n">
        <v>46225</v>
      </c>
      <c r="B378" s="10" t="s">
        <v>107</v>
      </c>
      <c r="C378" s="10" t="s">
        <v>52</v>
      </c>
      <c r="D378" s="15" t="n">
        <v>70</v>
      </c>
      <c r="E378" s="10" t="s">
        <v>51</v>
      </c>
      <c r="F378" s="10" t="s">
        <v>1112</v>
      </c>
      <c r="G378" s="10" t="s">
        <v>1124</v>
      </c>
      <c r="H378" s="15" t="n">
        <v>240</v>
      </c>
      <c r="I378" s="10"/>
      <c r="J378" s="10"/>
      <c r="K378" s="10"/>
      <c r="L378" s="10" t="s">
        <v>316</v>
      </c>
      <c r="M378" s="10" t="n">
        <v>1</v>
      </c>
      <c r="N378" s="10" t="s">
        <v>70</v>
      </c>
    </row>
    <row r="379" customFormat="false" ht="15" hidden="false" customHeight="false" outlineLevel="0" collapsed="false">
      <c r="A379" s="12" t="n">
        <v>46225</v>
      </c>
      <c r="B379" s="10" t="s">
        <v>107</v>
      </c>
      <c r="C379" s="10" t="s">
        <v>52</v>
      </c>
      <c r="D379" s="15" t="n">
        <v>88.67</v>
      </c>
      <c r="E379" s="10" t="s">
        <v>51</v>
      </c>
      <c r="F379" s="10" t="s">
        <v>1112</v>
      </c>
      <c r="G379" s="10" t="s">
        <v>1126</v>
      </c>
      <c r="H379" s="15" t="n">
        <v>600</v>
      </c>
      <c r="I379" s="10"/>
      <c r="J379" s="10"/>
      <c r="K379" s="10"/>
      <c r="L379" s="10" t="s">
        <v>314</v>
      </c>
      <c r="M379" s="10" t="n">
        <v>1</v>
      </c>
      <c r="N379" s="10" t="s">
        <v>65</v>
      </c>
    </row>
    <row r="380" customFormat="false" ht="15" hidden="false" customHeight="false" outlineLevel="0" collapsed="false">
      <c r="A380" s="12" t="n">
        <v>46225</v>
      </c>
      <c r="B380" s="10" t="s">
        <v>63</v>
      </c>
      <c r="C380" s="10" t="s">
        <v>64</v>
      </c>
      <c r="D380" s="15" t="n">
        <v>15.56</v>
      </c>
      <c r="E380" s="10" t="s">
        <v>77</v>
      </c>
      <c r="F380" s="10" t="s">
        <v>1111</v>
      </c>
      <c r="G380" s="10"/>
      <c r="H380" s="15" t="n">
        <v>0</v>
      </c>
      <c r="I380" s="10"/>
      <c r="J380" s="10"/>
      <c r="K380" s="10"/>
      <c r="L380" s="10" t="s">
        <v>312</v>
      </c>
      <c r="M380" s="10" t="n">
        <v>1</v>
      </c>
      <c r="N380" s="10" t="s">
        <v>242</v>
      </c>
    </row>
    <row r="381" customFormat="false" ht="23.85" hidden="false" customHeight="false" outlineLevel="0" collapsed="false">
      <c r="A381" s="12" t="n">
        <v>46225</v>
      </c>
      <c r="B381" s="10" t="s">
        <v>63</v>
      </c>
      <c r="C381" s="10" t="s">
        <v>52</v>
      </c>
      <c r="D381" s="15" t="n">
        <v>80.12</v>
      </c>
      <c r="E381" s="10" t="s">
        <v>51</v>
      </c>
      <c r="F381" s="10" t="s">
        <v>1112</v>
      </c>
      <c r="G381" s="10" t="s">
        <v>1116</v>
      </c>
      <c r="H381" s="15" t="n">
        <v>610</v>
      </c>
      <c r="I381" s="10"/>
      <c r="J381" s="10"/>
      <c r="K381" s="10"/>
      <c r="L381" s="10" t="s">
        <v>310</v>
      </c>
      <c r="M381" s="10" t="n">
        <v>1</v>
      </c>
      <c r="N381" s="10" t="s">
        <v>70</v>
      </c>
    </row>
    <row r="382" customFormat="false" ht="15" hidden="false" customHeight="false" outlineLevel="0" collapsed="false">
      <c r="A382" s="12" t="n">
        <v>46225</v>
      </c>
      <c r="B382" s="10" t="s">
        <v>47</v>
      </c>
      <c r="C382" s="10" t="s">
        <v>52</v>
      </c>
      <c r="D382" s="15" t="n">
        <v>80.12</v>
      </c>
      <c r="E382" s="10" t="s">
        <v>51</v>
      </c>
      <c r="F382" s="10" t="s">
        <v>1111</v>
      </c>
      <c r="G382" s="10"/>
      <c r="H382" s="15" t="n">
        <v>0</v>
      </c>
      <c r="I382" s="10" t="s">
        <v>52</v>
      </c>
      <c r="J382" s="15" t="n">
        <v>80.12</v>
      </c>
      <c r="K382" s="10" t="s">
        <v>51</v>
      </c>
      <c r="L382" s="10" t="s">
        <v>308</v>
      </c>
      <c r="M382" s="10" t="n">
        <v>1</v>
      </c>
      <c r="N382" s="10" t="s">
        <v>65</v>
      </c>
    </row>
    <row r="383" customFormat="false" ht="23.85" hidden="false" customHeight="false" outlineLevel="0" collapsed="false">
      <c r="A383" s="12" t="n">
        <v>46225</v>
      </c>
      <c r="B383" s="10" t="s">
        <v>63</v>
      </c>
      <c r="C383" s="10" t="s">
        <v>64</v>
      </c>
      <c r="D383" s="15" t="n">
        <v>20.03</v>
      </c>
      <c r="E383" s="10" t="s">
        <v>77</v>
      </c>
      <c r="F383" s="10" t="s">
        <v>1111</v>
      </c>
      <c r="G383" s="10"/>
      <c r="H383" s="15" t="n">
        <v>0</v>
      </c>
      <c r="I383" s="10"/>
      <c r="J383" s="10"/>
      <c r="K383" s="10"/>
      <c r="L383" s="10" t="s">
        <v>306</v>
      </c>
      <c r="M383" s="10" t="n">
        <v>1</v>
      </c>
      <c r="N383" s="10" t="s">
        <v>70</v>
      </c>
    </row>
    <row r="384" customFormat="false" ht="23.85" hidden="false" customHeight="false" outlineLevel="0" collapsed="false">
      <c r="A384" s="12" t="n">
        <v>46225</v>
      </c>
      <c r="B384" s="10" t="s">
        <v>63</v>
      </c>
      <c r="C384" s="10" t="s">
        <v>64</v>
      </c>
      <c r="D384" s="15" t="n">
        <v>29.03</v>
      </c>
      <c r="E384" s="10" t="s">
        <v>77</v>
      </c>
      <c r="F384" s="10" t="s">
        <v>1111</v>
      </c>
      <c r="G384" s="10"/>
      <c r="H384" s="15" t="n">
        <v>0</v>
      </c>
      <c r="I384" s="10"/>
      <c r="J384" s="10"/>
      <c r="K384" s="10"/>
      <c r="L384" s="10" t="s">
        <v>303</v>
      </c>
      <c r="M384" s="10" t="n">
        <v>1</v>
      </c>
      <c r="N384" s="10" t="s">
        <v>302</v>
      </c>
    </row>
    <row r="385" customFormat="false" ht="15" hidden="false" customHeight="false" outlineLevel="0" collapsed="false">
      <c r="A385" s="12" t="n">
        <v>46225</v>
      </c>
      <c r="B385" s="10" t="s">
        <v>63</v>
      </c>
      <c r="C385" s="10" t="s">
        <v>64</v>
      </c>
      <c r="D385" s="15" t="n">
        <v>29.02</v>
      </c>
      <c r="E385" s="10" t="s">
        <v>77</v>
      </c>
      <c r="F385" s="10" t="s">
        <v>1111</v>
      </c>
      <c r="G385" s="10"/>
      <c r="H385" s="15" t="n">
        <v>0</v>
      </c>
      <c r="I385" s="10"/>
      <c r="J385" s="15"/>
      <c r="K385" s="10"/>
      <c r="L385" s="10" t="s">
        <v>300</v>
      </c>
      <c r="M385" s="10" t="n">
        <v>1</v>
      </c>
      <c r="N385" s="10" t="s">
        <v>299</v>
      </c>
    </row>
    <row r="386" customFormat="false" ht="23.85" hidden="false" customHeight="false" outlineLevel="0" collapsed="false">
      <c r="A386" s="12" t="n">
        <v>46225</v>
      </c>
      <c r="B386" s="10" t="s">
        <v>107</v>
      </c>
      <c r="C386" s="10" t="s">
        <v>52</v>
      </c>
      <c r="D386" s="15" t="n">
        <v>88</v>
      </c>
      <c r="E386" s="10" t="s">
        <v>51</v>
      </c>
      <c r="F386" s="10" t="s">
        <v>1112</v>
      </c>
      <c r="G386" s="10" t="s">
        <v>1126</v>
      </c>
      <c r="H386" s="15" t="n">
        <v>600</v>
      </c>
      <c r="I386" s="10"/>
      <c r="J386" s="10"/>
      <c r="K386" s="10"/>
      <c r="L386" s="10" t="s">
        <v>297</v>
      </c>
      <c r="M386" s="10" t="n">
        <v>1</v>
      </c>
      <c r="N386" s="10" t="s">
        <v>70</v>
      </c>
    </row>
    <row r="387" customFormat="false" ht="15" hidden="false" customHeight="false" outlineLevel="0" collapsed="false">
      <c r="A387" s="12" t="n">
        <v>46225</v>
      </c>
      <c r="B387" s="10" t="s">
        <v>107</v>
      </c>
      <c r="C387" s="10" t="s">
        <v>52</v>
      </c>
      <c r="D387" s="15" t="n">
        <v>69.72</v>
      </c>
      <c r="E387" s="10" t="s">
        <v>51</v>
      </c>
      <c r="F387" s="10" t="s">
        <v>1112</v>
      </c>
      <c r="G387" s="10" t="s">
        <v>1124</v>
      </c>
      <c r="H387" s="15" t="n">
        <v>240</v>
      </c>
      <c r="I387" s="10"/>
      <c r="J387" s="10"/>
      <c r="K387" s="10"/>
      <c r="L387" s="10" t="s">
        <v>295</v>
      </c>
      <c r="M387" s="10" t="n">
        <v>1</v>
      </c>
      <c r="N387" s="10" t="s">
        <v>65</v>
      </c>
    </row>
    <row r="388" customFormat="false" ht="23.85" hidden="false" customHeight="false" outlineLevel="0" collapsed="false">
      <c r="A388" s="12" t="n">
        <v>46224</v>
      </c>
      <c r="B388" s="10" t="s">
        <v>63</v>
      </c>
      <c r="C388" s="10" t="s">
        <v>258</v>
      </c>
      <c r="D388" s="15" t="n">
        <v>80</v>
      </c>
      <c r="E388" s="10" t="s">
        <v>51</v>
      </c>
      <c r="F388" s="10" t="s">
        <v>1112</v>
      </c>
      <c r="G388" s="10" t="s">
        <v>1116</v>
      </c>
      <c r="H388" s="15" t="n">
        <v>700</v>
      </c>
      <c r="I388" s="10"/>
      <c r="J388" s="10"/>
      <c r="K388" s="10"/>
      <c r="L388" s="10" t="s">
        <v>293</v>
      </c>
      <c r="M388" s="10" t="n">
        <v>1</v>
      </c>
      <c r="N388" s="10" t="s">
        <v>70</v>
      </c>
    </row>
    <row r="389" customFormat="false" ht="23.85" hidden="false" customHeight="false" outlineLevel="0" collapsed="false">
      <c r="A389" s="12" t="n">
        <v>46224</v>
      </c>
      <c r="B389" s="10" t="s">
        <v>47</v>
      </c>
      <c r="C389" s="10" t="s">
        <v>258</v>
      </c>
      <c r="D389" s="15" t="n">
        <v>80</v>
      </c>
      <c r="E389" s="10" t="s">
        <v>51</v>
      </c>
      <c r="F389" s="10" t="s">
        <v>1111</v>
      </c>
      <c r="G389" s="10"/>
      <c r="H389" s="15" t="n">
        <v>0</v>
      </c>
      <c r="I389" s="10" t="s">
        <v>258</v>
      </c>
      <c r="J389" s="15" t="n">
        <v>80</v>
      </c>
      <c r="K389" s="10" t="s">
        <v>51</v>
      </c>
      <c r="L389" s="10" t="s">
        <v>292</v>
      </c>
      <c r="M389" s="10" t="n">
        <v>1</v>
      </c>
      <c r="N389" s="10" t="s">
        <v>70</v>
      </c>
    </row>
    <row r="390" customFormat="false" ht="23.85" hidden="false" customHeight="false" outlineLevel="0" collapsed="false">
      <c r="A390" s="12" t="n">
        <v>46224</v>
      </c>
      <c r="B390" s="10" t="s">
        <v>63</v>
      </c>
      <c r="C390" s="10" t="s">
        <v>255</v>
      </c>
      <c r="D390" s="15" t="n">
        <v>80</v>
      </c>
      <c r="E390" s="10" t="s">
        <v>51</v>
      </c>
      <c r="F390" s="10" t="s">
        <v>1111</v>
      </c>
      <c r="G390" s="10"/>
      <c r="H390" s="15" t="n">
        <v>0</v>
      </c>
      <c r="I390" s="10"/>
      <c r="J390" s="10"/>
      <c r="K390" s="10"/>
      <c r="L390" s="10" t="s">
        <v>291</v>
      </c>
      <c r="M390" s="10" t="n">
        <v>1</v>
      </c>
      <c r="N390" s="10" t="s">
        <v>70</v>
      </c>
    </row>
    <row r="391" customFormat="false" ht="23.85" hidden="false" customHeight="false" outlineLevel="0" collapsed="false">
      <c r="A391" s="12" t="n">
        <v>46224</v>
      </c>
      <c r="B391" s="10" t="s">
        <v>63</v>
      </c>
      <c r="C391" s="10" t="s">
        <v>258</v>
      </c>
      <c r="D391" s="15" t="n">
        <v>80</v>
      </c>
      <c r="E391" s="10" t="s">
        <v>51</v>
      </c>
      <c r="F391" s="10" t="s">
        <v>1112</v>
      </c>
      <c r="G391" s="10" t="s">
        <v>1117</v>
      </c>
      <c r="H391" s="15" t="n">
        <v>700</v>
      </c>
      <c r="I391" s="10"/>
      <c r="J391" s="10"/>
      <c r="K391" s="10"/>
      <c r="L391" s="10" t="s">
        <v>289</v>
      </c>
      <c r="M391" s="10" t="n">
        <v>1</v>
      </c>
      <c r="N391" s="10" t="s">
        <v>70</v>
      </c>
    </row>
    <row r="392" customFormat="false" ht="23.85" hidden="false" customHeight="false" outlineLevel="0" collapsed="false">
      <c r="A392" s="12" t="n">
        <v>46224</v>
      </c>
      <c r="B392" s="10" t="s">
        <v>47</v>
      </c>
      <c r="C392" s="10" t="s">
        <v>258</v>
      </c>
      <c r="D392" s="15" t="n">
        <v>80</v>
      </c>
      <c r="E392" s="10" t="s">
        <v>51</v>
      </c>
      <c r="F392" s="10" t="s">
        <v>1111</v>
      </c>
      <c r="G392" s="10"/>
      <c r="H392" s="15" t="n">
        <v>0</v>
      </c>
      <c r="I392" s="10" t="s">
        <v>258</v>
      </c>
      <c r="J392" s="10" t="n">
        <v>80</v>
      </c>
      <c r="K392" s="10" t="s">
        <v>51</v>
      </c>
      <c r="L392" s="10" t="s">
        <v>288</v>
      </c>
      <c r="M392" s="10" t="n">
        <v>1</v>
      </c>
      <c r="N392" s="10" t="s">
        <v>70</v>
      </c>
    </row>
    <row r="393" customFormat="false" ht="15" hidden="false" customHeight="false" outlineLevel="0" collapsed="false">
      <c r="A393" s="12" t="n">
        <v>46224</v>
      </c>
      <c r="B393" s="10" t="s">
        <v>63</v>
      </c>
      <c r="C393" s="10" t="s">
        <v>255</v>
      </c>
      <c r="D393" s="15" t="n">
        <v>80</v>
      </c>
      <c r="E393" s="10" t="s">
        <v>51</v>
      </c>
      <c r="F393" s="10" t="s">
        <v>1111</v>
      </c>
      <c r="G393" s="10"/>
      <c r="H393" s="15" t="n">
        <v>0</v>
      </c>
      <c r="I393" s="10"/>
      <c r="J393" s="10"/>
      <c r="K393" s="10"/>
      <c r="L393" s="10" t="s">
        <v>287</v>
      </c>
      <c r="M393" s="10" t="n">
        <v>1</v>
      </c>
      <c r="N393" s="10" t="s">
        <v>65</v>
      </c>
    </row>
    <row r="394" customFormat="false" ht="23.85" hidden="false" customHeight="false" outlineLevel="0" collapsed="false">
      <c r="A394" s="12" t="n">
        <v>46224</v>
      </c>
      <c r="B394" s="10" t="s">
        <v>63</v>
      </c>
      <c r="C394" s="10" t="s">
        <v>220</v>
      </c>
      <c r="D394" s="15" t="n">
        <v>1095.5</v>
      </c>
      <c r="E394" s="10" t="s">
        <v>103</v>
      </c>
      <c r="F394" s="10" t="s">
        <v>1112</v>
      </c>
      <c r="G394" s="10" t="s">
        <v>221</v>
      </c>
      <c r="H394" s="15" t="n">
        <v>0</v>
      </c>
      <c r="I394" s="10"/>
      <c r="J394" s="10"/>
      <c r="K394" s="10"/>
      <c r="L394" s="10" t="s">
        <v>285</v>
      </c>
      <c r="M394" s="10" t="n">
        <v>1</v>
      </c>
      <c r="N394" s="10" t="s">
        <v>284</v>
      </c>
    </row>
    <row r="395" customFormat="false" ht="23.85" hidden="false" customHeight="false" outlineLevel="0" collapsed="false">
      <c r="A395" s="12" t="n">
        <v>46224</v>
      </c>
      <c r="B395" s="10" t="s">
        <v>63</v>
      </c>
      <c r="C395" s="10" t="s">
        <v>258</v>
      </c>
      <c r="D395" s="15" t="n">
        <v>80</v>
      </c>
      <c r="E395" s="10" t="s">
        <v>51</v>
      </c>
      <c r="F395" s="10" t="s">
        <v>1112</v>
      </c>
      <c r="G395" s="10" t="s">
        <v>1117</v>
      </c>
      <c r="H395" s="15" t="n">
        <v>700</v>
      </c>
      <c r="I395" s="10"/>
      <c r="J395" s="10"/>
      <c r="K395" s="10"/>
      <c r="L395" s="10" t="s">
        <v>282</v>
      </c>
      <c r="M395" s="10" t="n">
        <v>1</v>
      </c>
      <c r="N395" s="10" t="s">
        <v>70</v>
      </c>
    </row>
    <row r="396" customFormat="false" ht="15" hidden="false" customHeight="false" outlineLevel="0" collapsed="false">
      <c r="A396" s="12" t="n">
        <v>46224</v>
      </c>
      <c r="B396" s="10" t="s">
        <v>47</v>
      </c>
      <c r="C396" s="10" t="s">
        <v>258</v>
      </c>
      <c r="D396" s="15" t="n">
        <v>80</v>
      </c>
      <c r="E396" s="10" t="s">
        <v>51</v>
      </c>
      <c r="F396" s="10" t="s">
        <v>1111</v>
      </c>
      <c r="G396" s="10"/>
      <c r="H396" s="15" t="n">
        <v>0</v>
      </c>
      <c r="I396" s="10" t="s">
        <v>258</v>
      </c>
      <c r="J396" s="10" t="n">
        <v>80</v>
      </c>
      <c r="K396" s="10" t="s">
        <v>51</v>
      </c>
      <c r="L396" s="10" t="s">
        <v>280</v>
      </c>
      <c r="M396" s="10" t="n">
        <v>1</v>
      </c>
      <c r="N396" s="10" t="s">
        <v>65</v>
      </c>
    </row>
    <row r="397" customFormat="false" ht="23.85" hidden="false" customHeight="false" outlineLevel="0" collapsed="false">
      <c r="A397" s="12" t="n">
        <v>46224</v>
      </c>
      <c r="B397" s="10" t="s">
        <v>63</v>
      </c>
      <c r="C397" s="10" t="s">
        <v>255</v>
      </c>
      <c r="D397" s="15" t="n">
        <v>80</v>
      </c>
      <c r="E397" s="10" t="s">
        <v>51</v>
      </c>
      <c r="F397" s="10" t="s">
        <v>1111</v>
      </c>
      <c r="G397" s="10"/>
      <c r="H397" s="15" t="n">
        <v>0</v>
      </c>
      <c r="I397" s="10"/>
      <c r="J397" s="15"/>
      <c r="K397" s="10"/>
      <c r="L397" s="10" t="s">
        <v>279</v>
      </c>
      <c r="M397" s="10" t="n">
        <v>1</v>
      </c>
      <c r="N397" s="10" t="s">
        <v>70</v>
      </c>
    </row>
    <row r="398" customFormat="false" ht="23.85" hidden="false" customHeight="false" outlineLevel="0" collapsed="false">
      <c r="A398" s="12" t="n">
        <v>46224</v>
      </c>
      <c r="B398" s="10" t="s">
        <v>63</v>
      </c>
      <c r="C398" s="10" t="s">
        <v>104</v>
      </c>
      <c r="D398" s="15" t="n">
        <v>27.42</v>
      </c>
      <c r="E398" s="10" t="s">
        <v>103</v>
      </c>
      <c r="F398" s="10" t="s">
        <v>1111</v>
      </c>
      <c r="G398" s="10"/>
      <c r="H398" s="15" t="n">
        <v>0</v>
      </c>
      <c r="I398" s="10"/>
      <c r="J398" s="10"/>
      <c r="K398" s="10"/>
      <c r="L398" s="10" t="s">
        <v>276</v>
      </c>
      <c r="M398" s="10" t="n">
        <v>1</v>
      </c>
      <c r="N398" s="10" t="s">
        <v>275</v>
      </c>
    </row>
    <row r="399" customFormat="false" ht="23.85" hidden="false" customHeight="false" outlineLevel="0" collapsed="false">
      <c r="A399" s="12" t="n">
        <v>46224</v>
      </c>
      <c r="B399" s="10" t="s">
        <v>107</v>
      </c>
      <c r="C399" s="10" t="s">
        <v>52</v>
      </c>
      <c r="D399" s="15" t="n">
        <v>58</v>
      </c>
      <c r="E399" s="10" t="s">
        <v>51</v>
      </c>
      <c r="F399" s="10" t="s">
        <v>1112</v>
      </c>
      <c r="G399" s="10" t="s">
        <v>1124</v>
      </c>
      <c r="H399" s="10" t="n">
        <v>240</v>
      </c>
      <c r="I399" s="10"/>
      <c r="J399" s="15"/>
      <c r="K399" s="10"/>
      <c r="L399" s="10" t="s">
        <v>273</v>
      </c>
      <c r="M399" s="10" t="n">
        <v>1</v>
      </c>
      <c r="N399" s="10" t="s">
        <v>70</v>
      </c>
    </row>
    <row r="400" customFormat="false" ht="15" hidden="false" customHeight="false" outlineLevel="0" collapsed="false">
      <c r="A400" s="12" t="n">
        <v>46224</v>
      </c>
      <c r="B400" s="10" t="s">
        <v>107</v>
      </c>
      <c r="C400" s="10" t="s">
        <v>52</v>
      </c>
      <c r="D400" s="15" t="n">
        <v>86</v>
      </c>
      <c r="E400" s="10" t="s">
        <v>51</v>
      </c>
      <c r="F400" s="10" t="s">
        <v>1112</v>
      </c>
      <c r="G400" s="10" t="s">
        <v>1126</v>
      </c>
      <c r="H400" s="15" t="n">
        <v>600</v>
      </c>
      <c r="I400" s="10"/>
      <c r="J400" s="10"/>
      <c r="K400" s="10"/>
      <c r="L400" s="10" t="s">
        <v>271</v>
      </c>
      <c r="M400" s="10" t="n">
        <v>1</v>
      </c>
      <c r="N400" s="10" t="s">
        <v>65</v>
      </c>
    </row>
    <row r="401" customFormat="false" ht="23.85" hidden="false" customHeight="false" outlineLevel="0" collapsed="false">
      <c r="A401" s="12" t="n">
        <v>46224</v>
      </c>
      <c r="B401" s="10" t="s">
        <v>107</v>
      </c>
      <c r="C401" s="10" t="s">
        <v>52</v>
      </c>
      <c r="D401" s="15" t="n">
        <v>55.44</v>
      </c>
      <c r="E401" s="10" t="s">
        <v>51</v>
      </c>
      <c r="F401" s="10" t="s">
        <v>1112</v>
      </c>
      <c r="G401" s="10" t="s">
        <v>1124</v>
      </c>
      <c r="H401" s="15" t="n">
        <v>240</v>
      </c>
      <c r="I401" s="10"/>
      <c r="J401" s="10"/>
      <c r="K401" s="10"/>
      <c r="L401" s="10" t="s">
        <v>269</v>
      </c>
      <c r="M401" s="10" t="n">
        <v>1</v>
      </c>
      <c r="N401" s="10" t="s">
        <v>70</v>
      </c>
    </row>
    <row r="402" customFormat="false" ht="23.85" hidden="false" customHeight="false" outlineLevel="0" collapsed="false">
      <c r="A402" s="12" t="n">
        <v>46224</v>
      </c>
      <c r="B402" s="10" t="s">
        <v>107</v>
      </c>
      <c r="C402" s="10" t="s">
        <v>52</v>
      </c>
      <c r="D402" s="15" t="n">
        <v>89.98</v>
      </c>
      <c r="E402" s="10" t="s">
        <v>51</v>
      </c>
      <c r="F402" s="10" t="s">
        <v>1112</v>
      </c>
      <c r="G402" s="10" t="s">
        <v>1126</v>
      </c>
      <c r="H402" s="15" t="n">
        <v>600</v>
      </c>
      <c r="I402" s="10"/>
      <c r="J402" s="10"/>
      <c r="K402" s="10"/>
      <c r="L402" s="10" t="s">
        <v>267</v>
      </c>
      <c r="M402" s="10" t="n">
        <v>1</v>
      </c>
      <c r="N402" s="10" t="s">
        <v>70</v>
      </c>
    </row>
    <row r="403" customFormat="false" ht="23.85" hidden="false" customHeight="false" outlineLevel="0" collapsed="false">
      <c r="A403" s="12" t="n">
        <v>46223</v>
      </c>
      <c r="B403" s="10" t="s">
        <v>63</v>
      </c>
      <c r="C403" s="10" t="s">
        <v>258</v>
      </c>
      <c r="D403" s="15" t="n">
        <v>89</v>
      </c>
      <c r="E403" s="10" t="s">
        <v>51</v>
      </c>
      <c r="F403" s="10" t="s">
        <v>1112</v>
      </c>
      <c r="G403" s="10" t="s">
        <v>1117</v>
      </c>
      <c r="H403" s="15" t="n">
        <v>600</v>
      </c>
      <c r="I403" s="10"/>
      <c r="J403" s="10"/>
      <c r="K403" s="10"/>
      <c r="L403" s="10" t="s">
        <v>265</v>
      </c>
      <c r="M403" s="10" t="n">
        <v>1</v>
      </c>
      <c r="N403" s="10" t="s">
        <v>70</v>
      </c>
    </row>
    <row r="404" customFormat="false" ht="15" hidden="false" customHeight="false" outlineLevel="0" collapsed="false">
      <c r="A404" s="12" t="n">
        <v>46223</v>
      </c>
      <c r="B404" s="10" t="s">
        <v>47</v>
      </c>
      <c r="C404" s="10" t="s">
        <v>258</v>
      </c>
      <c r="D404" s="15" t="n">
        <v>89</v>
      </c>
      <c r="E404" s="10" t="s">
        <v>51</v>
      </c>
      <c r="F404" s="10" t="s">
        <v>1111</v>
      </c>
      <c r="G404" s="10"/>
      <c r="H404" s="15" t="n">
        <v>0</v>
      </c>
      <c r="I404" s="10" t="s">
        <v>258</v>
      </c>
      <c r="J404" s="10" t="n">
        <v>89</v>
      </c>
      <c r="K404" s="10" t="s">
        <v>51</v>
      </c>
      <c r="L404" s="10" t="s">
        <v>264</v>
      </c>
      <c r="M404" s="10" t="n">
        <v>1</v>
      </c>
      <c r="N404" s="10" t="s">
        <v>65</v>
      </c>
    </row>
    <row r="405" customFormat="false" ht="15" hidden="false" customHeight="false" outlineLevel="0" collapsed="false">
      <c r="A405" s="12" t="n">
        <v>46223</v>
      </c>
      <c r="B405" s="10" t="s">
        <v>63</v>
      </c>
      <c r="C405" s="10" t="s">
        <v>258</v>
      </c>
      <c r="D405" s="15" t="n">
        <v>89</v>
      </c>
      <c r="E405" s="10" t="s">
        <v>51</v>
      </c>
      <c r="F405" s="10" t="s">
        <v>1112</v>
      </c>
      <c r="G405" s="10" t="s">
        <v>1116</v>
      </c>
      <c r="H405" s="15" t="n">
        <v>600</v>
      </c>
      <c r="I405" s="10"/>
      <c r="J405" s="10"/>
      <c r="K405" s="10"/>
      <c r="L405" s="10" t="s">
        <v>262</v>
      </c>
      <c r="M405" s="10" t="n">
        <v>1</v>
      </c>
      <c r="N405" s="10" t="s">
        <v>65</v>
      </c>
    </row>
    <row r="406" customFormat="false" ht="23.85" hidden="false" customHeight="false" outlineLevel="0" collapsed="false">
      <c r="A406" s="12" t="n">
        <v>46223</v>
      </c>
      <c r="B406" s="10" t="s">
        <v>47</v>
      </c>
      <c r="C406" s="10" t="s">
        <v>258</v>
      </c>
      <c r="D406" s="15" t="n">
        <v>89</v>
      </c>
      <c r="E406" s="10" t="s">
        <v>51</v>
      </c>
      <c r="F406" s="10" t="s">
        <v>1111</v>
      </c>
      <c r="G406" s="10"/>
      <c r="H406" s="15"/>
      <c r="I406" s="10" t="s">
        <v>258</v>
      </c>
      <c r="J406" s="10" t="n">
        <v>89</v>
      </c>
      <c r="K406" s="10" t="s">
        <v>51</v>
      </c>
      <c r="L406" s="10" t="s">
        <v>259</v>
      </c>
      <c r="M406" s="10" t="n">
        <v>1</v>
      </c>
      <c r="N406" s="10" t="s">
        <v>70</v>
      </c>
    </row>
    <row r="407" customFormat="false" ht="15" hidden="false" customHeight="false" outlineLevel="0" collapsed="false">
      <c r="A407" s="12" t="n">
        <v>46223</v>
      </c>
      <c r="B407" s="10" t="s">
        <v>63</v>
      </c>
      <c r="C407" s="10" t="s">
        <v>255</v>
      </c>
      <c r="D407" s="15" t="n">
        <v>178</v>
      </c>
      <c r="E407" s="10" t="s">
        <v>51</v>
      </c>
      <c r="F407" s="10" t="s">
        <v>1111</v>
      </c>
      <c r="G407" s="10"/>
      <c r="H407" s="15" t="n">
        <v>0</v>
      </c>
      <c r="I407" s="10"/>
      <c r="J407" s="10"/>
      <c r="K407" s="10"/>
      <c r="L407" s="10" t="s">
        <v>256</v>
      </c>
      <c r="M407" s="10" t="n">
        <v>1</v>
      </c>
      <c r="N407" s="10" t="s">
        <v>65</v>
      </c>
    </row>
    <row r="408" customFormat="false" ht="15" hidden="false" customHeight="false" outlineLevel="0" collapsed="false">
      <c r="A408" s="12" t="n">
        <v>46223</v>
      </c>
      <c r="B408" s="10" t="s">
        <v>63</v>
      </c>
      <c r="C408" s="10" t="s">
        <v>104</v>
      </c>
      <c r="D408" s="15" t="n">
        <v>30.5</v>
      </c>
      <c r="E408" s="10" t="s">
        <v>103</v>
      </c>
      <c r="F408" s="10" t="s">
        <v>1111</v>
      </c>
      <c r="G408" s="10"/>
      <c r="H408" s="15" t="n">
        <v>0</v>
      </c>
      <c r="I408" s="10"/>
      <c r="J408" s="10"/>
      <c r="K408" s="10"/>
      <c r="L408" s="10" t="s">
        <v>252</v>
      </c>
      <c r="M408" s="10" t="n">
        <v>1</v>
      </c>
      <c r="N408" s="10" t="s">
        <v>251</v>
      </c>
    </row>
    <row r="409" customFormat="false" ht="23.85" hidden="false" customHeight="false" outlineLevel="0" collapsed="false">
      <c r="A409" s="12" t="n">
        <v>46223</v>
      </c>
      <c r="B409" s="10" t="s">
        <v>63</v>
      </c>
      <c r="C409" s="10" t="s">
        <v>64</v>
      </c>
      <c r="D409" s="15" t="n">
        <v>28.86</v>
      </c>
      <c r="E409" s="10" t="s">
        <v>77</v>
      </c>
      <c r="F409" s="10" t="s">
        <v>1111</v>
      </c>
      <c r="G409" s="10"/>
      <c r="H409" s="15" t="n">
        <v>0</v>
      </c>
      <c r="I409" s="10"/>
      <c r="J409" s="10"/>
      <c r="K409" s="10"/>
      <c r="L409" s="10" t="s">
        <v>249</v>
      </c>
      <c r="M409" s="10" t="n">
        <v>1</v>
      </c>
      <c r="N409" s="10" t="s">
        <v>248</v>
      </c>
    </row>
    <row r="410" customFormat="false" ht="15" hidden="false" customHeight="false" outlineLevel="0" collapsed="false">
      <c r="A410" s="12" t="n">
        <v>46223</v>
      </c>
      <c r="B410" s="10" t="s">
        <v>63</v>
      </c>
      <c r="C410" s="10" t="s">
        <v>64</v>
      </c>
      <c r="D410" s="15" t="n">
        <v>28.57</v>
      </c>
      <c r="E410" s="10" t="s">
        <v>77</v>
      </c>
      <c r="F410" s="10" t="s">
        <v>1111</v>
      </c>
      <c r="G410" s="10"/>
      <c r="H410" s="15" t="n">
        <v>0</v>
      </c>
      <c r="I410" s="10"/>
      <c r="J410" s="10"/>
      <c r="K410" s="10"/>
      <c r="L410" s="10" t="s">
        <v>246</v>
      </c>
      <c r="M410" s="10" t="n">
        <v>1</v>
      </c>
      <c r="N410" s="10" t="s">
        <v>245</v>
      </c>
    </row>
    <row r="411" customFormat="false" ht="15" hidden="false" customHeight="false" outlineLevel="0" collapsed="false">
      <c r="A411" s="12" t="n">
        <v>46220</v>
      </c>
      <c r="B411" s="10" t="s">
        <v>63</v>
      </c>
      <c r="C411" s="10" t="s">
        <v>64</v>
      </c>
      <c r="D411" s="15" t="n">
        <v>29.9</v>
      </c>
      <c r="E411" s="10" t="s">
        <v>77</v>
      </c>
      <c r="F411" s="10" t="s">
        <v>1111</v>
      </c>
      <c r="G411" s="10"/>
      <c r="H411" s="15" t="n">
        <v>0</v>
      </c>
      <c r="I411" s="10"/>
      <c r="J411" s="10"/>
      <c r="K411" s="10"/>
      <c r="L411" s="10" t="s">
        <v>243</v>
      </c>
      <c r="M411" s="10" t="n">
        <v>1</v>
      </c>
      <c r="N411" s="10" t="s">
        <v>242</v>
      </c>
    </row>
    <row r="412" customFormat="false" ht="23.85" hidden="false" customHeight="false" outlineLevel="0" collapsed="false">
      <c r="A412" s="12" t="n">
        <v>46220</v>
      </c>
      <c r="B412" s="10" t="s">
        <v>63</v>
      </c>
      <c r="C412" s="10" t="s">
        <v>64</v>
      </c>
      <c r="D412" s="15" t="n">
        <v>30</v>
      </c>
      <c r="E412" s="10" t="s">
        <v>77</v>
      </c>
      <c r="F412" s="10" t="s">
        <v>1111</v>
      </c>
      <c r="G412" s="10"/>
      <c r="H412" s="15" t="n">
        <v>0</v>
      </c>
      <c r="I412" s="10"/>
      <c r="J412" s="10"/>
      <c r="K412" s="10"/>
      <c r="L412" s="10" t="s">
        <v>240</v>
      </c>
      <c r="M412" s="10" t="n">
        <v>1</v>
      </c>
      <c r="N412" s="10" t="s">
        <v>239</v>
      </c>
    </row>
    <row r="413" customFormat="false" ht="15" hidden="false" customHeight="false" outlineLevel="0" collapsed="false">
      <c r="A413" s="12" t="n">
        <v>46220</v>
      </c>
      <c r="B413" s="10" t="s">
        <v>107</v>
      </c>
      <c r="C413" s="10" t="s">
        <v>52</v>
      </c>
      <c r="D413" s="15" t="n">
        <v>65</v>
      </c>
      <c r="E413" s="10" t="s">
        <v>51</v>
      </c>
      <c r="F413" s="10" t="s">
        <v>1112</v>
      </c>
      <c r="G413" s="10" t="s">
        <v>1124</v>
      </c>
      <c r="H413" s="15" t="n">
        <v>240</v>
      </c>
      <c r="I413" s="10"/>
      <c r="J413" s="10"/>
      <c r="K413" s="10"/>
      <c r="L413" s="10" t="s">
        <v>237</v>
      </c>
      <c r="M413" s="10" t="n">
        <v>1</v>
      </c>
      <c r="N413" s="10" t="s">
        <v>65</v>
      </c>
    </row>
    <row r="414" customFormat="false" ht="23.85" hidden="false" customHeight="false" outlineLevel="0" collapsed="false">
      <c r="A414" s="12" t="n">
        <v>46220</v>
      </c>
      <c r="B414" s="10" t="s">
        <v>107</v>
      </c>
      <c r="C414" s="10" t="s">
        <v>52</v>
      </c>
      <c r="D414" s="15" t="n">
        <v>86</v>
      </c>
      <c r="E414" s="10" t="s">
        <v>51</v>
      </c>
      <c r="F414" s="10" t="s">
        <v>1112</v>
      </c>
      <c r="G414" s="10" t="s">
        <v>1128</v>
      </c>
      <c r="H414" s="15" t="n">
        <v>600</v>
      </c>
      <c r="I414" s="10"/>
      <c r="J414" s="10"/>
      <c r="K414" s="10"/>
      <c r="L414" s="10" t="s">
        <v>235</v>
      </c>
      <c r="M414" s="10" t="n">
        <v>1</v>
      </c>
      <c r="N414" s="10" t="s">
        <v>70</v>
      </c>
    </row>
    <row r="415" customFormat="false" ht="23.85" hidden="false" customHeight="false" outlineLevel="0" collapsed="false">
      <c r="A415" s="12" t="n">
        <v>46220</v>
      </c>
      <c r="B415" s="10" t="s">
        <v>107</v>
      </c>
      <c r="C415" s="10" t="s">
        <v>52</v>
      </c>
      <c r="D415" s="15" t="n">
        <v>87</v>
      </c>
      <c r="E415" s="10" t="s">
        <v>51</v>
      </c>
      <c r="F415" s="10" t="s">
        <v>1112</v>
      </c>
      <c r="G415" s="10" t="s">
        <v>1128</v>
      </c>
      <c r="H415" s="15" t="n">
        <v>600</v>
      </c>
      <c r="I415" s="10"/>
      <c r="J415" s="10"/>
      <c r="K415" s="10"/>
      <c r="L415" s="10" t="s">
        <v>233</v>
      </c>
      <c r="M415" s="10" t="n">
        <v>1</v>
      </c>
      <c r="N415" s="10" t="s">
        <v>70</v>
      </c>
    </row>
    <row r="416" customFormat="false" ht="15" hidden="false" customHeight="false" outlineLevel="0" collapsed="false">
      <c r="A416" s="12" t="n">
        <v>46220</v>
      </c>
      <c r="B416" s="10" t="s">
        <v>107</v>
      </c>
      <c r="C416" s="10" t="s">
        <v>52</v>
      </c>
      <c r="D416" s="15" t="n">
        <v>85</v>
      </c>
      <c r="E416" s="10" t="s">
        <v>51</v>
      </c>
      <c r="F416" s="10" t="s">
        <v>1112</v>
      </c>
      <c r="G416" s="10" t="s">
        <v>1128</v>
      </c>
      <c r="H416" s="15" t="n">
        <v>600</v>
      </c>
      <c r="I416" s="10"/>
      <c r="J416" s="10"/>
      <c r="K416" s="10"/>
      <c r="L416" s="10" t="s">
        <v>231</v>
      </c>
      <c r="M416" s="10" t="n">
        <v>1</v>
      </c>
      <c r="N416" s="10" t="s">
        <v>65</v>
      </c>
    </row>
    <row r="417" customFormat="false" ht="15" hidden="false" customHeight="false" outlineLevel="0" collapsed="false">
      <c r="A417" s="12" t="n">
        <v>46220</v>
      </c>
      <c r="B417" s="10" t="s">
        <v>107</v>
      </c>
      <c r="C417" s="10" t="s">
        <v>52</v>
      </c>
      <c r="D417" s="15" t="n">
        <v>62.19</v>
      </c>
      <c r="E417" s="10" t="s">
        <v>51</v>
      </c>
      <c r="F417" s="10" t="s">
        <v>1112</v>
      </c>
      <c r="G417" s="10" t="s">
        <v>1124</v>
      </c>
      <c r="H417" s="15" t="n">
        <v>240</v>
      </c>
      <c r="I417" s="10"/>
      <c r="J417" s="10"/>
      <c r="K417" s="10"/>
      <c r="L417" s="10" t="s">
        <v>228</v>
      </c>
      <c r="M417" s="10" t="n">
        <v>1</v>
      </c>
      <c r="N417" s="10" t="s">
        <v>65</v>
      </c>
    </row>
    <row r="418" customFormat="false" ht="23.85" hidden="false" customHeight="false" outlineLevel="0" collapsed="false">
      <c r="A418" s="12" t="n">
        <v>46220</v>
      </c>
      <c r="B418" s="10" t="s">
        <v>107</v>
      </c>
      <c r="C418" s="10" t="s">
        <v>52</v>
      </c>
      <c r="D418" s="15" t="n">
        <v>84</v>
      </c>
      <c r="E418" s="10" t="s">
        <v>51</v>
      </c>
      <c r="F418" s="10" t="s">
        <v>1112</v>
      </c>
      <c r="G418" s="10" t="s">
        <v>1129</v>
      </c>
      <c r="H418" s="15" t="n">
        <v>200</v>
      </c>
      <c r="I418" s="10"/>
      <c r="J418" s="10"/>
      <c r="K418" s="10"/>
      <c r="L418" s="10" t="s">
        <v>226</v>
      </c>
      <c r="M418" s="10" t="n">
        <v>1</v>
      </c>
      <c r="N418" s="10" t="s">
        <v>70</v>
      </c>
    </row>
    <row r="419" customFormat="false" ht="15" hidden="false" customHeight="false" outlineLevel="0" collapsed="false">
      <c r="A419" s="12" t="n">
        <v>46220</v>
      </c>
      <c r="B419" s="10" t="s">
        <v>107</v>
      </c>
      <c r="C419" s="10" t="s">
        <v>52</v>
      </c>
      <c r="D419" s="15" t="n">
        <v>80</v>
      </c>
      <c r="E419" s="10" t="s">
        <v>51</v>
      </c>
      <c r="F419" s="10" t="s">
        <v>1112</v>
      </c>
      <c r="G419" s="10" t="s">
        <v>1116</v>
      </c>
      <c r="H419" s="15" t="n">
        <v>200</v>
      </c>
      <c r="I419" s="10"/>
      <c r="J419" s="10"/>
      <c r="K419" s="10"/>
      <c r="L419" s="10" t="s">
        <v>224</v>
      </c>
      <c r="M419" s="10" t="n">
        <v>1</v>
      </c>
      <c r="N419" s="10" t="s">
        <v>65</v>
      </c>
    </row>
    <row r="420" customFormat="false" ht="15" hidden="false" customHeight="false" outlineLevel="0" collapsed="false">
      <c r="A420" s="12" t="n">
        <v>46219</v>
      </c>
      <c r="B420" s="10" t="s">
        <v>63</v>
      </c>
      <c r="C420" s="10" t="s">
        <v>220</v>
      </c>
      <c r="D420" s="15" t="n">
        <v>1055</v>
      </c>
      <c r="E420" s="10" t="s">
        <v>103</v>
      </c>
      <c r="F420" s="10" t="s">
        <v>1112</v>
      </c>
      <c r="G420" s="10" t="s">
        <v>221</v>
      </c>
      <c r="H420" s="15" t="n">
        <v>0</v>
      </c>
      <c r="I420" s="10"/>
      <c r="J420" s="10"/>
      <c r="K420" s="10"/>
      <c r="L420" s="10" t="s">
        <v>222</v>
      </c>
      <c r="M420" s="10" t="n">
        <v>1</v>
      </c>
      <c r="N420" s="10" t="s">
        <v>65</v>
      </c>
    </row>
    <row r="421" customFormat="false" ht="15" hidden="false" customHeight="false" outlineLevel="0" collapsed="false">
      <c r="A421" s="12" t="n">
        <v>46219</v>
      </c>
      <c r="B421" s="10" t="s">
        <v>63</v>
      </c>
      <c r="C421" s="10" t="s">
        <v>64</v>
      </c>
      <c r="D421" s="15" t="n">
        <v>27.06</v>
      </c>
      <c r="E421" s="10" t="s">
        <v>77</v>
      </c>
      <c r="F421" s="10" t="s">
        <v>1111</v>
      </c>
      <c r="G421" s="10"/>
      <c r="H421" s="15" t="n">
        <v>0</v>
      </c>
      <c r="I421" s="10"/>
      <c r="J421" s="10"/>
      <c r="K421" s="10"/>
      <c r="L421" s="10" t="s">
        <v>216</v>
      </c>
      <c r="M421" s="10" t="n">
        <v>1</v>
      </c>
      <c r="N421" s="10" t="s">
        <v>215</v>
      </c>
    </row>
    <row r="422" customFormat="false" ht="15" hidden="false" customHeight="false" outlineLevel="0" collapsed="false">
      <c r="A422" s="12" t="n">
        <v>46219</v>
      </c>
      <c r="B422" s="10" t="s">
        <v>63</v>
      </c>
      <c r="C422" s="10" t="s">
        <v>64</v>
      </c>
      <c r="D422" s="15" t="n">
        <v>32.06</v>
      </c>
      <c r="E422" s="10" t="s">
        <v>77</v>
      </c>
      <c r="F422" s="10" t="s">
        <v>1111</v>
      </c>
      <c r="G422" s="10"/>
      <c r="H422" s="15" t="n">
        <v>0</v>
      </c>
      <c r="I422" s="10"/>
      <c r="J422" s="10"/>
      <c r="K422" s="10"/>
      <c r="L422" s="10" t="s">
        <v>213</v>
      </c>
      <c r="M422" s="10" t="n">
        <v>1</v>
      </c>
      <c r="N422" s="10" t="s">
        <v>212</v>
      </c>
    </row>
    <row r="423" customFormat="false" ht="23.85" hidden="false" customHeight="false" outlineLevel="0" collapsed="false">
      <c r="A423" s="12" t="n">
        <v>46219</v>
      </c>
      <c r="B423" s="10" t="s">
        <v>63</v>
      </c>
      <c r="C423" s="10" t="s">
        <v>64</v>
      </c>
      <c r="D423" s="15" t="n">
        <v>28.49</v>
      </c>
      <c r="E423" s="10" t="s">
        <v>77</v>
      </c>
      <c r="F423" s="10" t="s">
        <v>1111</v>
      </c>
      <c r="G423" s="10"/>
      <c r="H423" s="15" t="n">
        <v>0</v>
      </c>
      <c r="I423" s="10"/>
      <c r="J423" s="10"/>
      <c r="K423" s="10"/>
      <c r="L423" s="10" t="s">
        <v>210</v>
      </c>
      <c r="M423" s="10" t="n">
        <v>1</v>
      </c>
      <c r="N423" s="10" t="s">
        <v>209</v>
      </c>
    </row>
    <row r="424" customFormat="false" ht="23.85" hidden="false" customHeight="false" outlineLevel="0" collapsed="false">
      <c r="A424" s="12" t="n">
        <v>46219</v>
      </c>
      <c r="B424" s="10" t="s">
        <v>63</v>
      </c>
      <c r="C424" s="10" t="s">
        <v>64</v>
      </c>
      <c r="D424" s="15" t="n">
        <v>28.98</v>
      </c>
      <c r="E424" s="10" t="s">
        <v>77</v>
      </c>
      <c r="F424" s="10" t="s">
        <v>1111</v>
      </c>
      <c r="G424" s="10"/>
      <c r="H424" s="15" t="n">
        <v>0</v>
      </c>
      <c r="I424" s="10"/>
      <c r="J424" s="10"/>
      <c r="K424" s="10"/>
      <c r="L424" s="10" t="s">
        <v>207</v>
      </c>
      <c r="M424" s="10" t="n">
        <v>1</v>
      </c>
      <c r="N424" s="10" t="s">
        <v>70</v>
      </c>
    </row>
    <row r="425" customFormat="false" ht="15" hidden="false" customHeight="false" outlineLevel="0" collapsed="false">
      <c r="A425" s="12" t="n">
        <v>46219</v>
      </c>
      <c r="B425" s="10" t="s">
        <v>107</v>
      </c>
      <c r="C425" s="10" t="s">
        <v>52</v>
      </c>
      <c r="D425" s="15" t="n">
        <v>88</v>
      </c>
      <c r="E425" s="10" t="s">
        <v>51</v>
      </c>
      <c r="F425" s="10" t="s">
        <v>1112</v>
      </c>
      <c r="G425" s="10" t="s">
        <v>1127</v>
      </c>
      <c r="H425" s="15" t="n">
        <v>600</v>
      </c>
      <c r="I425" s="10"/>
      <c r="J425" s="10"/>
      <c r="K425" s="10"/>
      <c r="L425" s="10" t="s">
        <v>205</v>
      </c>
      <c r="M425" s="10" t="n">
        <v>1</v>
      </c>
      <c r="N425" s="10" t="s">
        <v>65</v>
      </c>
    </row>
    <row r="426" customFormat="false" ht="15" hidden="false" customHeight="false" outlineLevel="0" collapsed="false">
      <c r="A426" s="12" t="n">
        <v>46219</v>
      </c>
      <c r="B426" s="10" t="s">
        <v>107</v>
      </c>
      <c r="C426" s="10" t="s">
        <v>52</v>
      </c>
      <c r="D426" s="15" t="n">
        <v>71</v>
      </c>
      <c r="E426" s="10" t="s">
        <v>51</v>
      </c>
      <c r="F426" s="10" t="s">
        <v>1112</v>
      </c>
      <c r="G426" s="10" t="s">
        <v>1124</v>
      </c>
      <c r="H426" s="15" t="n">
        <v>240</v>
      </c>
      <c r="I426" s="10"/>
      <c r="J426" s="10"/>
      <c r="K426" s="10"/>
      <c r="L426" s="10" t="s">
        <v>203</v>
      </c>
      <c r="M426" s="10" t="n">
        <v>1</v>
      </c>
      <c r="N426" s="10" t="s">
        <v>65</v>
      </c>
    </row>
    <row r="427" customFormat="false" ht="23.85" hidden="false" customHeight="false" outlineLevel="0" collapsed="false">
      <c r="A427" s="12" t="n">
        <v>46219</v>
      </c>
      <c r="B427" s="10" t="s">
        <v>107</v>
      </c>
      <c r="C427" s="10" t="s">
        <v>52</v>
      </c>
      <c r="D427" s="15" t="n">
        <v>76</v>
      </c>
      <c r="E427" s="10" t="s">
        <v>51</v>
      </c>
      <c r="F427" s="10" t="s">
        <v>1112</v>
      </c>
      <c r="G427" s="10" t="s">
        <v>1124</v>
      </c>
      <c r="H427" s="15" t="n">
        <v>240</v>
      </c>
      <c r="I427" s="10"/>
      <c r="J427" s="10"/>
      <c r="K427" s="10"/>
      <c r="L427" s="10" t="s">
        <v>201</v>
      </c>
      <c r="M427" s="10" t="n">
        <v>1</v>
      </c>
      <c r="N427" s="10" t="s">
        <v>70</v>
      </c>
    </row>
    <row r="428" customFormat="false" ht="23.85" hidden="false" customHeight="false" outlineLevel="0" collapsed="false">
      <c r="A428" s="12" t="n">
        <v>46219</v>
      </c>
      <c r="B428" s="10" t="s">
        <v>107</v>
      </c>
      <c r="C428" s="10" t="s">
        <v>52</v>
      </c>
      <c r="D428" s="15" t="n">
        <v>87</v>
      </c>
      <c r="E428" s="10" t="s">
        <v>51</v>
      </c>
      <c r="F428" s="10" t="s">
        <v>1112</v>
      </c>
      <c r="G428" s="10" t="s">
        <v>1127</v>
      </c>
      <c r="H428" s="15" t="n">
        <v>600</v>
      </c>
      <c r="I428" s="10"/>
      <c r="J428" s="10"/>
      <c r="K428" s="10"/>
      <c r="L428" s="10" t="s">
        <v>199</v>
      </c>
      <c r="M428" s="10" t="n">
        <v>1</v>
      </c>
      <c r="N428" s="10" t="s">
        <v>70</v>
      </c>
    </row>
    <row r="429" customFormat="false" ht="23.85" hidden="false" customHeight="false" outlineLevel="0" collapsed="false">
      <c r="A429" s="12" t="n">
        <v>46219</v>
      </c>
      <c r="B429" s="10" t="s">
        <v>107</v>
      </c>
      <c r="C429" s="10" t="s">
        <v>52</v>
      </c>
      <c r="D429" s="15" t="n">
        <v>85</v>
      </c>
      <c r="E429" s="10" t="s">
        <v>51</v>
      </c>
      <c r="F429" s="10" t="s">
        <v>1112</v>
      </c>
      <c r="G429" s="10" t="s">
        <v>1127</v>
      </c>
      <c r="H429" s="15" t="n">
        <v>600</v>
      </c>
      <c r="I429" s="10"/>
      <c r="J429" s="10"/>
      <c r="K429" s="10"/>
      <c r="L429" s="10" t="s">
        <v>197</v>
      </c>
      <c r="M429" s="10" t="n">
        <v>1</v>
      </c>
      <c r="N429" s="10" t="s">
        <v>70</v>
      </c>
    </row>
    <row r="430" customFormat="false" ht="15" hidden="false" customHeight="false" outlineLevel="0" collapsed="false">
      <c r="A430" s="12" t="n">
        <v>46218</v>
      </c>
      <c r="B430" s="10" t="s">
        <v>63</v>
      </c>
      <c r="C430" s="10" t="s">
        <v>104</v>
      </c>
      <c r="D430" s="15" t="n">
        <v>28.06</v>
      </c>
      <c r="E430" s="10" t="s">
        <v>103</v>
      </c>
      <c r="F430" s="10" t="s">
        <v>1111</v>
      </c>
      <c r="G430" s="10"/>
      <c r="H430" s="15" t="n">
        <v>0</v>
      </c>
      <c r="I430" s="10"/>
      <c r="J430" s="10"/>
      <c r="K430" s="10"/>
      <c r="L430" s="10" t="s">
        <v>194</v>
      </c>
      <c r="M430" s="10" t="n">
        <v>1</v>
      </c>
      <c r="N430" s="10" t="s">
        <v>193</v>
      </c>
    </row>
    <row r="431" customFormat="false" ht="15" hidden="false" customHeight="false" outlineLevel="0" collapsed="false">
      <c r="A431" s="12" t="n">
        <v>46218</v>
      </c>
      <c r="B431" s="10" t="s">
        <v>107</v>
      </c>
      <c r="C431" s="10" t="s">
        <v>52</v>
      </c>
      <c r="D431" s="15" t="n">
        <v>87</v>
      </c>
      <c r="E431" s="10" t="s">
        <v>51</v>
      </c>
      <c r="F431" s="10" t="s">
        <v>1112</v>
      </c>
      <c r="G431" s="10" t="s">
        <v>1129</v>
      </c>
      <c r="H431" s="15" t="n">
        <v>200</v>
      </c>
      <c r="I431" s="10"/>
      <c r="J431" s="10"/>
      <c r="K431" s="10"/>
      <c r="L431" s="10" t="s">
        <v>191</v>
      </c>
      <c r="M431" s="10" t="n">
        <v>1</v>
      </c>
      <c r="N431" s="10" t="s">
        <v>65</v>
      </c>
    </row>
    <row r="432" customFormat="false" ht="23.85" hidden="false" customHeight="false" outlineLevel="0" collapsed="false">
      <c r="A432" s="12" t="n">
        <v>46218</v>
      </c>
      <c r="B432" s="10" t="s">
        <v>107</v>
      </c>
      <c r="C432" s="10" t="s">
        <v>52</v>
      </c>
      <c r="D432" s="15" t="n">
        <v>90</v>
      </c>
      <c r="E432" s="10" t="s">
        <v>51</v>
      </c>
      <c r="F432" s="10" t="s">
        <v>1112</v>
      </c>
      <c r="G432" s="10" t="s">
        <v>1116</v>
      </c>
      <c r="H432" s="15" t="n">
        <v>200</v>
      </c>
      <c r="I432" s="10"/>
      <c r="J432" s="10"/>
      <c r="K432" s="10"/>
      <c r="L432" s="10" t="s">
        <v>189</v>
      </c>
      <c r="M432" s="10" t="n">
        <v>1</v>
      </c>
      <c r="N432" s="10" t="s">
        <v>70</v>
      </c>
    </row>
    <row r="433" customFormat="false" ht="15" hidden="false" customHeight="false" outlineLevel="0" collapsed="false">
      <c r="A433" s="12" t="n">
        <v>46218</v>
      </c>
      <c r="B433" s="10" t="s">
        <v>107</v>
      </c>
      <c r="C433" s="10" t="s">
        <v>52</v>
      </c>
      <c r="D433" s="15" t="n">
        <v>85</v>
      </c>
      <c r="E433" s="10" t="s">
        <v>51</v>
      </c>
      <c r="F433" s="10" t="s">
        <v>1112</v>
      </c>
      <c r="G433" s="10" t="s">
        <v>1129</v>
      </c>
      <c r="H433" s="15" t="n">
        <v>200</v>
      </c>
      <c r="I433" s="10"/>
      <c r="J433" s="10"/>
      <c r="K433" s="10"/>
      <c r="L433" s="10" t="s">
        <v>187</v>
      </c>
      <c r="M433" s="10" t="n">
        <v>1</v>
      </c>
      <c r="N433" s="10" t="s">
        <v>65</v>
      </c>
    </row>
    <row r="434" customFormat="false" ht="15" hidden="false" customHeight="false" outlineLevel="0" collapsed="false">
      <c r="A434" s="12" t="n">
        <v>46218</v>
      </c>
      <c r="B434" s="10" t="s">
        <v>107</v>
      </c>
      <c r="C434" s="10" t="s">
        <v>52</v>
      </c>
      <c r="D434" s="15" t="n">
        <v>87</v>
      </c>
      <c r="E434" s="10" t="s">
        <v>51</v>
      </c>
      <c r="F434" s="10" t="s">
        <v>1112</v>
      </c>
      <c r="G434" s="10" t="s">
        <v>1116</v>
      </c>
      <c r="H434" s="15" t="n">
        <v>200</v>
      </c>
      <c r="I434" s="10"/>
      <c r="J434" s="10"/>
      <c r="K434" s="10"/>
      <c r="L434" s="10" t="s">
        <v>185</v>
      </c>
      <c r="M434" s="10" t="n">
        <v>1</v>
      </c>
      <c r="N434" s="10" t="s">
        <v>65</v>
      </c>
    </row>
    <row r="435" customFormat="false" ht="15" hidden="false" customHeight="false" outlineLevel="0" collapsed="false">
      <c r="A435" s="12" t="n">
        <v>46218</v>
      </c>
      <c r="B435" s="10" t="s">
        <v>107</v>
      </c>
      <c r="C435" s="10" t="s">
        <v>52</v>
      </c>
      <c r="D435" s="15" t="n">
        <v>87</v>
      </c>
      <c r="E435" s="10" t="s">
        <v>51</v>
      </c>
      <c r="F435" s="10" t="s">
        <v>1112</v>
      </c>
      <c r="G435" s="10" t="s">
        <v>1129</v>
      </c>
      <c r="H435" s="15" t="n">
        <v>200</v>
      </c>
      <c r="I435" s="10"/>
      <c r="J435" s="10"/>
      <c r="K435" s="10"/>
      <c r="L435" s="10" t="s">
        <v>183</v>
      </c>
      <c r="M435" s="10" t="n">
        <v>1</v>
      </c>
      <c r="N435" s="10" t="s">
        <v>65</v>
      </c>
    </row>
    <row r="436" customFormat="false" ht="23.85" hidden="false" customHeight="false" outlineLevel="0" collapsed="false">
      <c r="A436" s="12" t="n">
        <v>46218</v>
      </c>
      <c r="B436" s="10" t="s">
        <v>107</v>
      </c>
      <c r="C436" s="10" t="s">
        <v>52</v>
      </c>
      <c r="D436" s="15" t="n">
        <v>88</v>
      </c>
      <c r="E436" s="10" t="s">
        <v>51</v>
      </c>
      <c r="F436" s="10" t="s">
        <v>1112</v>
      </c>
      <c r="G436" s="10" t="s">
        <v>1116</v>
      </c>
      <c r="H436" s="15" t="n">
        <v>200</v>
      </c>
      <c r="I436" s="10"/>
      <c r="J436" s="10"/>
      <c r="K436" s="10"/>
      <c r="L436" s="10" t="s">
        <v>180</v>
      </c>
      <c r="M436" s="10" t="n">
        <v>1</v>
      </c>
      <c r="N436" s="10" t="s">
        <v>70</v>
      </c>
    </row>
    <row r="437" customFormat="false" ht="23.85" hidden="false" customHeight="false" outlineLevel="0" collapsed="false">
      <c r="A437" s="12" t="n">
        <v>46217</v>
      </c>
      <c r="B437" s="10" t="s">
        <v>107</v>
      </c>
      <c r="C437" s="10" t="s">
        <v>52</v>
      </c>
      <c r="D437" s="15" t="n">
        <v>86</v>
      </c>
      <c r="E437" s="10" t="s">
        <v>51</v>
      </c>
      <c r="F437" s="10" t="s">
        <v>1112</v>
      </c>
      <c r="G437" s="10" t="s">
        <v>1116</v>
      </c>
      <c r="H437" s="15" t="n">
        <v>200</v>
      </c>
      <c r="I437" s="10"/>
      <c r="J437" s="10"/>
      <c r="K437" s="10"/>
      <c r="L437" s="10" t="s">
        <v>178</v>
      </c>
      <c r="M437" s="10" t="n">
        <v>1</v>
      </c>
      <c r="N437" s="10" t="s">
        <v>70</v>
      </c>
    </row>
    <row r="438" customFormat="false" ht="15" hidden="false" customHeight="false" outlineLevel="0" collapsed="false">
      <c r="A438" s="12" t="n">
        <v>46217</v>
      </c>
      <c r="B438" s="10" t="s">
        <v>107</v>
      </c>
      <c r="C438" s="10" t="s">
        <v>52</v>
      </c>
      <c r="D438" s="15" t="n">
        <v>87.02</v>
      </c>
      <c r="E438" s="10" t="s">
        <v>51</v>
      </c>
      <c r="F438" s="10" t="s">
        <v>1112</v>
      </c>
      <c r="G438" s="10" t="s">
        <v>1116</v>
      </c>
      <c r="H438" s="15" t="n">
        <v>200</v>
      </c>
      <c r="I438" s="10"/>
      <c r="J438" s="10"/>
      <c r="K438" s="10"/>
      <c r="L438" s="10" t="s">
        <v>176</v>
      </c>
      <c r="M438" s="10" t="n">
        <v>1</v>
      </c>
      <c r="N438" s="10" t="s">
        <v>65</v>
      </c>
    </row>
    <row r="439" customFormat="false" ht="15" hidden="false" customHeight="false" outlineLevel="0" collapsed="false">
      <c r="A439" s="12" t="n">
        <v>46217</v>
      </c>
      <c r="B439" s="10" t="s">
        <v>107</v>
      </c>
      <c r="C439" s="10" t="s">
        <v>52</v>
      </c>
      <c r="D439" s="15" t="n">
        <v>87</v>
      </c>
      <c r="E439" s="10" t="s">
        <v>51</v>
      </c>
      <c r="F439" s="10" t="s">
        <v>1112</v>
      </c>
      <c r="G439" s="10" t="s">
        <v>1116</v>
      </c>
      <c r="H439" s="15" t="n">
        <v>200</v>
      </c>
      <c r="I439" s="10"/>
      <c r="J439" s="10"/>
      <c r="K439" s="10"/>
      <c r="L439" s="10" t="s">
        <v>174</v>
      </c>
      <c r="M439" s="10" t="n">
        <v>1</v>
      </c>
      <c r="N439" s="10" t="s">
        <v>65</v>
      </c>
    </row>
    <row r="440" customFormat="false" ht="23.85" hidden="false" customHeight="false" outlineLevel="0" collapsed="false">
      <c r="A440" s="12" t="n">
        <v>46216</v>
      </c>
      <c r="B440" s="10" t="s">
        <v>63</v>
      </c>
      <c r="C440" s="10" t="s">
        <v>64</v>
      </c>
      <c r="D440" s="15" t="n">
        <v>26.69</v>
      </c>
      <c r="E440" s="10" t="s">
        <v>77</v>
      </c>
      <c r="F440" s="10" t="s">
        <v>1111</v>
      </c>
      <c r="G440" s="10"/>
      <c r="H440" s="15" t="n">
        <v>0</v>
      </c>
      <c r="I440" s="10"/>
      <c r="J440" s="10"/>
      <c r="K440" s="10"/>
      <c r="L440" s="10" t="s">
        <v>172</v>
      </c>
      <c r="M440" s="10" t="n">
        <v>1</v>
      </c>
      <c r="N440" s="10" t="s">
        <v>70</v>
      </c>
    </row>
    <row r="441" customFormat="false" ht="23.85" hidden="false" customHeight="false" outlineLevel="0" collapsed="false">
      <c r="A441" s="12" t="n">
        <v>46216</v>
      </c>
      <c r="B441" s="10" t="s">
        <v>107</v>
      </c>
      <c r="C441" s="10" t="s">
        <v>52</v>
      </c>
      <c r="D441" s="15" t="n">
        <v>76.2</v>
      </c>
      <c r="E441" s="10" t="s">
        <v>51</v>
      </c>
      <c r="F441" s="10" t="s">
        <v>1112</v>
      </c>
      <c r="G441" s="10" t="s">
        <v>1124</v>
      </c>
      <c r="H441" s="15" t="n">
        <v>240</v>
      </c>
      <c r="I441" s="10"/>
      <c r="J441" s="10"/>
      <c r="K441" s="10"/>
      <c r="L441" s="10" t="s">
        <v>170</v>
      </c>
      <c r="M441" s="10" t="n">
        <v>1</v>
      </c>
      <c r="N441" s="10" t="s">
        <v>70</v>
      </c>
    </row>
    <row r="442" customFormat="false" ht="15" hidden="false" customHeight="false" outlineLevel="0" collapsed="false">
      <c r="A442" s="12" t="n">
        <v>46216</v>
      </c>
      <c r="B442" s="10" t="s">
        <v>107</v>
      </c>
      <c r="C442" s="10" t="s">
        <v>52</v>
      </c>
      <c r="D442" s="15" t="n">
        <v>75.6</v>
      </c>
      <c r="E442" s="10" t="s">
        <v>51</v>
      </c>
      <c r="F442" s="10" t="s">
        <v>1112</v>
      </c>
      <c r="G442" s="10" t="s">
        <v>1124</v>
      </c>
      <c r="H442" s="15" t="n">
        <v>240</v>
      </c>
      <c r="I442" s="10"/>
      <c r="J442" s="10"/>
      <c r="K442" s="10"/>
      <c r="L442" s="10" t="s">
        <v>168</v>
      </c>
      <c r="M442" s="10" t="n">
        <v>1</v>
      </c>
      <c r="N442" s="10" t="s">
        <v>65</v>
      </c>
    </row>
    <row r="443" customFormat="false" ht="15" hidden="false" customHeight="false" outlineLevel="0" collapsed="false">
      <c r="A443" s="12" t="n">
        <v>46216</v>
      </c>
      <c r="B443" s="10" t="s">
        <v>107</v>
      </c>
      <c r="C443" s="10" t="s">
        <v>52</v>
      </c>
      <c r="D443" s="15" t="n">
        <v>88</v>
      </c>
      <c r="E443" s="10" t="s">
        <v>51</v>
      </c>
      <c r="F443" s="10" t="s">
        <v>1112</v>
      </c>
      <c r="G443" s="10" t="s">
        <v>1116</v>
      </c>
      <c r="H443" s="15" t="n">
        <v>200</v>
      </c>
      <c r="I443" s="10"/>
      <c r="J443" s="10"/>
      <c r="K443" s="10"/>
      <c r="L443" s="10" t="s">
        <v>166</v>
      </c>
      <c r="M443" s="10" t="n">
        <v>1</v>
      </c>
      <c r="N443" s="10" t="s">
        <v>65</v>
      </c>
    </row>
    <row r="444" customFormat="false" ht="23.85" hidden="false" customHeight="false" outlineLevel="0" collapsed="false">
      <c r="A444" s="12" t="n">
        <v>46213</v>
      </c>
      <c r="B444" s="10" t="s">
        <v>63</v>
      </c>
      <c r="C444" s="10" t="s">
        <v>104</v>
      </c>
      <c r="D444" s="15" t="n">
        <v>23.88</v>
      </c>
      <c r="E444" s="10" t="s">
        <v>103</v>
      </c>
      <c r="F444" s="10" t="s">
        <v>1111</v>
      </c>
      <c r="G444" s="10"/>
      <c r="H444" s="15" t="n">
        <v>0</v>
      </c>
      <c r="I444" s="10"/>
      <c r="J444" s="10"/>
      <c r="K444" s="10"/>
      <c r="L444" s="10" t="s">
        <v>164</v>
      </c>
      <c r="M444" s="10" t="n">
        <v>1</v>
      </c>
      <c r="N444" s="10" t="s">
        <v>70</v>
      </c>
    </row>
    <row r="445" customFormat="false" ht="23.85" hidden="false" customHeight="false" outlineLevel="0" collapsed="false">
      <c r="A445" s="12" t="n">
        <v>46213</v>
      </c>
      <c r="B445" s="10" t="s">
        <v>63</v>
      </c>
      <c r="C445" s="10" t="s">
        <v>104</v>
      </c>
      <c r="D445" s="15" t="n">
        <v>24.04</v>
      </c>
      <c r="E445" s="10" t="s">
        <v>103</v>
      </c>
      <c r="F445" s="10" t="s">
        <v>1111</v>
      </c>
      <c r="G445" s="10"/>
      <c r="H445" s="15" t="n">
        <v>0</v>
      </c>
      <c r="I445" s="10"/>
      <c r="J445" s="10"/>
      <c r="K445" s="10"/>
      <c r="L445" s="10" t="s">
        <v>162</v>
      </c>
      <c r="M445" s="10" t="n">
        <v>1</v>
      </c>
      <c r="N445" s="10" t="s">
        <v>70</v>
      </c>
    </row>
    <row r="446" customFormat="false" ht="23.85" hidden="false" customHeight="false" outlineLevel="0" collapsed="false">
      <c r="A446" s="12" t="n">
        <v>46213</v>
      </c>
      <c r="B446" s="10" t="s">
        <v>63</v>
      </c>
      <c r="C446" s="10" t="s">
        <v>104</v>
      </c>
      <c r="D446" s="15" t="n">
        <v>28.06</v>
      </c>
      <c r="E446" s="10" t="s">
        <v>103</v>
      </c>
      <c r="F446" s="10" t="s">
        <v>1111</v>
      </c>
      <c r="G446" s="10"/>
      <c r="H446" s="15" t="n">
        <v>0</v>
      </c>
      <c r="I446" s="10"/>
      <c r="J446" s="10"/>
      <c r="K446" s="10"/>
      <c r="L446" s="10" t="s">
        <v>160</v>
      </c>
      <c r="M446" s="10" t="n">
        <v>1</v>
      </c>
      <c r="N446" s="10" t="s">
        <v>70</v>
      </c>
    </row>
    <row r="447" customFormat="false" ht="15" hidden="false" customHeight="false" outlineLevel="0" collapsed="false">
      <c r="A447" s="12" t="n">
        <v>46213</v>
      </c>
      <c r="B447" s="10" t="s">
        <v>63</v>
      </c>
      <c r="C447" s="10" t="s">
        <v>64</v>
      </c>
      <c r="D447" s="15" t="n">
        <v>27.02</v>
      </c>
      <c r="E447" s="10" t="s">
        <v>77</v>
      </c>
      <c r="F447" s="10" t="s">
        <v>1111</v>
      </c>
      <c r="G447" s="10"/>
      <c r="H447" s="15" t="n">
        <v>0</v>
      </c>
      <c r="I447" s="10"/>
      <c r="J447" s="10"/>
      <c r="K447" s="10"/>
      <c r="L447" s="10" t="s">
        <v>158</v>
      </c>
      <c r="M447" s="10" t="n">
        <v>1</v>
      </c>
      <c r="N447" s="10" t="s">
        <v>65</v>
      </c>
    </row>
    <row r="448" customFormat="false" ht="23.85" hidden="false" customHeight="false" outlineLevel="0" collapsed="false">
      <c r="A448" s="12" t="n">
        <v>46213</v>
      </c>
      <c r="B448" s="10" t="s">
        <v>107</v>
      </c>
      <c r="C448" s="10" t="s">
        <v>52</v>
      </c>
      <c r="D448" s="15" t="n">
        <v>70</v>
      </c>
      <c r="E448" s="10" t="s">
        <v>51</v>
      </c>
      <c r="F448" s="10" t="s">
        <v>1112</v>
      </c>
      <c r="G448" s="10" t="s">
        <v>1124</v>
      </c>
      <c r="H448" s="15" t="n">
        <v>240</v>
      </c>
      <c r="I448" s="10"/>
      <c r="J448" s="10"/>
      <c r="K448" s="10"/>
      <c r="L448" s="10" t="s">
        <v>156</v>
      </c>
      <c r="M448" s="10" t="n">
        <v>1</v>
      </c>
      <c r="N448" s="10" t="s">
        <v>70</v>
      </c>
    </row>
    <row r="449" customFormat="false" ht="23.85" hidden="false" customHeight="false" outlineLevel="0" collapsed="false">
      <c r="A449" s="12" t="n">
        <v>46213</v>
      </c>
      <c r="B449" s="10" t="s">
        <v>107</v>
      </c>
      <c r="C449" s="10" t="s">
        <v>52</v>
      </c>
      <c r="D449" s="15" t="n">
        <v>87</v>
      </c>
      <c r="E449" s="10" t="s">
        <v>51</v>
      </c>
      <c r="F449" s="10" t="s">
        <v>1112</v>
      </c>
      <c r="G449" s="10" t="s">
        <v>1117</v>
      </c>
      <c r="H449" s="15" t="n">
        <v>200</v>
      </c>
      <c r="I449" s="10"/>
      <c r="J449" s="10"/>
      <c r="K449" s="10"/>
      <c r="L449" s="10" t="s">
        <v>154</v>
      </c>
      <c r="M449" s="10" t="n">
        <v>1</v>
      </c>
      <c r="N449" s="10" t="s">
        <v>70</v>
      </c>
    </row>
    <row r="450" customFormat="false" ht="15" hidden="false" customHeight="false" outlineLevel="0" collapsed="false">
      <c r="A450" s="12" t="n">
        <v>46213</v>
      </c>
      <c r="B450" s="10" t="s">
        <v>107</v>
      </c>
      <c r="C450" s="10" t="s">
        <v>52</v>
      </c>
      <c r="D450" s="15" t="n">
        <v>87</v>
      </c>
      <c r="E450" s="10" t="s">
        <v>51</v>
      </c>
      <c r="F450" s="10" t="s">
        <v>1112</v>
      </c>
      <c r="G450" s="10" t="s">
        <v>1116</v>
      </c>
      <c r="H450" s="15" t="n">
        <v>200</v>
      </c>
      <c r="I450" s="10"/>
      <c r="J450" s="10"/>
      <c r="K450" s="10"/>
      <c r="L450" s="10" t="s">
        <v>152</v>
      </c>
      <c r="M450" s="10" t="n">
        <v>1</v>
      </c>
      <c r="N450" s="10" t="s">
        <v>65</v>
      </c>
    </row>
    <row r="451" customFormat="false" ht="23.85" hidden="false" customHeight="false" outlineLevel="0" collapsed="false">
      <c r="A451" s="12" t="n">
        <v>46213</v>
      </c>
      <c r="B451" s="10" t="s">
        <v>107</v>
      </c>
      <c r="C451" s="10" t="s">
        <v>52</v>
      </c>
      <c r="D451" s="15" t="n">
        <v>67</v>
      </c>
      <c r="E451" s="10" t="s">
        <v>51</v>
      </c>
      <c r="F451" s="10" t="s">
        <v>1112</v>
      </c>
      <c r="G451" s="10" t="s">
        <v>1124</v>
      </c>
      <c r="H451" s="15" t="n">
        <v>240</v>
      </c>
      <c r="I451" s="10"/>
      <c r="J451" s="10"/>
      <c r="K451" s="10"/>
      <c r="L451" s="10" t="s">
        <v>150</v>
      </c>
      <c r="M451" s="10" t="n">
        <v>1</v>
      </c>
      <c r="N451" s="10" t="s">
        <v>70</v>
      </c>
    </row>
    <row r="452" customFormat="false" ht="15" hidden="false" customHeight="false" outlineLevel="0" collapsed="false">
      <c r="A452" s="12" t="n">
        <v>46213</v>
      </c>
      <c r="B452" s="10" t="s">
        <v>107</v>
      </c>
      <c r="C452" s="10" t="s">
        <v>52</v>
      </c>
      <c r="D452" s="15" t="n">
        <v>85</v>
      </c>
      <c r="E452" s="10" t="s">
        <v>51</v>
      </c>
      <c r="F452" s="10" t="s">
        <v>1112</v>
      </c>
      <c r="G452" s="10" t="s">
        <v>1116</v>
      </c>
      <c r="H452" s="15" t="n">
        <v>200</v>
      </c>
      <c r="I452" s="10"/>
      <c r="J452" s="10"/>
      <c r="K452" s="10"/>
      <c r="L452" s="10" t="s">
        <v>148</v>
      </c>
      <c r="M452" s="10" t="n">
        <v>1</v>
      </c>
      <c r="N452" s="10" t="s">
        <v>65</v>
      </c>
    </row>
    <row r="453" customFormat="false" ht="23.85" hidden="false" customHeight="false" outlineLevel="0" collapsed="false">
      <c r="A453" s="12" t="n">
        <v>46213</v>
      </c>
      <c r="B453" s="10" t="s">
        <v>107</v>
      </c>
      <c r="C453" s="10" t="s">
        <v>52</v>
      </c>
      <c r="D453" s="15" t="n">
        <v>84</v>
      </c>
      <c r="E453" s="10" t="s">
        <v>51</v>
      </c>
      <c r="F453" s="10" t="s">
        <v>1112</v>
      </c>
      <c r="G453" s="10" t="s">
        <v>1117</v>
      </c>
      <c r="H453" s="15" t="n">
        <v>200</v>
      </c>
      <c r="I453" s="10"/>
      <c r="J453" s="10"/>
      <c r="K453" s="10"/>
      <c r="L453" s="10" t="s">
        <v>146</v>
      </c>
      <c r="M453" s="10" t="n">
        <v>1</v>
      </c>
      <c r="N453" s="10" t="s">
        <v>70</v>
      </c>
    </row>
    <row r="454" customFormat="false" ht="23.85" hidden="false" customHeight="false" outlineLevel="0" collapsed="false">
      <c r="A454" s="12" t="n">
        <v>46212</v>
      </c>
      <c r="B454" s="10" t="s">
        <v>63</v>
      </c>
      <c r="C454" s="10" t="s">
        <v>104</v>
      </c>
      <c r="D454" s="15" t="n">
        <v>24.08</v>
      </c>
      <c r="E454" s="10" t="s">
        <v>51</v>
      </c>
      <c r="F454" s="10" t="s">
        <v>1111</v>
      </c>
      <c r="G454" s="10"/>
      <c r="H454" s="15" t="n">
        <v>0</v>
      </c>
      <c r="I454" s="10"/>
      <c r="J454" s="10"/>
      <c r="K454" s="10"/>
      <c r="L454" s="10" t="s">
        <v>144</v>
      </c>
      <c r="M454" s="10" t="n">
        <v>1</v>
      </c>
      <c r="N454" s="10" t="s">
        <v>70</v>
      </c>
    </row>
    <row r="455" customFormat="false" ht="15" hidden="false" customHeight="false" outlineLevel="0" collapsed="false">
      <c r="A455" s="12" t="n">
        <v>46212</v>
      </c>
      <c r="B455" s="10" t="s">
        <v>63</v>
      </c>
      <c r="C455" s="10" t="s">
        <v>104</v>
      </c>
      <c r="D455" s="15" t="n">
        <v>25.54</v>
      </c>
      <c r="E455" s="10" t="s">
        <v>103</v>
      </c>
      <c r="F455" s="10" t="s">
        <v>1111</v>
      </c>
      <c r="G455" s="10"/>
      <c r="H455" s="15" t="n">
        <v>0</v>
      </c>
      <c r="I455" s="10"/>
      <c r="J455" s="10"/>
      <c r="K455" s="10"/>
      <c r="L455" s="10" t="s">
        <v>142</v>
      </c>
      <c r="M455" s="10" t="n">
        <v>1</v>
      </c>
      <c r="N455" s="10" t="s">
        <v>65</v>
      </c>
    </row>
    <row r="456" customFormat="false" ht="15" hidden="false" customHeight="false" outlineLevel="0" collapsed="false">
      <c r="A456" s="12" t="n">
        <v>46212</v>
      </c>
      <c r="B456" s="10" t="s">
        <v>107</v>
      </c>
      <c r="C456" s="10" t="s">
        <v>52</v>
      </c>
      <c r="D456" s="15" t="n">
        <v>86</v>
      </c>
      <c r="E456" s="10" t="s">
        <v>51</v>
      </c>
      <c r="F456" s="10" t="s">
        <v>1112</v>
      </c>
      <c r="G456" s="10" t="s">
        <v>1116</v>
      </c>
      <c r="H456" s="15" t="n">
        <v>200</v>
      </c>
      <c r="I456" s="10"/>
      <c r="J456" s="10"/>
      <c r="K456" s="10"/>
      <c r="L456" s="10" t="s">
        <v>140</v>
      </c>
      <c r="M456" s="10" t="n">
        <v>1</v>
      </c>
      <c r="N456" s="10" t="s">
        <v>65</v>
      </c>
    </row>
    <row r="457" customFormat="false" ht="23.85" hidden="false" customHeight="false" outlineLevel="0" collapsed="false">
      <c r="A457" s="12" t="n">
        <v>46212</v>
      </c>
      <c r="B457" s="10" t="s">
        <v>107</v>
      </c>
      <c r="C457" s="10" t="s">
        <v>52</v>
      </c>
      <c r="D457" s="15" t="n">
        <v>84</v>
      </c>
      <c r="E457" s="10" t="s">
        <v>51</v>
      </c>
      <c r="F457" s="10" t="s">
        <v>1112</v>
      </c>
      <c r="G457" s="10" t="s">
        <v>1117</v>
      </c>
      <c r="H457" s="15" t="n">
        <v>200</v>
      </c>
      <c r="I457" s="10"/>
      <c r="J457" s="10"/>
      <c r="K457" s="10"/>
      <c r="L457" s="10" t="s">
        <v>138</v>
      </c>
      <c r="M457" s="10" t="n">
        <v>1</v>
      </c>
      <c r="N457" s="10" t="s">
        <v>70</v>
      </c>
    </row>
    <row r="458" customFormat="false" ht="23.85" hidden="false" customHeight="false" outlineLevel="0" collapsed="false">
      <c r="A458" s="12" t="n">
        <v>46212</v>
      </c>
      <c r="B458" s="10" t="s">
        <v>107</v>
      </c>
      <c r="C458" s="10" t="s">
        <v>52</v>
      </c>
      <c r="D458" s="15" t="n">
        <v>69</v>
      </c>
      <c r="E458" s="10" t="s">
        <v>51</v>
      </c>
      <c r="F458" s="10" t="s">
        <v>1112</v>
      </c>
      <c r="G458" s="10" t="s">
        <v>1124</v>
      </c>
      <c r="H458" s="15" t="n">
        <v>240</v>
      </c>
      <c r="I458" s="10"/>
      <c r="J458" s="10"/>
      <c r="K458" s="10"/>
      <c r="L458" s="10" t="s">
        <v>136</v>
      </c>
      <c r="M458" s="10" t="n">
        <v>1</v>
      </c>
      <c r="N458" s="10" t="s">
        <v>70</v>
      </c>
    </row>
    <row r="459" customFormat="false" ht="15" hidden="false" customHeight="false" outlineLevel="0" collapsed="false">
      <c r="A459" s="12" t="n">
        <v>46212</v>
      </c>
      <c r="B459" s="10" t="s">
        <v>107</v>
      </c>
      <c r="C459" s="10" t="s">
        <v>52</v>
      </c>
      <c r="D459" s="15" t="n">
        <v>61.48</v>
      </c>
      <c r="E459" s="10" t="s">
        <v>51</v>
      </c>
      <c r="F459" s="10" t="s">
        <v>1112</v>
      </c>
      <c r="G459" s="10" t="s">
        <v>1124</v>
      </c>
      <c r="H459" s="15" t="n">
        <v>240</v>
      </c>
      <c r="I459" s="10"/>
      <c r="J459" s="10"/>
      <c r="K459" s="10"/>
      <c r="L459" s="10" t="s">
        <v>134</v>
      </c>
      <c r="M459" s="10" t="n">
        <v>1</v>
      </c>
      <c r="N459" s="10" t="s">
        <v>65</v>
      </c>
    </row>
    <row r="460" customFormat="false" ht="23.85" hidden="false" customHeight="false" outlineLevel="0" collapsed="false">
      <c r="A460" s="12" t="n">
        <v>46212</v>
      </c>
      <c r="B460" s="10" t="s">
        <v>107</v>
      </c>
      <c r="C460" s="10" t="s">
        <v>52</v>
      </c>
      <c r="D460" s="15" t="n">
        <v>84</v>
      </c>
      <c r="E460" s="10" t="s">
        <v>51</v>
      </c>
      <c r="F460" s="10" t="s">
        <v>1112</v>
      </c>
      <c r="G460" s="10" t="s">
        <v>1117</v>
      </c>
      <c r="H460" s="15" t="n">
        <v>200</v>
      </c>
      <c r="I460" s="10"/>
      <c r="J460" s="10"/>
      <c r="K460" s="10"/>
      <c r="L460" s="10" t="s">
        <v>132</v>
      </c>
      <c r="M460" s="10" t="n">
        <v>1</v>
      </c>
      <c r="N460" s="10" t="s">
        <v>70</v>
      </c>
    </row>
    <row r="461" customFormat="false" ht="15" hidden="false" customHeight="false" outlineLevel="0" collapsed="false">
      <c r="A461" s="12" t="n">
        <v>46212</v>
      </c>
      <c r="B461" s="10" t="s">
        <v>107</v>
      </c>
      <c r="C461" s="10" t="s">
        <v>52</v>
      </c>
      <c r="D461" s="15" t="n">
        <v>86</v>
      </c>
      <c r="E461" s="10" t="s">
        <v>51</v>
      </c>
      <c r="F461" s="10" t="s">
        <v>1112</v>
      </c>
      <c r="G461" s="10" t="s">
        <v>1116</v>
      </c>
      <c r="H461" s="15" t="n">
        <v>200</v>
      </c>
      <c r="I461" s="10"/>
      <c r="J461" s="10"/>
      <c r="K461" s="10"/>
      <c r="L461" s="10" t="s">
        <v>130</v>
      </c>
      <c r="M461" s="10" t="n">
        <v>1</v>
      </c>
      <c r="N461" s="10" t="s">
        <v>65</v>
      </c>
    </row>
    <row r="462" customFormat="false" ht="23.85" hidden="false" customHeight="false" outlineLevel="0" collapsed="false">
      <c r="A462" s="12" t="n">
        <v>46211</v>
      </c>
      <c r="B462" s="10" t="s">
        <v>63</v>
      </c>
      <c r="C462" s="10" t="s">
        <v>104</v>
      </c>
      <c r="D462" s="15" t="n">
        <v>24.64</v>
      </c>
      <c r="E462" s="10" t="s">
        <v>103</v>
      </c>
      <c r="F462" s="10" t="s">
        <v>1111</v>
      </c>
      <c r="G462" s="10"/>
      <c r="H462" s="15" t="n">
        <v>0</v>
      </c>
      <c r="I462" s="10"/>
      <c r="J462" s="10"/>
      <c r="K462" s="10"/>
      <c r="L462" s="10" t="s">
        <v>128</v>
      </c>
      <c r="M462" s="10" t="n">
        <v>1</v>
      </c>
      <c r="N462" s="10" t="s">
        <v>70</v>
      </c>
    </row>
    <row r="463" customFormat="false" ht="15" hidden="false" customHeight="false" outlineLevel="0" collapsed="false">
      <c r="A463" s="12" t="n">
        <v>46211</v>
      </c>
      <c r="B463" s="10" t="s">
        <v>63</v>
      </c>
      <c r="C463" s="10" t="s">
        <v>104</v>
      </c>
      <c r="D463" s="15" t="n">
        <v>24.64</v>
      </c>
      <c r="E463" s="10" t="s">
        <v>103</v>
      </c>
      <c r="F463" s="10" t="s">
        <v>1111</v>
      </c>
      <c r="G463" s="10"/>
      <c r="H463" s="15" t="n">
        <v>0</v>
      </c>
      <c r="I463" s="10"/>
      <c r="J463" s="10"/>
      <c r="K463" s="10"/>
      <c r="L463" s="10" t="s">
        <v>126</v>
      </c>
      <c r="M463" s="10" t="n">
        <v>1</v>
      </c>
      <c r="N463" s="10" t="s">
        <v>65</v>
      </c>
    </row>
    <row r="464" customFormat="false" ht="23.85" hidden="false" customHeight="false" outlineLevel="0" collapsed="false">
      <c r="A464" s="12" t="n">
        <v>46211</v>
      </c>
      <c r="B464" s="10" t="s">
        <v>63</v>
      </c>
      <c r="C464" s="10" t="s">
        <v>64</v>
      </c>
      <c r="D464" s="15" t="n">
        <v>30.66</v>
      </c>
      <c r="E464" s="10" t="s">
        <v>77</v>
      </c>
      <c r="F464" s="10" t="s">
        <v>1111</v>
      </c>
      <c r="G464" s="10"/>
      <c r="H464" s="15" t="n">
        <v>0</v>
      </c>
      <c r="I464" s="10"/>
      <c r="J464" s="10"/>
      <c r="K464" s="10"/>
      <c r="L464" s="10" t="s">
        <v>123</v>
      </c>
      <c r="M464" s="10" t="n">
        <v>1</v>
      </c>
      <c r="N464" s="10" t="s">
        <v>70</v>
      </c>
    </row>
    <row r="465" customFormat="false" ht="15" hidden="false" customHeight="false" outlineLevel="0" collapsed="false">
      <c r="A465" s="12" t="n">
        <v>46211</v>
      </c>
      <c r="B465" s="10" t="s">
        <v>63</v>
      </c>
      <c r="C465" s="10" t="s">
        <v>64</v>
      </c>
      <c r="D465" s="15" t="n">
        <v>28.12</v>
      </c>
      <c r="E465" s="10" t="s">
        <v>77</v>
      </c>
      <c r="F465" s="10" t="s">
        <v>1111</v>
      </c>
      <c r="G465" s="10"/>
      <c r="H465" s="15" t="n">
        <v>0</v>
      </c>
      <c r="I465" s="10"/>
      <c r="J465" s="10"/>
      <c r="K465" s="10"/>
      <c r="L465" s="10" t="s">
        <v>121</v>
      </c>
      <c r="M465" s="10" t="n">
        <v>1</v>
      </c>
      <c r="N465" s="10" t="s">
        <v>65</v>
      </c>
    </row>
    <row r="466" customFormat="false" ht="23.85" hidden="false" customHeight="false" outlineLevel="0" collapsed="false">
      <c r="A466" s="12" t="n">
        <v>46211</v>
      </c>
      <c r="B466" s="10" t="s">
        <v>107</v>
      </c>
      <c r="C466" s="10" t="s">
        <v>64</v>
      </c>
      <c r="D466" s="15" t="n">
        <v>25</v>
      </c>
      <c r="E466" s="10" t="s">
        <v>77</v>
      </c>
      <c r="F466" s="10" t="s">
        <v>1112</v>
      </c>
      <c r="G466" s="10" t="s">
        <v>1124</v>
      </c>
      <c r="H466" s="15" t="n">
        <v>240</v>
      </c>
      <c r="I466" s="10"/>
      <c r="J466" s="10"/>
      <c r="K466" s="10"/>
      <c r="L466" s="10" t="s">
        <v>119</v>
      </c>
      <c r="M466" s="10" t="n">
        <v>1</v>
      </c>
      <c r="N466" s="10" t="s">
        <v>70</v>
      </c>
    </row>
    <row r="467" customFormat="false" ht="23.85" hidden="false" customHeight="false" outlineLevel="0" collapsed="false">
      <c r="A467" s="12" t="n">
        <v>46211</v>
      </c>
      <c r="B467" s="10" t="s">
        <v>107</v>
      </c>
      <c r="C467" s="10" t="s">
        <v>52</v>
      </c>
      <c r="D467" s="15" t="n">
        <v>61</v>
      </c>
      <c r="E467" s="10" t="s">
        <v>51</v>
      </c>
      <c r="F467" s="10" t="s">
        <v>1112</v>
      </c>
      <c r="G467" s="10" t="s">
        <v>1124</v>
      </c>
      <c r="H467" s="15" t="n">
        <v>240</v>
      </c>
      <c r="I467" s="10"/>
      <c r="J467" s="15"/>
      <c r="K467" s="10"/>
      <c r="L467" s="10" t="s">
        <v>117</v>
      </c>
      <c r="M467" s="10" t="n">
        <v>1</v>
      </c>
      <c r="N467" s="10" t="s">
        <v>70</v>
      </c>
    </row>
    <row r="468" customFormat="false" ht="15" hidden="false" customHeight="false" outlineLevel="0" collapsed="false">
      <c r="A468" s="12" t="n">
        <v>46211</v>
      </c>
      <c r="B468" s="10" t="s">
        <v>107</v>
      </c>
      <c r="C468" s="10" t="s">
        <v>52</v>
      </c>
      <c r="D468" s="15" t="n">
        <v>88</v>
      </c>
      <c r="E468" s="10" t="s">
        <v>51</v>
      </c>
      <c r="F468" s="10" t="s">
        <v>1112</v>
      </c>
      <c r="G468" s="10" t="s">
        <v>1117</v>
      </c>
      <c r="H468" s="15" t="n">
        <v>200</v>
      </c>
      <c r="I468" s="10"/>
      <c r="J468" s="10"/>
      <c r="K468" s="10"/>
      <c r="L468" s="10" t="s">
        <v>115</v>
      </c>
      <c r="M468" s="10" t="n">
        <v>1</v>
      </c>
      <c r="N468" s="10" t="s">
        <v>65</v>
      </c>
    </row>
    <row r="469" customFormat="false" ht="23.85" hidden="false" customHeight="false" outlineLevel="0" collapsed="false">
      <c r="A469" s="12" t="n">
        <v>46211</v>
      </c>
      <c r="B469" s="10" t="s">
        <v>107</v>
      </c>
      <c r="C469" s="10" t="s">
        <v>52</v>
      </c>
      <c r="D469" s="15" t="n">
        <v>86</v>
      </c>
      <c r="E469" s="10" t="s">
        <v>51</v>
      </c>
      <c r="F469" s="10" t="s">
        <v>1112</v>
      </c>
      <c r="G469" s="10" t="s">
        <v>1116</v>
      </c>
      <c r="H469" s="15" t="n">
        <v>200</v>
      </c>
      <c r="I469" s="10"/>
      <c r="J469" s="15"/>
      <c r="K469" s="10"/>
      <c r="L469" s="10" t="s">
        <v>113</v>
      </c>
      <c r="M469" s="10" t="n">
        <v>1</v>
      </c>
      <c r="N469" s="10" t="s">
        <v>70</v>
      </c>
    </row>
    <row r="470" customFormat="false" ht="23.85" hidden="false" customHeight="false" outlineLevel="0" collapsed="false">
      <c r="A470" s="12" t="n">
        <v>46211</v>
      </c>
      <c r="B470" s="10" t="s">
        <v>107</v>
      </c>
      <c r="C470" s="10" t="s">
        <v>52</v>
      </c>
      <c r="D470" s="15" t="n">
        <v>88</v>
      </c>
      <c r="E470" s="10" t="s">
        <v>51</v>
      </c>
      <c r="F470" s="10" t="s">
        <v>1112</v>
      </c>
      <c r="G470" s="10" t="s">
        <v>1117</v>
      </c>
      <c r="H470" s="15" t="n">
        <v>200</v>
      </c>
      <c r="I470" s="10"/>
      <c r="J470" s="10"/>
      <c r="K470" s="10"/>
      <c r="L470" s="10" t="s">
        <v>111</v>
      </c>
      <c r="M470" s="10" t="n">
        <v>1</v>
      </c>
      <c r="N470" s="10" t="s">
        <v>70</v>
      </c>
    </row>
    <row r="471" customFormat="false" ht="23.85" hidden="false" customHeight="false" outlineLevel="0" collapsed="false">
      <c r="A471" s="12" t="n">
        <v>46211</v>
      </c>
      <c r="B471" s="10" t="s">
        <v>107</v>
      </c>
      <c r="C471" s="10" t="s">
        <v>52</v>
      </c>
      <c r="D471" s="15" t="n">
        <v>86</v>
      </c>
      <c r="E471" s="10" t="s">
        <v>51</v>
      </c>
      <c r="F471" s="10" t="s">
        <v>1112</v>
      </c>
      <c r="G471" s="10" t="s">
        <v>1116</v>
      </c>
      <c r="H471" s="15" t="n">
        <v>200</v>
      </c>
      <c r="I471" s="10"/>
      <c r="J471" s="15"/>
      <c r="K471" s="10"/>
      <c r="L471" s="10" t="s">
        <v>109</v>
      </c>
      <c r="M471" s="10" t="n">
        <v>1</v>
      </c>
      <c r="N471" s="10" t="s">
        <v>70</v>
      </c>
    </row>
    <row r="472" customFormat="false" ht="23.85" hidden="false" customHeight="false" outlineLevel="0" collapsed="false">
      <c r="A472" s="12" t="n">
        <v>46210</v>
      </c>
      <c r="B472" s="10" t="s">
        <v>63</v>
      </c>
      <c r="C472" s="10" t="s">
        <v>104</v>
      </c>
      <c r="D472" s="15" t="n">
        <v>26.36</v>
      </c>
      <c r="E472" s="10" t="s">
        <v>103</v>
      </c>
      <c r="F472" s="10" t="s">
        <v>1111</v>
      </c>
      <c r="G472" s="10"/>
      <c r="H472" s="15" t="n">
        <v>0</v>
      </c>
      <c r="I472" s="10"/>
      <c r="J472" s="10"/>
      <c r="K472" s="10"/>
      <c r="L472" s="10" t="s">
        <v>105</v>
      </c>
      <c r="M472" s="10" t="n">
        <v>1</v>
      </c>
      <c r="N472" s="10" t="s">
        <v>70</v>
      </c>
    </row>
    <row r="473" customFormat="false" ht="23.85" hidden="false" customHeight="false" outlineLevel="0" collapsed="false">
      <c r="A473" s="12" t="n">
        <v>46210</v>
      </c>
      <c r="B473" s="10" t="s">
        <v>63</v>
      </c>
      <c r="C473" s="10" t="s">
        <v>52</v>
      </c>
      <c r="D473" s="15" t="n">
        <v>88</v>
      </c>
      <c r="E473" s="10" t="s">
        <v>51</v>
      </c>
      <c r="F473" s="10" t="s">
        <v>1112</v>
      </c>
      <c r="G473" s="10" t="s">
        <v>1117</v>
      </c>
      <c r="H473" s="15" t="n">
        <v>550</v>
      </c>
      <c r="I473" s="10"/>
      <c r="J473" s="15"/>
      <c r="K473" s="10"/>
      <c r="L473" s="10" t="s">
        <v>100</v>
      </c>
      <c r="M473" s="10" t="n">
        <v>1</v>
      </c>
      <c r="N473" s="10" t="s">
        <v>70</v>
      </c>
    </row>
    <row r="474" customFormat="false" ht="15" hidden="false" customHeight="false" outlineLevel="0" collapsed="false">
      <c r="A474" s="12" t="n">
        <v>46210</v>
      </c>
      <c r="B474" s="10" t="s">
        <v>1110</v>
      </c>
      <c r="C474" s="10" t="s">
        <v>64</v>
      </c>
      <c r="D474" s="15" t="n">
        <v>88</v>
      </c>
      <c r="E474" s="10" t="s">
        <v>51</v>
      </c>
      <c r="F474" s="10" t="s">
        <v>1111</v>
      </c>
      <c r="G474" s="10"/>
      <c r="H474" s="15" t="n">
        <v>0</v>
      </c>
      <c r="I474" s="10" t="s">
        <v>64</v>
      </c>
      <c r="J474" s="10" t="n">
        <v>88</v>
      </c>
      <c r="K474" s="10" t="s">
        <v>51</v>
      </c>
      <c r="L474" s="10" t="s">
        <v>91</v>
      </c>
      <c r="M474" s="10" t="n">
        <v>1</v>
      </c>
      <c r="N474" s="10" t="s">
        <v>65</v>
      </c>
    </row>
    <row r="475" customFormat="false" ht="23.85" hidden="false" customHeight="false" outlineLevel="0" collapsed="false">
      <c r="A475" s="12" t="n">
        <v>46210</v>
      </c>
      <c r="B475" s="10" t="s">
        <v>63</v>
      </c>
      <c r="C475" s="10" t="s">
        <v>52</v>
      </c>
      <c r="D475" s="15" t="n">
        <v>88</v>
      </c>
      <c r="E475" s="10" t="s">
        <v>51</v>
      </c>
      <c r="F475" s="10" t="s">
        <v>1112</v>
      </c>
      <c r="G475" s="10" t="s">
        <v>1126</v>
      </c>
      <c r="H475" s="15" t="n">
        <v>550</v>
      </c>
      <c r="I475" s="10"/>
      <c r="J475" s="15"/>
      <c r="K475" s="10"/>
      <c r="L475" s="10" t="s">
        <v>99</v>
      </c>
      <c r="M475" s="10" t="n">
        <v>1</v>
      </c>
      <c r="N475" s="10" t="s">
        <v>70</v>
      </c>
    </row>
    <row r="476" customFormat="false" ht="23.85" hidden="false" customHeight="false" outlineLevel="0" collapsed="false">
      <c r="A476" s="12" t="n">
        <v>46210</v>
      </c>
      <c r="B476" s="10" t="s">
        <v>1110</v>
      </c>
      <c r="C476" s="10" t="s">
        <v>64</v>
      </c>
      <c r="D476" s="15" t="n">
        <v>88</v>
      </c>
      <c r="E476" s="10" t="s">
        <v>51</v>
      </c>
      <c r="F476" s="10" t="s">
        <v>1111</v>
      </c>
      <c r="G476" s="10"/>
      <c r="H476" s="15" t="n">
        <v>0</v>
      </c>
      <c r="I476" s="10" t="s">
        <v>64</v>
      </c>
      <c r="J476" s="10" t="n">
        <v>88</v>
      </c>
      <c r="K476" s="10" t="s">
        <v>51</v>
      </c>
      <c r="L476" s="10" t="s">
        <v>89</v>
      </c>
      <c r="M476" s="10" t="n">
        <v>1</v>
      </c>
      <c r="N476" s="10" t="s">
        <v>70</v>
      </c>
    </row>
    <row r="477" customFormat="false" ht="23.85" hidden="false" customHeight="false" outlineLevel="0" collapsed="false">
      <c r="A477" s="12" t="n">
        <v>46210</v>
      </c>
      <c r="B477" s="10" t="s">
        <v>63</v>
      </c>
      <c r="C477" s="10" t="s">
        <v>52</v>
      </c>
      <c r="D477" s="15" t="n">
        <v>88</v>
      </c>
      <c r="E477" s="10" t="s">
        <v>51</v>
      </c>
      <c r="F477" s="10" t="s">
        <v>1112</v>
      </c>
      <c r="G477" s="10" t="s">
        <v>1117</v>
      </c>
      <c r="H477" s="15" t="n">
        <v>550</v>
      </c>
      <c r="I477" s="10"/>
      <c r="J477" s="10"/>
      <c r="K477" s="10"/>
      <c r="L477" s="10" t="s">
        <v>96</v>
      </c>
      <c r="M477" s="10" t="n">
        <v>1</v>
      </c>
      <c r="N477" s="10" t="s">
        <v>70</v>
      </c>
    </row>
    <row r="478" customFormat="false" ht="23.85" hidden="false" customHeight="false" outlineLevel="0" collapsed="false">
      <c r="A478" s="12" t="n">
        <v>46210</v>
      </c>
      <c r="B478" s="10" t="s">
        <v>1110</v>
      </c>
      <c r="C478" s="10" t="s">
        <v>64</v>
      </c>
      <c r="D478" s="15" t="n">
        <v>88</v>
      </c>
      <c r="E478" s="10" t="s">
        <v>51</v>
      </c>
      <c r="F478" s="10" t="s">
        <v>1111</v>
      </c>
      <c r="G478" s="10"/>
      <c r="H478" s="15" t="n">
        <v>0</v>
      </c>
      <c r="I478" s="10" t="s">
        <v>64</v>
      </c>
      <c r="J478" s="15" t="n">
        <v>88</v>
      </c>
      <c r="K478" s="10" t="s">
        <v>51</v>
      </c>
      <c r="L478" s="10" t="s">
        <v>87</v>
      </c>
      <c r="M478" s="10" t="n">
        <v>1</v>
      </c>
      <c r="N478" s="10" t="s">
        <v>70</v>
      </c>
    </row>
    <row r="479" customFormat="false" ht="23.85" hidden="false" customHeight="false" outlineLevel="0" collapsed="false">
      <c r="A479" s="12" t="n">
        <v>46210</v>
      </c>
      <c r="B479" s="10" t="s">
        <v>63</v>
      </c>
      <c r="C479" s="10" t="s">
        <v>52</v>
      </c>
      <c r="D479" s="15" t="n">
        <v>63</v>
      </c>
      <c r="E479" s="10" t="s">
        <v>51</v>
      </c>
      <c r="F479" s="10" t="s">
        <v>1112</v>
      </c>
      <c r="G479" s="10" t="s">
        <v>1124</v>
      </c>
      <c r="H479" s="15" t="n">
        <v>660</v>
      </c>
      <c r="I479" s="10"/>
      <c r="J479" s="10"/>
      <c r="K479" s="10"/>
      <c r="L479" s="10" t="s">
        <v>93</v>
      </c>
      <c r="M479" s="10" t="n">
        <v>1</v>
      </c>
      <c r="N479" s="10" t="s">
        <v>70</v>
      </c>
    </row>
    <row r="480" customFormat="false" ht="23.85" hidden="false" customHeight="false" outlineLevel="0" collapsed="false">
      <c r="A480" s="12" t="n">
        <v>46210</v>
      </c>
      <c r="B480" s="10" t="s">
        <v>1110</v>
      </c>
      <c r="C480" s="10" t="s">
        <v>64</v>
      </c>
      <c r="D480" s="15" t="n">
        <v>84</v>
      </c>
      <c r="E480" s="10" t="s">
        <v>51</v>
      </c>
      <c r="F480" s="10" t="s">
        <v>1111</v>
      </c>
      <c r="G480" s="10"/>
      <c r="H480" s="10" t="n">
        <v>0</v>
      </c>
      <c r="I480" s="10" t="s">
        <v>64</v>
      </c>
      <c r="J480" s="15" t="n">
        <v>21</v>
      </c>
      <c r="K480" s="10" t="s">
        <v>77</v>
      </c>
      <c r="L480" s="10" t="s">
        <v>85</v>
      </c>
      <c r="M480" s="10" t="n">
        <v>1</v>
      </c>
      <c r="N480" s="10" t="s">
        <v>70</v>
      </c>
    </row>
    <row r="481" customFormat="false" ht="15" hidden="false" customHeight="false" outlineLevel="0" collapsed="false">
      <c r="A481" s="0" t="n">
        <v>46210</v>
      </c>
      <c r="B481" s="0" t="s">
        <v>63</v>
      </c>
      <c r="C481" s="0" t="s">
        <v>52</v>
      </c>
      <c r="D481" s="0" t="n">
        <v>88</v>
      </c>
      <c r="E481" s="0" t="s">
        <v>51</v>
      </c>
      <c r="F481" s="0" t="s">
        <v>1112</v>
      </c>
      <c r="G481" s="0" t="s">
        <v>1116</v>
      </c>
      <c r="H481" s="0" t="n">
        <v>550</v>
      </c>
      <c r="L481" s="0" t="s">
        <v>92</v>
      </c>
      <c r="M481" s="0" t="n">
        <v>1</v>
      </c>
      <c r="N481" s="152" t="s">
        <v>70</v>
      </c>
    </row>
    <row r="482" customFormat="false" ht="15" hidden="false" customHeight="false" outlineLevel="0" collapsed="false">
      <c r="A482" s="0" t="n">
        <v>46210</v>
      </c>
      <c r="B482" s="0" t="s">
        <v>1110</v>
      </c>
      <c r="C482" s="0" t="s">
        <v>64</v>
      </c>
      <c r="D482" s="0" t="n">
        <v>88</v>
      </c>
      <c r="E482" s="0" t="s">
        <v>51</v>
      </c>
      <c r="F482" s="0" t="s">
        <v>1111</v>
      </c>
      <c r="H482" s="0" t="n">
        <v>0</v>
      </c>
      <c r="I482" s="0" t="s">
        <v>64</v>
      </c>
      <c r="J482" s="0" t="n">
        <v>88</v>
      </c>
      <c r="K482" s="0" t="s">
        <v>51</v>
      </c>
      <c r="L482" s="0" t="s">
        <v>83</v>
      </c>
      <c r="M482" s="0" t="n">
        <v>1</v>
      </c>
      <c r="N482" s="0" t="s">
        <v>65</v>
      </c>
    </row>
    <row r="483" customFormat="false" ht="15" hidden="false" customHeight="false" outlineLevel="0" collapsed="false">
      <c r="A483" s="0" t="n">
        <v>46209</v>
      </c>
      <c r="B483" s="0" t="s">
        <v>63</v>
      </c>
      <c r="C483" s="0" t="s">
        <v>64</v>
      </c>
      <c r="D483" s="0" t="n">
        <v>29.5</v>
      </c>
      <c r="E483" s="0" t="s">
        <v>77</v>
      </c>
      <c r="F483" s="0" t="s">
        <v>1111</v>
      </c>
      <c r="H483" s="0" t="n">
        <v>0</v>
      </c>
      <c r="L483" s="0" t="s">
        <v>78</v>
      </c>
      <c r="M483" s="0" t="n">
        <v>1</v>
      </c>
      <c r="N483" s="152" t="s">
        <v>70</v>
      </c>
    </row>
    <row r="484" customFormat="false" ht="15" hidden="false" customHeight="false" outlineLevel="0" collapsed="false">
      <c r="A484" s="0" t="n">
        <v>46209</v>
      </c>
      <c r="B484" s="0" t="s">
        <v>63</v>
      </c>
      <c r="C484" s="0" t="s">
        <v>52</v>
      </c>
      <c r="D484" s="0" t="n">
        <v>82</v>
      </c>
      <c r="E484" s="0" t="s">
        <v>51</v>
      </c>
      <c r="F484" s="0" t="s">
        <v>1112</v>
      </c>
      <c r="G484" s="0" t="s">
        <v>1124</v>
      </c>
      <c r="H484" s="0" t="n">
        <v>660</v>
      </c>
      <c r="L484" s="0" t="s">
        <v>74</v>
      </c>
      <c r="M484" s="0" t="n">
        <v>1</v>
      </c>
      <c r="N484" s="152" t="s">
        <v>70</v>
      </c>
    </row>
    <row r="485" customFormat="false" ht="15" hidden="false" customHeight="false" outlineLevel="0" collapsed="false">
      <c r="A485" s="0" t="n">
        <v>46209</v>
      </c>
      <c r="B485" s="0" t="s">
        <v>1110</v>
      </c>
      <c r="C485" s="0" t="s">
        <v>64</v>
      </c>
      <c r="D485" s="0" t="n">
        <v>82</v>
      </c>
      <c r="E485" s="0" t="s">
        <v>51</v>
      </c>
      <c r="F485" s="0" t="s">
        <v>1111</v>
      </c>
      <c r="H485" s="0" t="n">
        <v>0</v>
      </c>
      <c r="I485" s="0" t="s">
        <v>64</v>
      </c>
      <c r="J485" s="0" t="n">
        <v>82</v>
      </c>
      <c r="K485" s="0" t="s">
        <v>51</v>
      </c>
      <c r="L485" s="0" t="s">
        <v>62</v>
      </c>
      <c r="M485" s="0" t="n">
        <v>1</v>
      </c>
      <c r="N485" s="152" t="s">
        <v>70</v>
      </c>
    </row>
    <row r="486" customFormat="false" ht="15" hidden="false" customHeight="false" outlineLevel="0" collapsed="false">
      <c r="A486" s="0" t="n">
        <v>46209</v>
      </c>
      <c r="B486" s="0" t="s">
        <v>63</v>
      </c>
      <c r="C486" s="0" t="s">
        <v>52</v>
      </c>
      <c r="D486" s="0" t="n">
        <v>86.5</v>
      </c>
      <c r="E486" s="0" t="s">
        <v>51</v>
      </c>
      <c r="F486" s="0" t="s">
        <v>1112</v>
      </c>
      <c r="G486" s="0" t="s">
        <v>1116</v>
      </c>
      <c r="H486" s="0" t="n">
        <v>550</v>
      </c>
      <c r="L486" s="0" t="s">
        <v>71</v>
      </c>
      <c r="M486" s="0" t="n">
        <v>1</v>
      </c>
      <c r="N486" s="152" t="s">
        <v>70</v>
      </c>
    </row>
    <row r="487" customFormat="false" ht="15" hidden="false" customHeight="false" outlineLevel="0" collapsed="false">
      <c r="A487" s="0" t="n">
        <v>46209</v>
      </c>
      <c r="B487" s="0" t="s">
        <v>1110</v>
      </c>
      <c r="C487" s="0" t="s">
        <v>64</v>
      </c>
      <c r="D487" s="0" t="n">
        <v>86.5</v>
      </c>
      <c r="E487" s="0" t="s">
        <v>51</v>
      </c>
      <c r="F487" s="0" t="s">
        <v>1111</v>
      </c>
      <c r="I487" s="0" t="s">
        <v>64</v>
      </c>
      <c r="J487" s="0" t="n">
        <v>86.5</v>
      </c>
      <c r="K487" s="0" t="s">
        <v>51</v>
      </c>
      <c r="L487" s="0" t="s">
        <v>58</v>
      </c>
      <c r="M487" s="0" t="n">
        <v>1</v>
      </c>
      <c r="N487" s="0" t="s">
        <v>65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 A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0" hidden="false" customHeight="true" outlineLevel="0" collapsed="false">
      <c r="A1" s="6" t="s">
        <v>1130</v>
      </c>
      <c r="B1" s="6" t="s">
        <v>1131</v>
      </c>
      <c r="C1" s="6" t="s">
        <v>1132</v>
      </c>
      <c r="D1" s="6" t="s">
        <v>1108</v>
      </c>
      <c r="E1" s="6" t="s">
        <v>1133</v>
      </c>
      <c r="F1" s="6" t="s">
        <v>1134</v>
      </c>
      <c r="G1" s="6" t="s">
        <v>22</v>
      </c>
    </row>
    <row r="2" customFormat="false" ht="15" hidden="false" customHeight="false" outlineLevel="0" collapsed="false">
      <c r="A2" s="10" t="s">
        <v>52</v>
      </c>
      <c r="B2" s="10" t="s">
        <v>51</v>
      </c>
      <c r="C2" s="10" t="s">
        <v>64</v>
      </c>
      <c r="D2" s="10" t="s">
        <v>77</v>
      </c>
      <c r="E2" s="15" t="n">
        <v>4</v>
      </c>
      <c r="F2" s="10" t="s">
        <v>49</v>
      </c>
      <c r="G2" s="10" t="s">
        <v>1135</v>
      </c>
    </row>
    <row r="3" customFormat="false" ht="15" hidden="false" customHeight="false" outlineLevel="0" collapsed="false">
      <c r="A3" s="10" t="s">
        <v>258</v>
      </c>
      <c r="B3" s="10" t="s">
        <v>51</v>
      </c>
      <c r="C3" s="10" t="s">
        <v>255</v>
      </c>
      <c r="D3" s="10" t="s">
        <v>77</v>
      </c>
      <c r="E3" s="15" t="n">
        <v>4</v>
      </c>
      <c r="F3" s="10" t="s">
        <v>49</v>
      </c>
      <c r="G3" s="10" t="s">
        <v>1135</v>
      </c>
    </row>
    <row r="4" customFormat="false" ht="15" hidden="false" customHeight="false" outlineLevel="0" collapsed="false">
      <c r="A4" s="10" t="s">
        <v>643</v>
      </c>
      <c r="B4" s="10" t="s">
        <v>51</v>
      </c>
      <c r="C4" s="10" t="s">
        <v>64</v>
      </c>
      <c r="D4" s="10" t="s">
        <v>77</v>
      </c>
      <c r="E4" s="15" t="n">
        <v>4</v>
      </c>
      <c r="F4" s="10" t="s">
        <v>49</v>
      </c>
      <c r="G4" s="10" t="s">
        <v>1136</v>
      </c>
    </row>
    <row r="7" customFormat="false" ht="46.25" hidden="false" customHeight="false" outlineLevel="0" collapsed="false">
      <c r="A7" s="10" t="s">
        <v>1137</v>
      </c>
    </row>
    <row r="8" customFormat="false" ht="15" hidden="false" customHeight="false" outlineLevel="0" collapsed="false">
      <c r="A8" s="0" t="s">
        <v>1051</v>
      </c>
      <c r="B8" s="0" t="s">
        <v>51</v>
      </c>
      <c r="C8" s="0" t="s">
        <v>1045</v>
      </c>
      <c r="D8" s="0" t="s">
        <v>77</v>
      </c>
      <c r="E8" s="0" t="n">
        <v>4</v>
      </c>
      <c r="F8" s="0" t="s">
        <v>49</v>
      </c>
      <c r="G8" s="0" t="s">
        <v>1138</v>
      </c>
    </row>
    <row r="9" customFormat="false" ht="15" hidden="false" customHeight="false" outlineLevel="0" collapsed="false">
      <c r="A9" s="0" t="s">
        <v>1139</v>
      </c>
      <c r="B9" s="0" t="s">
        <v>51</v>
      </c>
      <c r="C9" s="0" t="s">
        <v>1051</v>
      </c>
      <c r="D9" s="0" t="s">
        <v>51</v>
      </c>
      <c r="E9" s="0" t="n">
        <v>1</v>
      </c>
      <c r="F9" s="0" t="s">
        <v>49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8" activePane="bottomLeft" state="frozen"/>
      <selection pane="topLeft" activeCell="A1" activeCellId="0" sqref="A1"/>
      <selection pane="bottomLeft" activeCell="A36" activeCellId="1" sqref="A1 A3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7" min="6" style="0" width="40"/>
    <col collapsed="false" customWidth="true" hidden="false" outlineLevel="0" max="8" min="8" style="0" width="34"/>
  </cols>
  <sheetData>
    <row r="1" customFormat="false" ht="30" hidden="false" customHeight="true" outlineLevel="0" collapsed="false">
      <c r="A1" s="6" t="s">
        <v>1140</v>
      </c>
      <c r="B1" s="6" t="s">
        <v>1141</v>
      </c>
      <c r="C1" s="6" t="s">
        <v>1109</v>
      </c>
      <c r="D1" s="6" t="s">
        <v>1142</v>
      </c>
      <c r="E1" s="6" t="s">
        <v>1143</v>
      </c>
      <c r="F1" s="6" t="s">
        <v>1144</v>
      </c>
      <c r="G1" s="6" t="s">
        <v>1145</v>
      </c>
      <c r="H1" s="6" t="s">
        <v>1146</v>
      </c>
    </row>
    <row r="2" customFormat="false" ht="23.85" hidden="false" customHeight="false" outlineLevel="0" collapsed="false">
      <c r="A2" s="17" t="n">
        <v>46303.8045601852</v>
      </c>
      <c r="B2" s="10" t="s">
        <v>1147</v>
      </c>
      <c r="C2" s="10" t="s">
        <v>1148</v>
      </c>
      <c r="D2" s="10" t="s">
        <v>1149</v>
      </c>
      <c r="E2" s="10" t="s">
        <v>1150</v>
      </c>
      <c r="F2" s="10" t="s">
        <v>1151</v>
      </c>
      <c r="G2" s="10" t="s">
        <v>1152</v>
      </c>
      <c r="H2" s="10" t="s">
        <v>1153</v>
      </c>
    </row>
    <row r="3" customFormat="false" ht="23.85" hidden="false" customHeight="false" outlineLevel="0" collapsed="false">
      <c r="A3" s="17" t="n">
        <v>46303.8045601852</v>
      </c>
      <c r="B3" s="10" t="s">
        <v>1147</v>
      </c>
      <c r="C3" s="10" t="s">
        <v>1148</v>
      </c>
      <c r="D3" s="10" t="s">
        <v>1149</v>
      </c>
      <c r="E3" s="10" t="s">
        <v>1154</v>
      </c>
      <c r="F3" s="10" t="s">
        <v>1155</v>
      </c>
      <c r="G3" s="10" t="s">
        <v>1156</v>
      </c>
      <c r="H3" s="10"/>
    </row>
    <row r="4" customFormat="false" ht="15" hidden="false" customHeight="false" outlineLevel="0" collapsed="false">
      <c r="A4" s="17" t="n">
        <v>46303.8045601852</v>
      </c>
      <c r="B4" s="10" t="s">
        <v>1147</v>
      </c>
      <c r="C4" s="10" t="s">
        <v>1148</v>
      </c>
      <c r="D4" s="10" t="s">
        <v>1149</v>
      </c>
      <c r="E4" s="10" t="s">
        <v>39</v>
      </c>
      <c r="F4" s="10" t="s">
        <v>1157</v>
      </c>
      <c r="G4" s="10" t="s">
        <v>1158</v>
      </c>
      <c r="H4" s="10" t="s">
        <v>1159</v>
      </c>
    </row>
    <row r="5" customFormat="false" ht="15" hidden="false" customHeight="false" outlineLevel="0" collapsed="false">
      <c r="A5" s="17" t="n">
        <v>46303.8045601852</v>
      </c>
      <c r="B5" s="10" t="s">
        <v>1147</v>
      </c>
      <c r="C5" s="10" t="s">
        <v>1148</v>
      </c>
      <c r="D5" s="10" t="s">
        <v>1149</v>
      </c>
      <c r="E5" s="10" t="s">
        <v>1160</v>
      </c>
      <c r="F5" s="10" t="s">
        <v>1161</v>
      </c>
      <c r="G5" s="10" t="s">
        <v>1162</v>
      </c>
      <c r="H5" s="10" t="s">
        <v>1163</v>
      </c>
    </row>
    <row r="6" customFormat="false" ht="15" hidden="false" customHeight="false" outlineLevel="0" collapsed="false">
      <c r="A6" s="17" t="n">
        <v>46303.8045601852</v>
      </c>
      <c r="B6" s="10" t="s">
        <v>1147</v>
      </c>
      <c r="C6" s="10" t="s">
        <v>1148</v>
      </c>
      <c r="D6" s="10" t="s">
        <v>1149</v>
      </c>
      <c r="E6" s="10" t="s">
        <v>1164</v>
      </c>
      <c r="F6" s="10" t="s">
        <v>1165</v>
      </c>
      <c r="G6" s="10" t="s">
        <v>1166</v>
      </c>
      <c r="H6" s="10"/>
    </row>
    <row r="7" customFormat="false" ht="15" hidden="false" customHeight="false" outlineLevel="0" collapsed="false">
      <c r="A7" s="17" t="n">
        <v>46303.8045601852</v>
      </c>
      <c r="B7" s="10" t="s">
        <v>1147</v>
      </c>
      <c r="C7" s="10" t="s">
        <v>1148</v>
      </c>
      <c r="D7" s="10" t="s">
        <v>1149</v>
      </c>
      <c r="E7" s="10" t="s">
        <v>1167</v>
      </c>
      <c r="F7" s="10" t="s">
        <v>1072</v>
      </c>
      <c r="G7" s="10" t="s">
        <v>1168</v>
      </c>
      <c r="H7" s="10"/>
    </row>
    <row r="8" customFormat="false" ht="15" hidden="false" customHeight="false" outlineLevel="0" collapsed="false">
      <c r="A8" s="0" t="n">
        <v>46303.8045949074</v>
      </c>
      <c r="B8" s="0" t="s">
        <v>1047</v>
      </c>
      <c r="C8" s="0" t="s">
        <v>1048</v>
      </c>
      <c r="D8" s="0" t="s">
        <v>1169</v>
      </c>
      <c r="E8" s="0" t="s">
        <v>1170</v>
      </c>
      <c r="G8" s="0" t="s">
        <v>1171</v>
      </c>
    </row>
    <row r="9" customFormat="false" ht="15" hidden="false" customHeight="false" outlineLevel="0" collapsed="false">
      <c r="A9" s="0" t="n">
        <v>46303.8046527778</v>
      </c>
      <c r="B9" s="0" t="s">
        <v>1047</v>
      </c>
      <c r="C9" s="0" t="s">
        <v>1172</v>
      </c>
      <c r="D9" s="0" t="s">
        <v>1169</v>
      </c>
      <c r="E9" s="0" t="s">
        <v>1170</v>
      </c>
      <c r="G9" s="0" t="s">
        <v>1173</v>
      </c>
    </row>
    <row r="10" customFormat="false" ht="15" hidden="false" customHeight="false" outlineLevel="0" collapsed="false">
      <c r="A10" s="0" t="n">
        <v>46303.8047337963</v>
      </c>
      <c r="B10" s="0" t="s">
        <v>1047</v>
      </c>
      <c r="C10" s="0" t="s">
        <v>1049</v>
      </c>
      <c r="D10" s="0" t="s">
        <v>1169</v>
      </c>
      <c r="E10" s="0" t="s">
        <v>1170</v>
      </c>
      <c r="G10" s="0" t="s">
        <v>1174</v>
      </c>
    </row>
    <row r="11" customFormat="false" ht="15" hidden="false" customHeight="false" outlineLevel="0" collapsed="false">
      <c r="A11" s="0" t="n">
        <v>46303.8047916667</v>
      </c>
      <c r="B11" s="0" t="s">
        <v>1047</v>
      </c>
      <c r="C11" s="0" t="s">
        <v>1172</v>
      </c>
      <c r="D11" s="0" t="s">
        <v>1175</v>
      </c>
      <c r="E11" s="0" t="s">
        <v>1103</v>
      </c>
      <c r="F11" s="0" t="n">
        <v>120</v>
      </c>
      <c r="G11" s="0" t="n">
        <v>80</v>
      </c>
      <c r="H11" s="0" t="s">
        <v>1046</v>
      </c>
    </row>
    <row r="12" customFormat="false" ht="15" hidden="false" customHeight="false" outlineLevel="0" collapsed="false">
      <c r="A12" s="0" t="n">
        <v>46303.8047916667</v>
      </c>
      <c r="B12" s="0" t="s">
        <v>1047</v>
      </c>
      <c r="C12" s="0" t="s">
        <v>1172</v>
      </c>
      <c r="D12" s="0" t="s">
        <v>1175</v>
      </c>
      <c r="E12" s="0" t="s">
        <v>1176</v>
      </c>
      <c r="F12" s="0" t="s">
        <v>1177</v>
      </c>
      <c r="G12" s="0" t="s">
        <v>1178</v>
      </c>
      <c r="H12" s="0" t="s">
        <v>1046</v>
      </c>
    </row>
    <row r="13" customFormat="false" ht="15" hidden="false" customHeight="false" outlineLevel="0" collapsed="false">
      <c r="A13" s="0" t="n">
        <v>46303.8047916667</v>
      </c>
      <c r="B13" s="0" t="s">
        <v>1047</v>
      </c>
      <c r="C13" s="0" t="s">
        <v>1172</v>
      </c>
      <c r="D13" s="0" t="s">
        <v>1175</v>
      </c>
      <c r="E13" s="0" t="s">
        <v>45</v>
      </c>
      <c r="F13" s="0" t="n">
        <v>1</v>
      </c>
      <c r="G13" s="0" t="s">
        <v>1179</v>
      </c>
      <c r="H13" s="0" t="s">
        <v>1046</v>
      </c>
    </row>
    <row r="14" customFormat="false" ht="15" hidden="false" customHeight="false" outlineLevel="0" collapsed="false">
      <c r="A14" s="0" t="n">
        <v>46303.8048726852</v>
      </c>
      <c r="B14" s="0" t="s">
        <v>1047</v>
      </c>
      <c r="C14" s="0" t="s">
        <v>1172</v>
      </c>
      <c r="D14" s="0" t="s">
        <v>1180</v>
      </c>
      <c r="E14" s="0" t="s">
        <v>1170</v>
      </c>
      <c r="F14" s="0" t="s">
        <v>1181</v>
      </c>
      <c r="G14" s="0" t="s">
        <v>1182</v>
      </c>
      <c r="H14" s="0" t="s">
        <v>1183</v>
      </c>
    </row>
    <row r="15" customFormat="false" ht="15" hidden="false" customHeight="false" outlineLevel="0" collapsed="false">
      <c r="A15" s="0" t="n">
        <v>46303.8048726852</v>
      </c>
      <c r="B15" s="0" t="s">
        <v>1047</v>
      </c>
      <c r="C15" s="0" t="s">
        <v>1172</v>
      </c>
      <c r="D15" s="0" t="s">
        <v>1180</v>
      </c>
      <c r="E15" s="0" t="s">
        <v>1184</v>
      </c>
      <c r="G15" s="0" t="s">
        <v>1185</v>
      </c>
      <c r="H15" s="0" t="s">
        <v>1183</v>
      </c>
    </row>
    <row r="16" customFormat="false" ht="15" hidden="false" customHeight="false" outlineLevel="0" collapsed="false">
      <c r="A16" s="0" t="n">
        <v>46303.8049421296</v>
      </c>
      <c r="B16" s="0" t="s">
        <v>1047</v>
      </c>
      <c r="C16" s="0" t="s">
        <v>1065</v>
      </c>
      <c r="D16" s="0" t="s">
        <v>1169</v>
      </c>
      <c r="E16" s="0" t="s">
        <v>1170</v>
      </c>
      <c r="G16" s="0" t="s">
        <v>1186</v>
      </c>
    </row>
    <row r="17" customFormat="false" ht="15" hidden="false" customHeight="false" outlineLevel="0" collapsed="false">
      <c r="A17" s="0" t="n">
        <v>46303.8050115741</v>
      </c>
      <c r="B17" s="0" t="s">
        <v>1047</v>
      </c>
      <c r="C17" s="0" t="s">
        <v>1052</v>
      </c>
      <c r="D17" s="0" t="s">
        <v>1169</v>
      </c>
      <c r="E17" s="0" t="s">
        <v>1170</v>
      </c>
      <c r="G17" s="0" t="s">
        <v>1187</v>
      </c>
    </row>
    <row r="18" customFormat="false" ht="15" hidden="false" customHeight="false" outlineLevel="0" collapsed="false">
      <c r="A18" s="0" t="n">
        <v>46303.8050694445</v>
      </c>
      <c r="B18" s="0" t="s">
        <v>1047</v>
      </c>
      <c r="C18" s="0" t="s">
        <v>1061</v>
      </c>
      <c r="D18" s="0" t="s">
        <v>1169</v>
      </c>
      <c r="E18" s="0" t="s">
        <v>1170</v>
      </c>
      <c r="G18" s="0" t="s">
        <v>1188</v>
      </c>
    </row>
    <row r="19" customFormat="false" ht="15" hidden="false" customHeight="false" outlineLevel="0" collapsed="false">
      <c r="A19" s="0" t="n">
        <v>46303.8051273148</v>
      </c>
      <c r="B19" s="0" t="s">
        <v>1047</v>
      </c>
      <c r="C19" s="0" t="s">
        <v>1058</v>
      </c>
      <c r="D19" s="0" t="s">
        <v>1169</v>
      </c>
      <c r="E19" s="0" t="s">
        <v>1170</v>
      </c>
      <c r="G19" s="0" t="s">
        <v>1189</v>
      </c>
    </row>
    <row r="20" customFormat="false" ht="15" hidden="false" customHeight="false" outlineLevel="0" collapsed="false">
      <c r="A20" s="0" t="n">
        <v>46303.8051851852</v>
      </c>
      <c r="B20" s="0" t="s">
        <v>1047</v>
      </c>
      <c r="C20" s="0" t="s">
        <v>1061</v>
      </c>
      <c r="D20" s="0" t="s">
        <v>1175</v>
      </c>
      <c r="E20" s="0" t="s">
        <v>39</v>
      </c>
      <c r="F20" s="0" t="s">
        <v>59</v>
      </c>
      <c r="G20" s="0" t="s">
        <v>49</v>
      </c>
      <c r="H20" s="0" t="s">
        <v>1046</v>
      </c>
    </row>
    <row r="21" customFormat="false" ht="15" hidden="false" customHeight="false" outlineLevel="0" collapsed="false">
      <c r="A21" s="0" t="n">
        <v>46303.8051851852</v>
      </c>
      <c r="B21" s="0" t="s">
        <v>1047</v>
      </c>
      <c r="C21" s="0" t="s">
        <v>1061</v>
      </c>
      <c r="D21" s="0" t="s">
        <v>1175</v>
      </c>
      <c r="E21" s="0" t="s">
        <v>1190</v>
      </c>
      <c r="G21" s="0" t="s">
        <v>1059</v>
      </c>
      <c r="H21" s="0" t="s">
        <v>1046</v>
      </c>
    </row>
    <row r="22" customFormat="false" ht="15" hidden="false" customHeight="false" outlineLevel="0" collapsed="false">
      <c r="A22" s="0" t="n">
        <v>46303.8051851852</v>
      </c>
      <c r="B22" s="0" t="s">
        <v>1047</v>
      </c>
      <c r="C22" s="0" t="s">
        <v>1061</v>
      </c>
      <c r="D22" s="0" t="s">
        <v>1175</v>
      </c>
      <c r="E22" s="0" t="s">
        <v>41</v>
      </c>
      <c r="G22" s="0" t="s">
        <v>1063</v>
      </c>
      <c r="H22" s="0" t="s">
        <v>1046</v>
      </c>
    </row>
    <row r="23" customFormat="false" ht="15" hidden="false" customHeight="false" outlineLevel="0" collapsed="false">
      <c r="A23" s="0" t="n">
        <v>46303.8051851852</v>
      </c>
      <c r="B23" s="0" t="s">
        <v>1047</v>
      </c>
      <c r="C23" s="0" t="s">
        <v>1061</v>
      </c>
      <c r="D23" s="0" t="s">
        <v>1175</v>
      </c>
      <c r="E23" s="0" t="s">
        <v>1191</v>
      </c>
      <c r="G23" s="0" t="s">
        <v>1060</v>
      </c>
      <c r="H23" s="0" t="s">
        <v>1046</v>
      </c>
    </row>
    <row r="24" customFormat="false" ht="15" hidden="false" customHeight="false" outlineLevel="0" collapsed="false">
      <c r="A24" s="0" t="n">
        <v>46303.8051851852</v>
      </c>
      <c r="B24" s="0" t="s">
        <v>1047</v>
      </c>
      <c r="C24" s="0" t="s">
        <v>1061</v>
      </c>
      <c r="D24" s="0" t="s">
        <v>1175</v>
      </c>
      <c r="E24" s="0" t="s">
        <v>40</v>
      </c>
      <c r="G24" s="0" t="s">
        <v>1062</v>
      </c>
      <c r="H24" s="0" t="s">
        <v>1046</v>
      </c>
    </row>
    <row r="25" customFormat="false" ht="15" hidden="false" customHeight="false" outlineLevel="0" collapsed="false">
      <c r="A25" s="0" t="n">
        <v>46303.8051851852</v>
      </c>
      <c r="B25" s="0" t="s">
        <v>1047</v>
      </c>
      <c r="C25" s="0" t="s">
        <v>1061</v>
      </c>
      <c r="D25" s="0" t="s">
        <v>1175</v>
      </c>
      <c r="E25" s="0" t="s">
        <v>1192</v>
      </c>
      <c r="F25" s="0" t="n">
        <v>0</v>
      </c>
      <c r="G25" s="0" t="n">
        <v>40</v>
      </c>
      <c r="H25" s="0" t="s">
        <v>1046</v>
      </c>
    </row>
    <row r="26" customFormat="false" ht="15" hidden="false" customHeight="false" outlineLevel="0" collapsed="false">
      <c r="A26" s="0" t="n">
        <v>46303.8051967593</v>
      </c>
      <c r="B26" s="0" t="s">
        <v>1047</v>
      </c>
      <c r="C26" s="0" t="s">
        <v>1061</v>
      </c>
      <c r="D26" s="0" t="s">
        <v>1175</v>
      </c>
      <c r="E26" s="0" t="s">
        <v>20</v>
      </c>
      <c r="F26" s="0" t="n">
        <v>0</v>
      </c>
      <c r="G26" s="0" t="n">
        <v>200</v>
      </c>
      <c r="H26" s="0" t="s">
        <v>1046</v>
      </c>
    </row>
    <row r="27" customFormat="false" ht="15" hidden="false" customHeight="false" outlineLevel="0" collapsed="false">
      <c r="A27" s="0" t="n">
        <v>46303.8051967593</v>
      </c>
      <c r="B27" s="0" t="s">
        <v>1047</v>
      </c>
      <c r="C27" s="0" t="s">
        <v>1061</v>
      </c>
      <c r="D27" s="0" t="s">
        <v>1175</v>
      </c>
      <c r="E27" s="0" t="s">
        <v>45</v>
      </c>
      <c r="F27" s="0" t="n">
        <v>1</v>
      </c>
      <c r="G27" s="0" t="s">
        <v>1193</v>
      </c>
      <c r="H27" s="0" t="s">
        <v>1046</v>
      </c>
    </row>
    <row r="28" customFormat="false" ht="15" hidden="false" customHeight="false" outlineLevel="0" collapsed="false">
      <c r="A28" s="0" t="n">
        <v>46303.8052430556</v>
      </c>
      <c r="B28" s="0" t="s">
        <v>1047</v>
      </c>
      <c r="C28" s="0" t="s">
        <v>1065</v>
      </c>
      <c r="D28" s="0" t="s">
        <v>1175</v>
      </c>
      <c r="E28" s="0" t="s">
        <v>39</v>
      </c>
      <c r="F28" s="0" t="s">
        <v>49</v>
      </c>
      <c r="G28" s="0" t="s">
        <v>59</v>
      </c>
      <c r="H28" s="0" t="s">
        <v>1046</v>
      </c>
    </row>
    <row r="29" customFormat="false" ht="15" hidden="false" customHeight="false" outlineLevel="0" collapsed="false">
      <c r="A29" s="0" t="n">
        <v>46303.8052546296</v>
      </c>
      <c r="B29" s="0" t="s">
        <v>1047</v>
      </c>
      <c r="C29" s="0" t="s">
        <v>1065</v>
      </c>
      <c r="D29" s="0" t="s">
        <v>1175</v>
      </c>
      <c r="E29" s="0" t="s">
        <v>1190</v>
      </c>
      <c r="F29" s="0" t="s">
        <v>1194</v>
      </c>
      <c r="H29" s="0" t="s">
        <v>1046</v>
      </c>
    </row>
    <row r="30" customFormat="false" ht="15" hidden="false" customHeight="false" outlineLevel="0" collapsed="false">
      <c r="A30" s="0" t="n">
        <v>46303.8052546296</v>
      </c>
      <c r="B30" s="0" t="s">
        <v>1047</v>
      </c>
      <c r="C30" s="0" t="s">
        <v>1065</v>
      </c>
      <c r="D30" s="0" t="s">
        <v>1175</v>
      </c>
      <c r="E30" s="0" t="s">
        <v>41</v>
      </c>
      <c r="F30" s="0" t="s">
        <v>1195</v>
      </c>
      <c r="H30" s="0" t="s">
        <v>1046</v>
      </c>
    </row>
    <row r="31" customFormat="false" ht="15" hidden="false" customHeight="false" outlineLevel="0" collapsed="false">
      <c r="A31" s="0" t="n">
        <v>46303.8052546296</v>
      </c>
      <c r="B31" s="0" t="s">
        <v>1047</v>
      </c>
      <c r="C31" s="0" t="s">
        <v>1065</v>
      </c>
      <c r="D31" s="0" t="s">
        <v>1175</v>
      </c>
      <c r="E31" s="0" t="s">
        <v>1191</v>
      </c>
      <c r="F31" s="0" t="s">
        <v>69</v>
      </c>
      <c r="H31" s="0" t="s">
        <v>1046</v>
      </c>
    </row>
    <row r="32" customFormat="false" ht="15" hidden="false" customHeight="false" outlineLevel="0" collapsed="false">
      <c r="A32" s="0" t="n">
        <v>46303.8052546296</v>
      </c>
      <c r="B32" s="0" t="s">
        <v>1047</v>
      </c>
      <c r="C32" s="0" t="s">
        <v>1065</v>
      </c>
      <c r="D32" s="0" t="s">
        <v>1175</v>
      </c>
      <c r="E32" s="0" t="s">
        <v>1196</v>
      </c>
      <c r="F32" s="0" t="s">
        <v>1197</v>
      </c>
      <c r="H32" s="0" t="s">
        <v>1046</v>
      </c>
    </row>
    <row r="33" customFormat="false" ht="15" hidden="false" customHeight="false" outlineLevel="0" collapsed="false">
      <c r="A33" s="0" t="n">
        <v>46303.8052546296</v>
      </c>
      <c r="B33" s="0" t="s">
        <v>1047</v>
      </c>
      <c r="C33" s="0" t="s">
        <v>1065</v>
      </c>
      <c r="D33" s="0" t="s">
        <v>1175</v>
      </c>
      <c r="E33" s="0" t="s">
        <v>40</v>
      </c>
      <c r="F33" s="0" t="s">
        <v>1198</v>
      </c>
      <c r="H33" s="0" t="s">
        <v>1046</v>
      </c>
    </row>
    <row r="34" customFormat="false" ht="15" hidden="false" customHeight="false" outlineLevel="0" collapsed="false">
      <c r="A34" s="0" t="n">
        <v>46303.8052546296</v>
      </c>
      <c r="B34" s="0" t="s">
        <v>1047</v>
      </c>
      <c r="C34" s="0" t="s">
        <v>1065</v>
      </c>
      <c r="D34" s="0" t="s">
        <v>1175</v>
      </c>
      <c r="E34" s="0" t="s">
        <v>1192</v>
      </c>
      <c r="F34" s="0" t="n">
        <v>110</v>
      </c>
      <c r="G34" s="0" t="n">
        <v>0</v>
      </c>
      <c r="H34" s="0" t="s">
        <v>1046</v>
      </c>
    </row>
    <row r="35" customFormat="false" ht="15" hidden="false" customHeight="false" outlineLevel="0" collapsed="false">
      <c r="A35" s="0" t="n">
        <v>46303.8052546296</v>
      </c>
      <c r="B35" s="0" t="s">
        <v>1047</v>
      </c>
      <c r="C35" s="0" t="s">
        <v>1065</v>
      </c>
      <c r="D35" s="0" t="s">
        <v>1175</v>
      </c>
      <c r="E35" s="0" t="s">
        <v>20</v>
      </c>
      <c r="F35" s="0" t="n">
        <v>550</v>
      </c>
      <c r="G35" s="0" t="n">
        <v>0</v>
      </c>
      <c r="H35" s="0" t="s">
        <v>1046</v>
      </c>
    </row>
    <row r="36" customFormat="false" ht="15" hidden="false" customHeight="false" outlineLevel="0" collapsed="false">
      <c r="A36" s="0" t="n">
        <v>46303.8052546296</v>
      </c>
      <c r="B36" s="0" t="s">
        <v>1047</v>
      </c>
      <c r="C36" s="0" t="s">
        <v>1065</v>
      </c>
      <c r="D36" s="0" t="s">
        <v>1175</v>
      </c>
      <c r="E36" s="0" t="s">
        <v>45</v>
      </c>
      <c r="F36" s="0" t="n">
        <v>1</v>
      </c>
      <c r="G36" s="0" t="s">
        <v>1199</v>
      </c>
      <c r="H36" s="0" t="s">
        <v>1046</v>
      </c>
    </row>
    <row r="37" customFormat="false" ht="15" hidden="false" customHeight="false" outlineLevel="0" collapsed="false">
      <c r="A37" s="0" t="n">
        <v>46303.8053240741</v>
      </c>
      <c r="B37" s="0" t="s">
        <v>1047</v>
      </c>
      <c r="C37" s="0" t="s">
        <v>1066</v>
      </c>
      <c r="D37" s="0" t="s">
        <v>1169</v>
      </c>
      <c r="E37" s="0" t="s">
        <v>1170</v>
      </c>
      <c r="G37" s="0" t="s">
        <v>1200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X7"/>
  <sheetViews>
    <sheetView showFormulas="false" showGridLines="true" showRowColHeaders="true" showZeros="true" rightToLeft="false" tabSelected="false" showOutlineSymbols="true" defaultGridColor="true" view="normal" topLeftCell="AK1" colorId="64" zoomScale="100" zoomScaleNormal="100" zoomScalePageLayoutView="100" workbookViewId="0">
      <pane xSplit="0" ySplit="1" topLeftCell="A2" activePane="bottomLeft" state="frozen"/>
      <selection pane="topLeft" activeCell="AK1" activeCellId="0" sqref="AK1"/>
      <selection pane="bottomLeft" activeCell="AM7" activeCellId="1" sqref="A1 AM7"/>
    </sheetView>
  </sheetViews>
  <sheetFormatPr defaultColWidth="8.6796875" defaultRowHeight="15" zeroHeight="false" outlineLevelRow="0" outlineLevelCol="0"/>
  <cols>
    <col collapsed="false" customWidth="true" hidden="false" outlineLevel="0" max="50" min="1" style="0" width="16"/>
  </cols>
  <sheetData>
    <row r="1" customFormat="false" ht="30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1201</v>
      </c>
      <c r="AV1" s="6" t="s">
        <v>1141</v>
      </c>
      <c r="AW1" s="6" t="s">
        <v>1142</v>
      </c>
      <c r="AX1" s="6" t="s">
        <v>1146</v>
      </c>
    </row>
    <row r="2" customFormat="false" ht="15" hidden="false" customHeight="false" outlineLevel="0" collapsed="false">
      <c r="A2" s="0" t="n">
        <v>46303</v>
      </c>
      <c r="C2" s="0" t="n">
        <v>46303</v>
      </c>
      <c r="D2" s="0" t="s">
        <v>1043</v>
      </c>
      <c r="E2" s="0" t="s">
        <v>47</v>
      </c>
      <c r="F2" s="0" t="s">
        <v>1050</v>
      </c>
      <c r="G2" s="0" t="s">
        <v>49</v>
      </c>
      <c r="H2" s="0" t="s">
        <v>76</v>
      </c>
      <c r="I2" s="0" t="n">
        <v>120</v>
      </c>
      <c r="J2" s="0" t="s">
        <v>51</v>
      </c>
      <c r="K2" s="0" t="n">
        <v>0</v>
      </c>
      <c r="L2" s="0" t="n">
        <v>0</v>
      </c>
      <c r="M2" s="0" t="n">
        <v>0</v>
      </c>
      <c r="N2" s="0" t="s">
        <v>1051</v>
      </c>
      <c r="Q2" s="0" t="n">
        <v>0</v>
      </c>
      <c r="V2" s="0" t="s">
        <v>54</v>
      </c>
      <c r="W2" s="0" t="s">
        <v>1046</v>
      </c>
      <c r="Y2" s="0" t="n">
        <v>46303.8046527778</v>
      </c>
      <c r="AK2" s="0" t="s">
        <v>1047</v>
      </c>
      <c r="AM2" s="0" t="s">
        <v>1172</v>
      </c>
      <c r="AN2" s="0" t="s">
        <v>59</v>
      </c>
      <c r="AR2" s="0" t="s">
        <v>66</v>
      </c>
      <c r="AS2" s="0" t="s">
        <v>1056</v>
      </c>
      <c r="AT2" s="0" t="n">
        <v>1</v>
      </c>
      <c r="AU2" s="0" t="n">
        <v>46303.8047916667</v>
      </c>
      <c r="AV2" s="0" t="s">
        <v>1047</v>
      </c>
      <c r="AW2" s="0" t="s">
        <v>1175</v>
      </c>
      <c r="AX2" s="0" t="s">
        <v>1046</v>
      </c>
    </row>
    <row r="3" customFormat="false" ht="15" hidden="false" customHeight="false" outlineLevel="0" collapsed="false">
      <c r="A3" s="0" t="n">
        <v>46303</v>
      </c>
      <c r="C3" s="0" t="n">
        <v>46303</v>
      </c>
      <c r="D3" s="0" t="s">
        <v>1043</v>
      </c>
      <c r="E3" s="0" t="s">
        <v>79</v>
      </c>
      <c r="F3" s="0" t="s">
        <v>1050</v>
      </c>
      <c r="G3" s="0" t="s">
        <v>49</v>
      </c>
      <c r="H3" s="0" t="s">
        <v>76</v>
      </c>
      <c r="I3" s="0" t="n">
        <v>30</v>
      </c>
      <c r="J3" s="0" t="s">
        <v>77</v>
      </c>
      <c r="K3" s="0" t="n">
        <v>0</v>
      </c>
      <c r="L3" s="0" t="n">
        <v>0</v>
      </c>
      <c r="M3" s="0" t="n">
        <v>0</v>
      </c>
      <c r="N3" s="0" t="s">
        <v>1045</v>
      </c>
      <c r="Q3" s="0" t="n">
        <v>0</v>
      </c>
      <c r="V3" s="0" t="s">
        <v>54</v>
      </c>
      <c r="W3" s="0" t="s">
        <v>1057</v>
      </c>
      <c r="Y3" s="0" t="n">
        <v>46303.8046527778</v>
      </c>
      <c r="AK3" s="0" t="s">
        <v>1047</v>
      </c>
      <c r="AM3" s="0" t="s">
        <v>1172</v>
      </c>
      <c r="AN3" s="0" t="s">
        <v>59</v>
      </c>
      <c r="AR3" s="0" t="s">
        <v>81</v>
      </c>
      <c r="AS3" s="0" t="s">
        <v>1056</v>
      </c>
      <c r="AT3" s="0" t="n">
        <v>1</v>
      </c>
      <c r="AU3" s="0" t="n">
        <v>46303.8047916667</v>
      </c>
      <c r="AV3" s="0" t="s">
        <v>1047</v>
      </c>
      <c r="AW3" s="0" t="s">
        <v>1175</v>
      </c>
      <c r="AX3" s="0" t="s">
        <v>1046</v>
      </c>
    </row>
    <row r="4" customFormat="false" ht="15" hidden="false" customHeight="false" outlineLevel="0" collapsed="false">
      <c r="A4" s="0" t="n">
        <v>46303</v>
      </c>
      <c r="C4" s="0" t="n">
        <v>46303</v>
      </c>
      <c r="D4" s="0" t="s">
        <v>1043</v>
      </c>
      <c r="E4" s="0" t="s">
        <v>47</v>
      </c>
      <c r="F4" s="0" t="s">
        <v>1050</v>
      </c>
      <c r="G4" s="0" t="s">
        <v>49</v>
      </c>
      <c r="H4" s="0" t="s">
        <v>76</v>
      </c>
      <c r="I4" s="0" t="n">
        <v>80</v>
      </c>
      <c r="J4" s="0" t="s">
        <v>51</v>
      </c>
      <c r="K4" s="0" t="n">
        <v>0</v>
      </c>
      <c r="L4" s="0" t="n">
        <v>0</v>
      </c>
      <c r="M4" s="0" t="n">
        <v>0</v>
      </c>
      <c r="N4" s="0" t="s">
        <v>1051</v>
      </c>
      <c r="Q4" s="0" t="n">
        <v>0</v>
      </c>
      <c r="V4" s="0" t="s">
        <v>54</v>
      </c>
      <c r="W4" s="0" t="s">
        <v>1046</v>
      </c>
      <c r="Y4" s="0" t="n">
        <v>46303.8047916667</v>
      </c>
      <c r="AK4" s="0" t="s">
        <v>1047</v>
      </c>
      <c r="AM4" s="0" t="s">
        <v>1172</v>
      </c>
      <c r="AN4" s="0" t="s">
        <v>59</v>
      </c>
      <c r="AR4" s="0" t="s">
        <v>66</v>
      </c>
      <c r="AS4" s="0" t="s">
        <v>1056</v>
      </c>
      <c r="AT4" s="0" t="n">
        <v>2</v>
      </c>
      <c r="AU4" s="0" t="n">
        <v>46303.8048726852</v>
      </c>
      <c r="AV4" s="0" t="s">
        <v>1047</v>
      </c>
      <c r="AW4" s="0" t="s">
        <v>1180</v>
      </c>
      <c r="AX4" s="0" t="s">
        <v>1183</v>
      </c>
    </row>
    <row r="5" customFormat="false" ht="15" hidden="false" customHeight="false" outlineLevel="0" collapsed="false">
      <c r="A5" s="0" t="n">
        <v>46303</v>
      </c>
      <c r="C5" s="0" t="n">
        <v>46303</v>
      </c>
      <c r="D5" s="0" t="s">
        <v>1043</v>
      </c>
      <c r="E5" s="0" t="s">
        <v>79</v>
      </c>
      <c r="F5" s="0" t="s">
        <v>1050</v>
      </c>
      <c r="G5" s="0" t="s">
        <v>49</v>
      </c>
      <c r="H5" s="0" t="s">
        <v>76</v>
      </c>
      <c r="I5" s="0" t="n">
        <v>20</v>
      </c>
      <c r="J5" s="0" t="s">
        <v>77</v>
      </c>
      <c r="K5" s="0" t="n">
        <v>0</v>
      </c>
      <c r="L5" s="0" t="n">
        <v>0</v>
      </c>
      <c r="M5" s="0" t="n">
        <v>0</v>
      </c>
      <c r="N5" s="0" t="s">
        <v>1045</v>
      </c>
      <c r="Q5" s="0" t="n">
        <v>0</v>
      </c>
      <c r="V5" s="0" t="s">
        <v>54</v>
      </c>
      <c r="W5" s="0" t="s">
        <v>1057</v>
      </c>
      <c r="Y5" s="0" t="n">
        <v>46303.8047916667</v>
      </c>
      <c r="AK5" s="0" t="s">
        <v>1047</v>
      </c>
      <c r="AM5" s="0" t="s">
        <v>1172</v>
      </c>
      <c r="AN5" s="0" t="s">
        <v>59</v>
      </c>
      <c r="AR5" s="0" t="s">
        <v>81</v>
      </c>
      <c r="AS5" s="0" t="s">
        <v>1056</v>
      </c>
      <c r="AT5" s="0" t="n">
        <v>2</v>
      </c>
      <c r="AU5" s="0" t="n">
        <v>46303.8048726852</v>
      </c>
      <c r="AV5" s="0" t="s">
        <v>1047</v>
      </c>
      <c r="AW5" s="0" t="s">
        <v>1180</v>
      </c>
      <c r="AX5" s="0" t="s">
        <v>1183</v>
      </c>
    </row>
    <row r="6" customFormat="false" ht="15" hidden="false" customHeight="false" outlineLevel="0" collapsed="false">
      <c r="A6" s="0" t="n">
        <v>46303</v>
      </c>
      <c r="C6" s="0" t="n">
        <v>46303</v>
      </c>
      <c r="D6" s="0" t="s">
        <v>1043</v>
      </c>
      <c r="E6" s="0" t="s">
        <v>63</v>
      </c>
      <c r="F6" s="0" t="s">
        <v>1044</v>
      </c>
      <c r="G6" s="0" t="s">
        <v>49</v>
      </c>
      <c r="H6" s="0" t="s">
        <v>76</v>
      </c>
      <c r="I6" s="0" t="n">
        <v>5</v>
      </c>
      <c r="J6" s="0" t="s">
        <v>77</v>
      </c>
      <c r="K6" s="0" t="n">
        <v>230</v>
      </c>
      <c r="L6" s="0" t="n">
        <v>1150</v>
      </c>
      <c r="M6" s="0" t="n">
        <v>0</v>
      </c>
      <c r="N6" s="0" t="s">
        <v>1045</v>
      </c>
      <c r="Q6" s="0" t="n">
        <v>0</v>
      </c>
      <c r="V6" s="0" t="s">
        <v>54</v>
      </c>
      <c r="W6" s="0" t="s">
        <v>1046</v>
      </c>
      <c r="Y6" s="0" t="n">
        <v>46303.8050694445</v>
      </c>
      <c r="AK6" s="0" t="s">
        <v>1047</v>
      </c>
      <c r="AM6" s="0" t="s">
        <v>1061</v>
      </c>
      <c r="AN6" s="0" t="s">
        <v>59</v>
      </c>
      <c r="AR6" s="0" t="s">
        <v>66</v>
      </c>
      <c r="AT6" s="0" t="n">
        <v>1</v>
      </c>
      <c r="AU6" s="0" t="n">
        <v>46303.8051851852</v>
      </c>
      <c r="AV6" s="0" t="s">
        <v>1047</v>
      </c>
      <c r="AW6" s="0" t="s">
        <v>1175</v>
      </c>
      <c r="AX6" s="0" t="s">
        <v>1046</v>
      </c>
    </row>
    <row r="7" customFormat="false" ht="15" hidden="false" customHeight="false" outlineLevel="0" collapsed="false">
      <c r="A7" s="0" t="n">
        <v>46303</v>
      </c>
      <c r="C7" s="0" t="n">
        <v>46303</v>
      </c>
      <c r="D7" s="0" t="s">
        <v>1064</v>
      </c>
      <c r="E7" s="0" t="s">
        <v>63</v>
      </c>
      <c r="F7" s="0" t="s">
        <v>1044</v>
      </c>
      <c r="G7" s="0" t="s">
        <v>49</v>
      </c>
      <c r="H7" s="0" t="s">
        <v>76</v>
      </c>
      <c r="I7" s="0" t="n">
        <v>30</v>
      </c>
      <c r="J7" s="0" t="s">
        <v>77</v>
      </c>
      <c r="K7" s="0" t="n">
        <v>230</v>
      </c>
      <c r="L7" s="0" t="n">
        <v>6900</v>
      </c>
      <c r="M7" s="0" t="n">
        <v>0</v>
      </c>
      <c r="N7" s="0" t="s">
        <v>1045</v>
      </c>
      <c r="Q7" s="0" t="n">
        <v>0</v>
      </c>
      <c r="R7" s="0" t="s">
        <v>1194</v>
      </c>
      <c r="S7" s="0" t="s">
        <v>69</v>
      </c>
      <c r="T7" s="0" t="n">
        <v>110</v>
      </c>
      <c r="U7" s="0" t="n">
        <v>550</v>
      </c>
      <c r="V7" s="0" t="s">
        <v>54</v>
      </c>
      <c r="W7" s="0" t="s">
        <v>1046</v>
      </c>
      <c r="Y7" s="0" t="n">
        <v>46303.8049421296</v>
      </c>
      <c r="AK7" s="0" t="s">
        <v>1047</v>
      </c>
      <c r="AL7" s="0" t="n">
        <v>550</v>
      </c>
      <c r="AM7" s="0" t="s">
        <v>1065</v>
      </c>
      <c r="AN7" s="0" t="s">
        <v>49</v>
      </c>
      <c r="AO7" s="0" t="s">
        <v>1198</v>
      </c>
      <c r="AP7" s="0" t="s">
        <v>1195</v>
      </c>
      <c r="AQ7" s="0" t="s">
        <v>1197</v>
      </c>
      <c r="AR7" s="0" t="s">
        <v>66</v>
      </c>
      <c r="AT7" s="0" t="n">
        <v>1</v>
      </c>
      <c r="AU7" s="0" t="n">
        <v>46303.8052430556</v>
      </c>
      <c r="AV7" s="0" t="s">
        <v>1047</v>
      </c>
      <c r="AW7" s="0" t="s">
        <v>1175</v>
      </c>
      <c r="AX7" s="0" t="s">
        <v>1046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25.5" hidden="false" customHeight="true" outlineLevel="0" collapsed="false">
      <c r="A1" s="6" t="s">
        <v>1202</v>
      </c>
    </row>
    <row r="2" customFormat="false" ht="15" hidden="false" customHeight="false" outlineLevel="0" collapsed="false">
      <c r="A2" s="0" t="s">
        <v>1203</v>
      </c>
    </row>
    <row r="3" customFormat="false" ht="15" hidden="false" customHeight="false" outlineLevel="0" collapsed="false">
      <c r="A3" s="10"/>
    </row>
    <row r="4" customFormat="false" ht="15" hidden="false" customHeight="false" outlineLevel="0" collapsed="false">
      <c r="A4" s="0" t="s">
        <v>1109</v>
      </c>
      <c r="B4" s="0" t="s">
        <v>1204</v>
      </c>
    </row>
    <row r="5" customFormat="false" ht="15" hidden="false" customHeight="false" outlineLevel="0" collapsed="false">
      <c r="A5" s="0" t="s">
        <v>1205</v>
      </c>
      <c r="B5" s="0" t="s">
        <v>47</v>
      </c>
    </row>
    <row r="6" customFormat="false" ht="15" hidden="false" customHeight="false" outlineLevel="0" collapsed="false">
      <c r="A6" s="0" t="s">
        <v>2</v>
      </c>
      <c r="B6" s="0" t="s">
        <v>1206</v>
      </c>
    </row>
    <row r="7" customFormat="false" ht="15" hidden="false" customHeight="false" outlineLevel="0" collapsed="false">
      <c r="A7" s="0" t="s">
        <v>1207</v>
      </c>
      <c r="B7" s="0" t="s">
        <v>1206</v>
      </c>
    </row>
    <row r="8" customFormat="false" ht="15" hidden="false" customHeight="false" outlineLevel="0" collapsed="false">
      <c r="A8" s="0" t="s">
        <v>1208</v>
      </c>
      <c r="B8" s="0" t="s">
        <v>1050</v>
      </c>
    </row>
    <row r="9" customFormat="false" ht="15" hidden="false" customHeight="false" outlineLevel="0" collapsed="false">
      <c r="A9" s="0" t="s">
        <v>3</v>
      </c>
      <c r="B9" s="0" t="s">
        <v>1043</v>
      </c>
    </row>
    <row r="10" customFormat="false" ht="15" hidden="false" customHeight="false" outlineLevel="0" collapsed="false">
      <c r="A10" s="0" t="s">
        <v>21</v>
      </c>
      <c r="B10" s="0" t="s">
        <v>54</v>
      </c>
    </row>
    <row r="11" customFormat="false" ht="15" hidden="false" customHeight="false" outlineLevel="0" collapsed="false">
      <c r="A11" s="0" t="s">
        <v>1209</v>
      </c>
      <c r="B11" s="0" t="s">
        <v>76</v>
      </c>
    </row>
    <row r="13" customFormat="false" ht="15" hidden="false" customHeight="false" outlineLevel="0" collapsed="false">
      <c r="A13" s="0" t="s">
        <v>1210</v>
      </c>
    </row>
    <row r="14" customFormat="false" ht="15" hidden="false" customHeight="false" outlineLevel="0" collapsed="false">
      <c r="A14" s="0" t="s">
        <v>1101</v>
      </c>
      <c r="B14" s="0" t="s">
        <v>13</v>
      </c>
      <c r="C14" s="0" t="s">
        <v>1103</v>
      </c>
      <c r="D14" s="0" t="s">
        <v>1211</v>
      </c>
      <c r="E14" s="0" t="s">
        <v>1212</v>
      </c>
      <c r="F14" s="0" t="s">
        <v>11</v>
      </c>
      <c r="G14" s="0" t="s">
        <v>1213</v>
      </c>
    </row>
    <row r="15" customFormat="false" ht="15" hidden="false" customHeight="false" outlineLevel="0" collapsed="false">
      <c r="A15" s="0" t="s">
        <v>47</v>
      </c>
      <c r="B15" s="0" t="s">
        <v>1051</v>
      </c>
      <c r="C15" s="0" t="n">
        <v>20</v>
      </c>
      <c r="D15" s="0" t="s">
        <v>51</v>
      </c>
      <c r="E15" s="0" t="n">
        <v>0</v>
      </c>
      <c r="F15" s="0" t="n">
        <v>0</v>
      </c>
      <c r="G15" s="0" t="s">
        <v>49</v>
      </c>
    </row>
    <row r="16" customFormat="false" ht="15" hidden="false" customHeight="false" outlineLevel="0" collapsed="false">
      <c r="A16" s="0" t="s">
        <v>79</v>
      </c>
      <c r="B16" s="0" t="s">
        <v>1045</v>
      </c>
      <c r="C16" s="0" t="n">
        <v>5</v>
      </c>
      <c r="D16" s="0" t="s">
        <v>77</v>
      </c>
      <c r="E16" s="0" t="n">
        <v>0</v>
      </c>
      <c r="F16" s="0" t="n">
        <v>0</v>
      </c>
      <c r="G16" s="0" t="s">
        <v>49</v>
      </c>
    </row>
    <row r="17" customFormat="false" ht="15" hidden="false" customHeight="false" outlineLevel="0" collapsed="false">
      <c r="A17" s="0" t="s">
        <v>1214</v>
      </c>
      <c r="B17" s="0" t="s">
        <v>1215</v>
      </c>
    </row>
    <row r="18" customFormat="false" ht="15" hidden="false" customHeight="false" outlineLevel="0" collapsed="false">
      <c r="A18" s="0" t="s">
        <v>44</v>
      </c>
      <c r="B18" s="0" t="s">
        <v>1056</v>
      </c>
    </row>
    <row r="20" customFormat="false" ht="15" hidden="false" customHeight="false" outlineLevel="0" collapsed="false">
      <c r="A20" s="0" t="s">
        <v>22</v>
      </c>
      <c r="B20" s="0" t="s">
        <v>1046</v>
      </c>
    </row>
    <row r="22" customFormat="false" ht="15" hidden="false" customHeight="false" outlineLevel="0" collapsed="false">
      <c r="A22" s="0" t="s">
        <v>1216</v>
      </c>
      <c r="B22" s="0" t="s">
        <v>1217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0" t="s">
        <v>1218</v>
      </c>
      <c r="B1" s="0" t="s">
        <v>1219</v>
      </c>
      <c r="C1" s="0" t="s">
        <v>1220</v>
      </c>
      <c r="D1" s="0" t="s">
        <v>1221</v>
      </c>
      <c r="F1" s="0" t="s">
        <v>1222</v>
      </c>
    </row>
    <row r="2" customFormat="false" ht="13.8" hidden="false" customHeight="false" outlineLevel="0" collapsed="false">
      <c r="A2" s="0" t="n">
        <v>1</v>
      </c>
      <c r="B2" s="0" t="s">
        <v>1223</v>
      </c>
      <c r="C2" s="0" t="s">
        <v>1224</v>
      </c>
    </row>
    <row r="3" customFormat="false" ht="13.8" hidden="false" customHeight="false" outlineLevel="0" collapsed="false">
      <c r="A3" s="0" t="n">
        <v>2</v>
      </c>
      <c r="B3" s="0" t="s">
        <v>1225</v>
      </c>
      <c r="C3" s="0" t="s">
        <v>1224</v>
      </c>
    </row>
    <row r="4" customFormat="false" ht="13.8" hidden="false" customHeight="false" outlineLevel="0" collapsed="false">
      <c r="A4" s="0" t="n">
        <v>3</v>
      </c>
      <c r="B4" s="0" t="s">
        <v>1226</v>
      </c>
      <c r="C4" s="0" t="s">
        <v>1224</v>
      </c>
    </row>
    <row r="5" customFormat="false" ht="13.8" hidden="false" customHeight="false" outlineLevel="0" collapsed="false">
      <c r="A5" s="0" t="n">
        <v>4</v>
      </c>
      <c r="B5" s="0" t="s">
        <v>1227</v>
      </c>
      <c r="C5" s="0" t="s">
        <v>1224</v>
      </c>
    </row>
    <row r="6" customFormat="false" ht="13.8" hidden="false" customHeight="false" outlineLevel="0" collapsed="false">
      <c r="A6" s="0" t="n">
        <v>5</v>
      </c>
      <c r="B6" s="0" t="s">
        <v>1228</v>
      </c>
      <c r="C6" s="0" t="s">
        <v>1224</v>
      </c>
    </row>
    <row r="7" customFormat="false" ht="13.8" hidden="false" customHeight="false" outlineLevel="0" collapsed="false">
      <c r="A7" s="0" t="n">
        <v>6</v>
      </c>
      <c r="B7" s="0" t="s">
        <v>1229</v>
      </c>
      <c r="C7" s="0" t="s">
        <v>1224</v>
      </c>
    </row>
    <row r="8" customFormat="false" ht="13.8" hidden="false" customHeight="false" outlineLevel="0" collapsed="false">
      <c r="A8" s="0" t="n">
        <v>7</v>
      </c>
      <c r="B8" s="0" t="s">
        <v>1230</v>
      </c>
      <c r="C8" s="0" t="s">
        <v>1224</v>
      </c>
    </row>
    <row r="9" customFormat="false" ht="13.8" hidden="false" customHeight="false" outlineLevel="0" collapsed="false">
      <c r="A9" s="0" t="n">
        <v>8</v>
      </c>
      <c r="B9" s="0" t="s">
        <v>1231</v>
      </c>
      <c r="C9" s="0" t="s">
        <v>1224</v>
      </c>
    </row>
    <row r="10" customFormat="false" ht="13.8" hidden="false" customHeight="false" outlineLevel="0" collapsed="false">
      <c r="A10" s="0" t="n">
        <v>9</v>
      </c>
      <c r="B10" s="0" t="s">
        <v>1232</v>
      </c>
      <c r="C10" s="0" t="s">
        <v>1224</v>
      </c>
    </row>
    <row r="11" customFormat="false" ht="13.8" hidden="false" customHeight="false" outlineLevel="0" collapsed="false">
      <c r="A11" s="0" t="n">
        <v>10</v>
      </c>
      <c r="B11" s="0" t="s">
        <v>1233</v>
      </c>
      <c r="C11" s="0" t="s">
        <v>1224</v>
      </c>
    </row>
    <row r="12" customFormat="false" ht="13.8" hidden="false" customHeight="false" outlineLevel="0" collapsed="false">
      <c r="A12" s="0" t="n">
        <v>11</v>
      </c>
      <c r="B12" s="0" t="s">
        <v>1234</v>
      </c>
      <c r="C12" s="0" t="s">
        <v>1224</v>
      </c>
    </row>
    <row r="13" customFormat="false" ht="13.8" hidden="false" customHeight="false" outlineLevel="0" collapsed="false">
      <c r="A13" s="0" t="n">
        <v>12</v>
      </c>
      <c r="B13" s="0" t="s">
        <v>1235</v>
      </c>
      <c r="C13" s="0" t="s">
        <v>1224</v>
      </c>
    </row>
    <row r="14" customFormat="false" ht="13.8" hidden="false" customHeight="false" outlineLevel="0" collapsed="false">
      <c r="A14" s="0" t="n">
        <v>13</v>
      </c>
      <c r="B14" s="0" t="s">
        <v>1236</v>
      </c>
      <c r="C14" s="0" t="s">
        <v>1224</v>
      </c>
    </row>
    <row r="15" customFormat="false" ht="13.8" hidden="false" customHeight="false" outlineLevel="0" collapsed="false">
      <c r="A15" s="0" t="n">
        <v>14</v>
      </c>
      <c r="B15" s="0" t="s">
        <v>1237</v>
      </c>
      <c r="C15" s="0" t="s">
        <v>1224</v>
      </c>
    </row>
    <row r="16" customFormat="false" ht="13.8" hidden="false" customHeight="false" outlineLevel="0" collapsed="false">
      <c r="A16" s="0" t="n">
        <v>15</v>
      </c>
      <c r="B16" s="0" t="s">
        <v>1238</v>
      </c>
      <c r="C16" s="0" t="s">
        <v>1224</v>
      </c>
    </row>
    <row r="17" customFormat="false" ht="13.8" hidden="false" customHeight="false" outlineLevel="0" collapsed="false">
      <c r="A17" s="0" t="n">
        <v>16</v>
      </c>
      <c r="B17" s="0" t="s">
        <v>1239</v>
      </c>
      <c r="C17" s="0" t="s">
        <v>1224</v>
      </c>
    </row>
    <row r="18" customFormat="false" ht="13.8" hidden="false" customHeight="false" outlineLevel="0" collapsed="false">
      <c r="A18" s="0" t="n">
        <v>17</v>
      </c>
      <c r="B18" s="0" t="s">
        <v>1240</v>
      </c>
      <c r="C18" s="0" t="s">
        <v>1224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_rels/item7.xml.rels><?xml version="1.0" encoding="UTF-8"?>
<Relationships xmlns="http://schemas.openxmlformats.org/package/2006/relationships"><Relationship Id="rId1" Type="http://schemas.openxmlformats.org/officeDocument/2006/relationships/customXmlProps" Target="itemProps7.xml"/>
</Relationships>
</file>

<file path=customXml/_rels/item8.xml.rels><?xml version="1.0" encoding="UTF-8"?>
<Relationships xmlns="http://schemas.openxmlformats.org/package/2006/relationships"><Relationship Id="rId1" Type="http://schemas.openxmlformats.org/officeDocument/2006/relationships/customXmlProps" Target="itemProps8.xml"/>
</Relationships>
</file>

<file path=customXml/_rels/item9.xml.rels><?xml version="1.0" encoding="UTF-8"?>
<Relationships xmlns="http://schemas.openxmlformats.org/package/2006/relationships"><Relationship Id="rId1" Type="http://schemas.openxmlformats.org/officeDocument/2006/relationships/customXmlProps" Target="itemProps9.xml"/>
</Relationships>
</file>

<file path=customXml/_rels/item10.xml.rels><?xml version="1.0" encoding="UTF-8"?>
<Relationships xmlns="http://schemas.openxmlformats.org/package/2006/relationships"><Relationship Id="rId1" Type="http://schemas.openxmlformats.org/officeDocument/2006/relationships/customXmlProps" Target="itemProps10.xml"/>
</Relationships>
</file>

<file path=customXml/_rels/item11.xml.rels><?xml version="1.0" encoding="UTF-8"?>
<Relationships xmlns="http://schemas.openxmlformats.org/package/2006/relationships"><Relationship Id="rId1" Type="http://schemas.openxmlformats.org/officeDocument/2006/relationships/customXmlProps" Target="itemProps11.xml"/>
</Relationships>
</file>

<file path=customXml/_rels/item12.xml.rels><?xml version="1.0" encoding="UTF-8"?>
<Relationships xmlns="http://schemas.openxmlformats.org/package/2006/relationships"><Relationship Id="rId1" Type="http://schemas.openxmlformats.org/officeDocument/2006/relationships/customXmlProps" Target="itemProps12.xml"/>
</Relationships>
</file>

<file path=customXml/_rels/item13.xml.rels><?xml version="1.0" encoding="UTF-8"?>
<Relationships xmlns="http://schemas.openxmlformats.org/package/2006/relationships"><Relationship Id="rId1" Type="http://schemas.openxmlformats.org/officeDocument/2006/relationships/customXmlProps" Target="itemProps13.xml"/>
</Relationships>
</file>

<file path=customXml/_rels/item14.xml.rels><?xml version="1.0" encoding="UTF-8"?>
<Relationships xmlns="http://schemas.openxmlformats.org/package/2006/relationships"><Relationship Id="rId1" Type="http://schemas.openxmlformats.org/officeDocument/2006/relationships/customXmlProps" Target="itemProps14.xml"/>
</Relationships>
</file>

<file path=customXml/_rels/item15.xml.rels><?xml version="1.0" encoding="UTF-8"?>
<Relationships xmlns="http://schemas.openxmlformats.org/package/2006/relationships"><Relationship Id="rId1" Type="http://schemas.openxmlformats.org/officeDocument/2006/relationships/customXmlProps" Target="itemProps15.xml"/>
</Relationships>
</file>

<file path=customXml/_rels/item16.xml.rels><?xml version="1.0" encoding="UTF-8"?>
<Relationships xmlns="http://schemas.openxmlformats.org/package/2006/relationships"><Relationship Id="rId1" Type="http://schemas.openxmlformats.org/officeDocument/2006/relationships/customXmlProps" Target="itemProps16.xml"/>
</Relationships>
</file>

<file path=customXml/_rels/item17.xml.rels><?xml version="1.0" encoding="UTF-8"?>
<Relationships xmlns="http://schemas.openxmlformats.org/package/2006/relationships"><Relationship Id="rId1" Type="http://schemas.openxmlformats.org/officeDocument/2006/relationships/customXmlProps" Target="itemProps17.xml"/>
</Relationships>
</file>

<file path=customXml/_rels/item18.xml.rels><?xml version="1.0" encoding="UTF-8"?>
<Relationships xmlns="http://schemas.openxmlformats.org/package/2006/relationships"><Relationship Id="rId1" Type="http://schemas.openxmlformats.org/officeDocument/2006/relationships/customXmlProps" Target="itemProps18.xml"/>
</Relationships>
</file>

<file path=customXml/item1.xml><?xml version="1.0" encoding="utf-8"?>
<Gemini xmlns="http://gemini/pivotcustomization/ShowHidden">
  <CustomContent><![CDATA[True]]></CustomContent>
</Gemini>
</file>

<file path=customXml/item2.xml><?xml version="1.0" encoding="utf-8"?>
<Gemini xmlns="http://gemini/pivotcustomization/ClientWindowXML">
  <CustomContent><![CDATA[Tabela_dane]]></CustomContent>
</Gemini>
</file>

<file path=customXml/item3.xml><?xml version="1.0" encoding="utf-8"?>
<Gemini xmlns="http://gemini/pivotcustomization/SandboxNonEmpty">
  <CustomContent><![CDATA[1]]></CustomContent>
</Gemini>
</file>

<file path=customXml/item4.xml><?xml version="1.0" encoding="utf-8"?>
<Gemini xmlns="http://gemini/pivotcustomization/PowerPivotVersion">
  <CustomContent><![CDATA[2015.130.1606.47]]></CustomContent>
</Gemini>
</file>

<file path=customXml/item5.xml><?xml version="1.0" encoding="utf-8"?>
<Gemini xmlns="http://gemini/pivotcustomization/IsSandboxEmbedded">
  <CustomContent><![CDATA[yes]]></CustomContent>
</Gemini>
</file>

<file path=customXml/item6.xml><?xml version="1.0" encoding="utf-8"?>
<Gemini xmlns="http://gemini/pivotcustomization/FormulaBarState">
  <CustomContent><![CDATA[<SandboxEditor.FormulaBarState xmlns="http://schemas.datacontract.org/2004/07/Microsoft.AnalysisServices.Common" xmlns:i="http://www.w3.org/2001/XMLSchema-instance"><Height>242</Height></SandboxEditor.FormulaBarState>]]></CustomContent>
</Gemini>
</file>

<file path=customXml/item7.xml><?xml version="1.0" encoding="utf-8"?>
<Gemini xmlns="http://gemini/pivotcustomization/LinkedTableUpdateMode">
  <CustomContent><![CDATA[True]]></CustomContent>
</Gemini>
</file>

<file path=customXml/item8.xml><?xml version="1.0" encoding="utf-8"?>
<DataMashup xmlns="http://schemas.microsoft.com/DataMashup">AAAAABQDAABQSwMEFAACAAgAC1ciXQljdQ2kAAAA9gAAABIAHABDb25maWcvUGFja2FnZS54bWwgohgAKKAUAAAAAAAAAAAAAAAAAAAAAAAAAAAAhY+xDoIwGIRfhXSnhRqjIT9lcIWExMS4NqVCIxRCi+XdHHwkX8EaRd0cbri7b7i7X2+QzV0bXORoVK9TFOMIBVKLvlK6TtFkT+EWZQxKLs68loGHtUlmU6WosXZICHHOYbfC/VgTGkUxORb5XjSy4+gDq/9wqLSxXAuJGBxeYxjF8Xrj5TcBWUIolP4C1HfP9ieE3dTaaZRsaMMyB7JYIO8P7AFQSwMEFAACAAgAC1ciX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AtXIl0oike4DgAAABEAAAATABwARm9ybXVsYXMvU2VjdGlvbjEubSCiGAAooBQAAAAAAAAAAAAAAAAAAAAAAAAAAAArTk0uyczPUwiG0IbWAFBLAQItABQAAgAIAAtXIl0JY3UNpAAAAPYAAAASAAAAAAAAAAAAAAAAAAAAAABDb25maWcvUGFja2FnZS54bWxQSwECLQAUAAIACAALVyJdD8rpq6QAAADpAAAAEwAAAAAAAAAAAAAAAADwAAAAW0NvbnRlbnRfVHlwZXNdLnhtbFBLAQItABQAAgAIAAtXIl0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zKKNVctiVQJb7Uga7Gb/hAAAAAAIAAAAAABBmAAAAAQAAIAAAAHVRL01Ds9Bn2YIt+HTeIlK28RRGkKgUkz/AvWewLpZPAAAAAA6AAAAAAgAAIAAAAL3PVnW73oPp7uE89kRBJL1T61Mg/N9gW+/H8tgFzkxsUAAAAHLD5PSqQ/3H4L5onnOJxxGrMErZb66+TgYH/LftjH6z2osNxcsq6L5IgBgH6xRYK49Eghysov74dfD5S8ZPSGGl0/5xlDRnkTs3zHcndE2qQAAAAG9Q61cR/IAbefVJDPMZh49tugKpJ9xI+3iDpJeC2FHTbhQcAfu/X9+7OIf4Nu1+DK//nv80aUfHEwpFnkhcsd8=</DataMashup>
</file>

<file path=customXml/item9.xml><?xml version="1.0" encoding="utf-8"?>
<Gemini xmlns="http://gemini/pivotcustomization/TableWidget">
  <CustomContent><![CDATA[<ArrayOfDiagramManager.SerializableDiagram xmlns="http://schemas.datacontract.org/2004/07/Microsoft.AnalysisServices.Common" xmlns:i="http://www.w3.org/2001/XMLSchema-instance"><DiagramManager.SerializableDiagram><Adapter i:type="TableWidgetViewModelSandboxAdapter"><TableName>Tabela_dane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Tabela_dane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Columns\Data załadunku do klienta końcowego</Key></a:Key><a:Value i:type="TableWidgetBaseViewState"/></a:KeyValueOfDiagramObjectKeyanyTypezbwNTnLX><a:KeyValueOfDiagramObjectKeyanyTypezbwNTnLX><a:Key><Key>Columns\Data dostawy</Key></a:Key><a:Value i:type="TableWidgetBaseViewState"/></a:KeyValueOfDiagramObjectKeyanyTypezbwNTnLX><a:KeyValueOfDiagramObjectKeyanyTypezbwNTnLX><a:Key><Key>Columns\Dostawca</Key></a:Key><a:Value i:type="TableWidgetBaseViewState"/></a:KeyValueOfDiagramObjectKeyanyTypezbwNTnLX><a:KeyValueOfDiagramObjectKeyanyTypezbwNTnLX><a:Key><Key>Columns\Zakup/Sprzedaż</Key></a:Key><a:Value i:type="TableWidgetBaseViewState"/></a:KeyValueOfDiagramObjectKeyanyTypezbwNTnLX><a:KeyValueOfDiagramObjectKeyanyTypezbwNTnLX><a:Key><Key>Columns\Nr. WZ</Key></a:Key><a:Value i:type="TableWidgetBaseViewState"/></a:KeyValueOfDiagramObjectKeyanyTypezbwNTnLX><a:KeyValueOfDiagramObjectKeyanyTypezbwNTnLX><a:Key><Key>Columns\Magazyn/Bez Magazynowania</Key></a:Key><a:Value i:type="TableWidgetBaseViewState"/></a:KeyValueOfDiagramObjectKeyanyTypezbwNTnLX><a:KeyValueOfDiagramObjectKeyanyTypezbwNTnLX><a:Key><Key>Columns\Deklaracja/KZR</Key></a:Key><a:Value i:type="TableWidgetBaseViewState"/></a:KeyValueOfDiagramObjectKeyanyTypezbwNTnLX><a:KeyValueOfDiagramObjectKeyanyTypezbwNTnLX><a:Key><Key>Columns\Volumen</Key></a:Key><a:Value i:type="TableWidgetBaseViewState"/></a:KeyValueOfDiagramObjectKeyanyTypezbwNTnLX><a:KeyValueOfDiagramObjectKeyanyTypezbwNTnLX><a:Key><Key>Columns\Jednostka miary</Key></a:Key><a:Value i:type="TableWidgetBaseViewState"/></a:KeyValueOfDiagramObjectKeyanyTypezbwNTnLX><a:KeyValueOfDiagramObjectKeyanyTypezbwNTnLX><a:Key><Key>Columns\Cena zakupu/produkcji (zł/mp;zł/tona)</Key></a:Key><a:Value i:type="TableWidgetBaseViewState"/></a:KeyValueOfDiagramObjectKeyanyTypezbwNTnLX><a:KeyValueOfDiagramObjectKeyanyTypezbwNTnLX><a:Key><Key>Columns\Wartość dostawy</Key></a:Key><a:Value i:type="TableWidgetBaseViewState"/></a:KeyValueOfDiagramObjectKeyanyTypezbwNTnLX><a:KeyValueOfDiagramObjectKeyanyTypezbwNTnLX><a:Key><Key>Columns\Cena sprzedaży (zł/mp;zł/tona)</Key></a:Key><a:Value i:type="TableWidgetBaseViewState"/></a:KeyValueOfDiagramObjectKeyanyTypezbwNTnLX><a:KeyValueOfDiagramObjectKeyanyTypezbwNTnLX><a:Key><Key>Columns\Przelicznik objętości MP/tony</Key></a:Key><a:Value i:type="TableWidgetBaseViewState"/></a:KeyValueOfDiagramObjectKeyanyTypezbwNTnLX><a:KeyValueOfDiagramObjectKeyanyTypezbwNTnLX><a:Key><Key>Columns\Podział produkcja/towar</Key></a:Key><a:Value i:type="TableWidgetBaseViewState"/></a:KeyValueOfDiagramObjectKeyanyTypezbwNTnLX><a:KeyValueOfDiagramObjectKeyanyTypezbwNTnLX><a:Key><Key>Columns\Rodzaj zrębki a/b</Key></a:Key><a:Value i:type="TableWidgetBaseViewState"/></a:KeyValueOfDiagramObjectKeyanyTypezbwNTnLX><a:KeyValueOfDiagramObjectKeyanyTypezbwNTnLX><a:Key><Key>Columns\Rąbanie własne/wynajęte (kto)</Key></a:Key><a:Value i:type="TableWidgetBaseViewState"/></a:KeyValueOfDiagramObjectKeyanyTypezbwNTnLX><a:KeyValueOfDiagramObjectKeyanyTypezbwNTnLX><a:Key><Key>Columns\Koszt rąbania usługa zł</Key></a:Key><a:Value i:type="TableWidgetBaseViewState"/></a:KeyValueOfDiagramObjectKeyanyTypezbwNTnLX><a:KeyValueOfDiagramObjectKeyanyTypezbwNTnLX><a:Key><Key>Columns\Transport Firma</Key></a:Key><a:Value i:type="TableWidgetBaseViewState"/></a:KeyValueOfDiagramObjectKeyanyTypezbwNTnLX><a:KeyValueOfDiagramObjectKeyanyTypezbwNTnLX><a:Key><Key>Columns\Nr. Rejestracyjny</Key></a:Key><a:Value i:type="TableWidgetBaseViewState"/></a:KeyValueOfDiagramObjectKeyanyTypezbwNTnLX><a:KeyValueOfDiagramObjectKeyanyTypezbwNTnLX><a:Key><Key>Columns\Odległość km</Key></a:Key><a:Value i:type="TableWidgetBaseViewState"/></a:KeyValueOfDiagramObjectKeyanyTypezbwNTnLX><a:KeyValueOfDiagramObjectKeyanyTypezbwNTnLX><a:Key><Key>Columns\Koszt transportu zł</Key></a:Key><a:Value i:type="TableWidgetBaseViewState"/></a:KeyValueOfDiagramObjectKeyanyTypezbwNTnLX><a:KeyValueOfDiagramObjectKeyanyTypezbwNTnLX><a:Key><Key>Columns\Miejsce załadunku</Key></a:Key><a:Value i:type="TableWidgetBaseViewState"/></a:KeyValueOfDiagramObjectKeyanyTypezbwNTnLX><a:KeyValueOfDiagramObjectKeyanyTypezbwNTnLX><a:Key><Key>Columns\Odbiorca/elektrownia</Key></a:Key><a:Value i:type="TableWidgetBaseViewState"/></a:KeyValueOfDiagramObjectKeyanyTypezbwNTnLX><a:KeyValueOfDiagramObjectKeyanyTypezbwNTnLX><a:Key><Key>Columns\Odbiór tony</Key></a:Key><a:Value i:type="TableWidgetBaseViewState"/></a:KeyValueOfDiagramObjectKeyanyTypezbwNTnLX><a:KeyValueOfDiagramObjectKeyanyTypezbwNTnLX><a:Key><Key>Columns\Sprzedaż z magazynu tony</Key></a:Key><a:Value i:type="TableWidgetBaseViewState"/></a:KeyValueOfDiagramObjectKeyanyTypezbwNTnLX><a:KeyValueOfDiagramObjectKeyanyTypezbwNTnLX><a:Key><Key>Columns\Odbiorca sprzedaż z magazynu</Key></a:Key><a:Value i:type="TableWidgetBaseViewState"/></a:KeyValueOfDiagramObjectKeyanyTypezbwNTnLX><a:KeyValueOfDiagramObjectKeyanyTypezbwNTnLX><a:Key><Key>Columns\Wolumen_MP</Key></a:Key><a:Value i:type="TableWidgetBaseViewState"/></a:KeyValueOfDiagramObjectKeyanyTypezbwNTnLX><a:KeyValueOfDiagramObjectKeyanyTypezbwNTnLX><a:Key><Key>Columns\Wolumen_t</Key></a:Key><a:Value i:type="TableWidgetBaseViewState"/></a:KeyValueOfDiagramObjectKeyanyTypezbwNTnLX><a:KeyValueOfDiagramObjectKeyanyTypezbwNTnLX><a:Key><Key>Columns\Kategoria</Key></a:Key><a:Value i:type="TableWidgetBaseViewState"/></a:KeyValueOfDiagramObjectKeyanyTypezbwNTnLX><a:KeyValueOfDiagramObjectKeyanyTypezbwNTnLX><a:Key><Key>Columns\Uwzględnij_w_magazynie</Key></a:Key><a:Value i:type="TableWidgetBaseViewState"/></a:KeyValueOfDiagramObjectKeyanyTypezbwNTnLX><a:KeyValueOfDiagramObjectKeyanyTypezbwNTnLX><a:Key><Key>Columns\Ruch_magazyn_MP</Key></a:Key><a:Value i:type="TableWidgetBaseViewState"/></a:KeyValueOfDiagramObjectKeyanyTypezbwNTnLX><a:KeyValueOfDiagramObjectKeyanyTypezbwNTnLX><a:Key><Key>Columns\Ruch_magazyn_t</Key></a:Key><a:Value i:type="TableWidgetBaseViewState"/></a:KeyValueOfDiagramObjectKeyanyTypezbwNTnLX><a:KeyValueOfDiagramObjectKeyanyTypezbwNTnLX><a:Key><Key>Columns\Wartość_zakupu_zł_calc</Key></a:Key><a:Value i:type="TableWidgetBaseViewState"/></a:KeyValueOfDiagramObjectKeyanyTypezbwNTnLX><a:KeyValueOfDiagramObjectKeyanyTypezbwNTnLX><a:Key><Key>Columns\Wartość_sprzedaży_zł_calc</Key></a:Key><a:Value i:type="TableWidgetBaseViewState"/></a:KeyValueOfDiagramObjectKeyanyTypezbwNTnLX><a:KeyValueOfDiagramObjectKeyanyTypezbwNTnLX><a:Key><Key>Columns\Typ_transportu_heurystyka</Key></a:Key><a:Value i:type="TableWidgetBaseViewState"/></a:KeyValueOfDiagramObjectKeyanyTypezbwNTnLX><a:KeyValueOfDiagramObjectKeyanyTypezbwNTnLX><a:Key><Key>Columns\Koszt_transportu_num</Key></a:Key><a:Value i:type="TableWidgetBaseViewState"/></a:KeyValueOfDiagramObjectKeyanyTypezbwNTnLX><a:KeyValueOfDiagramObjectKeyanyTypezbwNTnLX><a:Key><Key>Columns\Koszt_transportu_zakup</Key></a:Key><a:Value i:type="TableWidgetBaseViewState"/></a:KeyValueOfDiagramObjectKeyanyTypezbwNTnLX><a:KeyValueOfDiagramObjectKeyanyTypezbwNTnLX><a:Key><Key>Columns\Koszt_transportu_sprzedaż</Key></a:Key><a:Value i:type="TableWidgetBaseViewState"/></a:KeyValueOfDiagramObjectKeyanyTypezbwNTnLX><a:KeyValueOfDiagramObjectKeyanyTypezbwNTnLX><a:Key><Key>Columns\Koszt_rąbania_stawka_num</Key></a:Key><a:Value i:type="TableWidgetBaseViewState"/></a:KeyValueOfDiagramObjectKeyanyTypezbwNTnLX><a:KeyValueOfDiagramObjectKeyanyTypezbwNTnLX><a:Key><Key>Columns\Koszt_rąbania_total</Key></a:Key><a:Value i:type="TableWidgetBaseViewState"/></a:KeyValueOfDiagramObjectKeyanyTypezbwNTnLX><a:KeyValueOfDiagramObjectKeyanyTypezbwNTnLX><a:Key><Key>Columns\Źródło_partii</Key></a:Key><a:Value i:type="TableWidgetBaseViewState"/></a:KeyValueOfDiagramObjectKeyanyTypezbwNTnLX><a:KeyValueOfDiagramObjectKeyanyTypezbwNTnLX><a:Key><Key>Columns\Odbiorca_finalny</Key></a:Key><a:Value i:type="TableWidgetBaseViewState"/></a:KeyValueOfDiagramObjectKeyanyTypezbwNTnLX><a:KeyValueOfDiagramObjectKeyanyTypezbwNTnLX><a:Key><Key>Columns\Miesiąc_tekst</Key></a:Key><a:Value i:type="TableWidgetBaseViewState"/></a:KeyValueOfDiagramObjectKeyanyTypezbwNTnLX><a:KeyValueOfDiagramObjectKeyanyTypezbwNTnLX><a:Key><Key>Columns\Data dostawy (indeks miesiąca)</Key></a:Key><a:Value i:type="TableWidgetBaseViewState"/></a:KeyValueOfDiagramObjectKeyanyTypezbwNTnLX><a:KeyValueOfDiagramObjectKeyanyTypezbwNTnLX><a:Key><Key>Columns\Data dostawy (miesiąc)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/ArrayOfDiagramManager.SerializableDiagram>]]></CustomContent>
</Gemini>
</file>

<file path=customXml/item10.xml><?xml version="1.0" encoding="utf-8"?>
<Gemini xmlns="http://gemini/pivotcustomization/RelationshipAutoDetectionEnabled">
  <CustomContent><![CDATA[True]]></CustomContent>
</Gemini>
</file>

<file path=customXml/item11.xml><?xml version="1.0" encoding="utf-8"?>
<Gemini xmlns="http://gemini/pivotcustomization/ErrorCache">
  <CustomContent><![CDATA[<DataModelingSandbox.SerializedSandboxErrorCache xmlns="http://schemas.datacontract.org/2004/07/Microsoft.AnalysisServices.BackEnd" xmlns:i="http://www.w3.org/2001/XMLSchema-instance"><ErrorCacheDictionary xmlns:a="http://schemas.microsoft.com/2003/10/Serialization/Arrays"/><LastProcessedTime>2026-04-15T21:34:11.0816248+02:00</LastProcessedTime></DataModelingSandbox.SerializedSandboxErrorCache>]]></CustomContent>
</Gemini>
</file>

<file path=customXml/item12.xml><?xml version="1.0" encoding="utf-8"?>
<Gemini xmlns="http://gemini/pivotcustomization/806eddb6-0835-420a-a752-e446e665671a">
  <CustomContent><![CDATA[<?xml version="1.0" encoding="utf-16"?><Settings><CalculatedFields><item><MeasureName>Stan Magazynowy</MeasureName><DisplayName>Stan Magazynowy</DisplayName><Visible>False</Visible></item></CalculatedFields><SAHostHash>0</SAHostHash><GeminiFieldListVisible>True</GeminiFieldListVisible></Settings>]]></CustomContent>
</Gemini>
</file>

<file path=customXml/item13.xml><?xml version="1.0" encoding="utf-8"?>
<Gemini xmlns="http://gemini/pivotcustomization/ShowImplicitMeasures">
  <CustomContent><![CDATA[False]]></CustomContent>
</Gemini>
</file>

<file path=customXml/item14.xml><?xml version="1.0" encoding="utf-8"?>
<Gemini xmlns="http://gemini/pivotcustomization/ManualCalcMode">
  <CustomContent><![CDATA[False]]></CustomContent>
</Gemini>
</file>

<file path=customXml/item15.xml><?xml version="1.0" encoding="utf-8"?>
<Gemini xmlns="http://gemini/pivotcustomization/MeasureGridState">
  <CustomContent><![CDATA[<ArrayOfKeyValueOfstringSandboxEditor.MeasureGridStateScdE35Ry xmlns="http://schemas.microsoft.com/2003/10/Serialization/Arrays" xmlns:i="http://www.w3.org/2001/XMLSchema-instance"><KeyValueOfstringSandboxEditor.MeasureGridStateScdE35Ry><Key>Tabela_dane</Key><Value xmlns:a="http://schemas.datacontract.org/2004/07/Microsoft.AnalysisServices.Common"><a:HasFocus>true</a:HasFocus><a:SizeAtDpi96>225</a:SizeAtDpi96><a:Visible>true</a:Visible></Value></KeyValueOfstringSandboxEditor.MeasureGridStateScdE35Ry></ArrayOfKeyValueOfstringSandboxEditor.MeasureGridStateScdE35Ry>]]></CustomContent>
</Gemini>
</file>

<file path=customXml/item16.xml><?xml version="1.0" encoding="utf-8"?>
<Gemini xmlns="http://gemini/pivotcustomization/TableXML_Tabela_dane">
  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Data załadunku do klienta końcowego</string></key><value><int>268</int></value></item><item><key><string>Data dostawy</string></key><value><int>119</int></value></item><item><key><string>Dostawca</string></key><value><int>95</int></value></item><item><key><string>Zakup/Sprzedaż</string></key><value><int>134</int></value></item><item><key><string>Nr. WZ</string></key><value><int>76</int></value></item><item><key><string>Magazyn/Bez Magazynowania</string></key><value><int>220</int></value></item><item><key><string>Deklaracja/KZR</string></key><value><int>129</int></value></item><item><key><string>Volumen</string></key><value><int>92</int></value></item><item><key><string>Jednostka miary</string></key><value><int>136</int></value></item><item><key><string>Cena zakupu/produkcji (zł/mp;zł/tona)</string></key><value><int>275</int></value></item><item><key><string>Wartość dostawy</string></key><value><int>140</int></value></item><item><key><string>Cena sprzedaży (zł/mp;zł/tona)</string></key><value><int>228</int></value></item><item><key><string>Przelicznik objętości MP/tony</string></key><value><int>217</int></value></item><item><key><string>Podział produkcja/towar</string></key><value><int>187</int></value></item><item><key><string>Rodzaj zrębki a/b</string></key><value><int>141</int></value></item><item><key><string>Rąbanie własne/wynajęte (kto)</string></key><value><int>229</int></value></item><item><key><string>Koszt rąbania usługa zł</string></key><value><int>174</int></value></item><item><key><string>Transport Firma</string></key><value><int>132</int></value></item><item><key><string>Nr. Rejestracyjny</string></key><value><int>139</int></value></item><item><key><string>Odległość km</string></key><value><int>119</int></value></item><item><key><string>Koszt transportu zł</string></key><value><int>150</int></value></item><item><key><string>Miejsce załadunku</string></key><value><int>150</int></value></item><item><key><string>Odbiorca/elektrownia</string></key><value><int>173</int></value></item><item><key><string>Odbiór tony</string></key><value><int>110</int></value></item><item><key><string>Sprzedaż z magazynu tony</string></key><value><int>196</int></value></item><item><key><string>Odbiorca sprzedaż z magazynu</string></key><value><int>223</int></value></item><item><key><string>Wolumen_MP</string></key><value><int>123</int></value></item><item><key><string>Wolumen_t</string></key><value><int>108</int></value></item><item><key><string>Kategoria</string></key><value><int>95</int></value></item><item><key><string>Uwzględnij_w_magazynie</string></key><value><int>195</int></value></item><item><key><string>Ruch_magazyn_MP</string></key><value><int>154</int></value></item><item><key><string>Ruch_magazyn_t</string></key><value><int>139</int></value></item><item><key><string>Wartość_zakupu_zł_calc</string></key><value><int>183</int></value></item><item><key><string>Wartość_sprzedaży_zł_calc</string></key><value><int>200</int></value></item><item><key><string>Typ_transportu_heurystyka</string></key><value><int>204</int></value></item><item><key><string>Koszt_transportu_num</string></key><value><int>176</int></value></item><item><key><string>Koszt_transportu_zakup</string></key><value><int>184</int></value></item><item><key><string>Koszt_transportu_sprzedaż</string></key><value><int>202</int></value></item><item><key><string>Koszt_rąbania_stawka_num</string></key><value><int>207</int></value></item><item><key><string>Koszt_rąbania_total</string></key><value><int>158</int></value></item><item><key><string>Źródło_partii</string></key><value><int>115</int></value></item><item><key><string>Odbiorca_finalny</string></key><value><int>141</int></value></item><item><key><string>Miesiąc_tekst</string></key><value><int>121</int></value></item><item><key><string>Data dostawy (indeks miesiąca)</string></key><value><int>230</int></value></item><item><key><string>Data dostawy (miesiąc)</string></key><value><int>179</int></value></item></ColumnWidths><ColumnDisplayIndex><item><key><string>Data załadunku do klienta końcowego</string></key><value><int>0</int></value></item><item><key><string>Data dostawy</string></key><value><int>1</int></value></item><item><key><string>Dostawca</string></key><value><int>2</int></value></item><item><key><string>Zakup/Sprzedaż</string></key><value><int>3</int></value></item><item><key><string>Nr. WZ</string></key><value><int>4</int></value></item><item><key><string>Magazyn/Bez Magazynowania</string></key><value><int>5</int></value></item><item><key><string>Deklaracja/KZR</string></key><value><int>6</int></value></item><item><key><string>Volumen</string></key><value><int>7</int></value></item><item><key><string>Jednostka miary</string></key><value><int>8</int></value></item><item><key><string>Cena zakupu/produkcji (zł/mp;zł/tona)</string></key><value><int>9</int></value></item><item><key><string>Wartość dostawy</string></key><value><int>10</int></value></item><item><key><string>Cena sprzedaży (zł/mp;zł/tona)</string></key><value><int>11</int></value></item><item><key><string>Przelicznik objętości MP/tony</string></key><value><int>12</int></value></item><item><key><string>Podział produkcja/towar</string></key><value><int>13</int></value></item><item><key><string>Rodzaj zrębki a/b</string></key><value><int>14</int></value></item><item><key><string>Rąbanie własne/wynajęte (kto)</string></key><value><int>15</int></value></item><item><key><string>Koszt rąbania usługa zł</string></key><value><int>16</int></value></item><item><key><string>Transport Firma</string></key><value><int>17</int></value></item><item><key><string>Nr. Rejestracyjny</string></key><value><int>18</int></value></item><item><key><string>Odległość km</string></key><value><int>19</int></value></item><item><key><string>Koszt transportu zł</string></key><value><int>20</int></value></item><item><key><string>Miejsce załadunku</string></key><value><int>21</int></value></item><item><key><string>Odbiorca/elektrownia</string></key><value><int>22</int></value></item><item><key><string>Odbiór tony</string></key><value><int>23</int></value></item><item><key><string>Sprzedaż z magazynu tony</string></key><value><int>24</int></value></item><item><key><string>Odbiorca sprzedaż z magazynu</string></key><value><int>25</int></value></item><item><key><string>Wolumen_MP</string></key><value><int>26</int></value></item><item><key><string>Wolumen_t</string></key><value><int>27</int></value></item><item><key><string>Kategoria</string></key><value><int>28</int></value></item><item><key><string>Uwzględnij_w_magazynie</string></key><value><int>29</int></value></item><item><key><string>Ruch_magazyn_MP</string></key><value><int>30</int></value></item><item><key><string>Ruch_magazyn_t</string></key><value><int>31</int></value></item><item><key><string>Wartość_zakupu_zł_calc</string></key><value><int>32</int></value></item><item><key><string>Wartość_sprzedaży_zł_calc</string></key><value><int>33</int></value></item><item><key><string>Typ_transportu_heurystyka</string></key><value><int>34</int></value></item><item><key><string>Koszt_transportu_num</string></key><value><int>35</int></value></item><item><key><string>Koszt_transportu_zakup</string></key><value><int>36</int></value></item><item><key><string>Koszt_transportu_sprzedaż</string></key><value><int>37</int></value></item><item><key><string>Koszt_rąbania_stawka_num</string></key><value><int>38</int></value></item><item><key><string>Koszt_rąbania_total</string></key><value><int>39</int></value></item><item><key><string>Źródło_partii</string></key><value><int>40</int></value></item><item><key><string>Odbiorca_finalny</string></key><value><int>41</int></value></item><item><key><string>Miesiąc_tekst</string></key><value><int>42</int></value></item><item><key><string>Data dostawy (indeks miesiąca)</string></key><value><int>43</int></value></item><item><key><string>Data dostawy (miesiąc)</string></key><value><int>44</int></value></item></ColumnDisplayIndex><ColumnFrozen /><ColumnChecked /><ColumnFilter /><SelectionFilter /><FilterParameters /><IsSortDescending>false</IsSortDescending></TableWidgetGridSerialization>]]></CustomContent>
</Gemini>
</file>

<file path=customXml/item17.xml><?xml version="1.0" encoding="utf-8"?>
<Gemini xmlns="http://gemini/pivotcustomization/TableOrder">
  <CustomContent><![CDATA[Tabela_dane]]></CustomContent>
</Gemini>
</file>

<file path=customXml/item18.xml><?xml version="1.0" encoding="utf-8"?>
<Gemini xmlns="http://gemini/pivotcustomization/Diagrams">
  <CustomContent><![CDATA[<ArrayOfDiagramManager.SerializableDiagram xmlns="http://schemas.datacontract.org/2004/07/Microsoft.AnalysisServices.Common" xmlns:i="http://www.w3.org/2001/XMLSchema-instance"><DiagramManager.SerializableDiagram><Adapter i:type="MeasureDiagramSandboxAdapter"><TableName>Tabela_dane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Tabela_dane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Measures\Stan Magazynowy</Key></DiagramObjectKey><DiagramObjectKey><Key>Measures\Stan Magazynowy\TagInfo\Formuła</Key></DiagramObjectKey><DiagramObjectKey><Key>Measures\Stan Magazynowy\TagInfo\Wartość</Key></DiagramObjectKey><DiagramObjectKey><Key>Columns\Data załadunku do klienta końcowego</Key></DiagramObjectKey><DiagramObjectKey><Key>Columns\Data dostawy</Key></DiagramObjectKey><DiagramObjectKey><Key>Columns\Dostawca</Key></DiagramObjectKey><DiagramObjectKey><Key>Columns\Zakup/Sprzedaż</Key></DiagramObjectKey><DiagramObjectKey><Key>Columns\Nr. WZ</Key></DiagramObjectKey><DiagramObjectKey><Key>Columns\Magazyn/Bez Magazynowania</Key></DiagramObjectKey><DiagramObjectKey><Key>Columns\Deklaracja/KZR</Key></DiagramObjectKey><DiagramObjectKey><Key>Columns\Volumen</Key></DiagramObjectKey><DiagramObjectKey><Key>Columns\Jednostka miary</Key></DiagramObjectKey><DiagramObjectKey><Key>Columns\Cena zakupu/produkcji (zł/mp;zł/tona)</Key></DiagramObjectKey><DiagramObjectKey><Key>Columns\Wartość dostawy</Key></DiagramObjectKey><DiagramObjectKey><Key>Columns\Cena sprzedaży (zł/mp;zł/tona)</Key></DiagramObjectKey><DiagramObjectKey><Key>Columns\Przelicznik objętości MP/tony</Key></DiagramObjectKey><DiagramObjectKey><Key>Columns\Podział produkcja/towar</Key></DiagramObjectKey><DiagramObjectKey><Key>Columns\Rodzaj zrębki a/b</Key></DiagramObjectKey><DiagramObjectKey><Key>Columns\Rąbanie własne/wynajęte (kto)</Key></DiagramObjectKey><DiagramObjectKey><Key>Columns\Koszt rąbania usługa zł</Key></DiagramObjectKey><DiagramObjectKey><Key>Columns\Transport Firma</Key></DiagramObjectKey><DiagramObjectKey><Key>Columns\Nr. Rejestracyjny</Key></DiagramObjectKey><DiagramObjectKey><Key>Columns\Odległość km</Key></DiagramObjectKey><DiagramObjectKey><Key>Columns\Koszt transportu zł</Key></DiagramObjectKey><DiagramObjectKey><Key>Columns\Miejsce załadunku</Key></DiagramObjectKey><DiagramObjectKey><Key>Columns\Odbiorca/elektrownia</Key></DiagramObjectKey><DiagramObjectKey><Key>Columns\Odbiór tony</Key></DiagramObjectKey><DiagramObjectKey><Key>Columns\Sprzedaż z magazynu tony</Key></DiagramObjectKey><DiagramObjectKey><Key>Columns\Odbiorca sprzedaż z magazynu</Key></DiagramObjectKey><DiagramObjectKey><Key>Columns\Wolumen_MP</Key></DiagramObjectKey><DiagramObjectKey><Key>Columns\Wolumen_t</Key></DiagramObjectKey><DiagramObjectKey><Key>Columns\Kategoria</Key></DiagramObjectKey><DiagramObjectKey><Key>Columns\Uwzględnij_w_magazynie</Key></DiagramObjectKey><DiagramObjectKey><Key>Columns\Ruch_magazyn_MP</Key></DiagramObjectKey><DiagramObjectKey><Key>Columns\Ruch_magazyn_t</Key></DiagramObjectKey><DiagramObjectKey><Key>Columns\Wartość_zakupu_zł_calc</Key></DiagramObjectKey><DiagramObjectKey><Key>Columns\Wartość_sprzedaży_zł_calc</Key></DiagramObjectKey><DiagramObjectKey><Key>Columns\Typ_transportu_heurystyka</Key></DiagramObjectKey><DiagramObjectKey><Key>Columns\Koszt_transportu_num</Key></DiagramObjectKey><DiagramObjectKey><Key>Columns\Koszt_transportu_zakup</Key></DiagramObjectKey><DiagramObjectKey><Key>Columns\Koszt_transportu_sprzedaż</Key></DiagramObjectKey><DiagramObjectKey><Key>Columns\Koszt_rąbania_stawka_num</Key></DiagramObjectKey><DiagramObjectKey><Key>Columns\Koszt_rąbania_total</Key></DiagramObjectKey><DiagramObjectKey><Key>Columns\Źródło_partii</Key></DiagramObjectKey><DiagramObjectKey><Key>Columns\Odbiorca_finalny</Key></DiagramObjectKey><DiagramObjectKey><Key>Columns\Miesiąc_tekst</Key></DiagramObjectKey><DiagramObjectKey><Key>Columns\Data dostawy (indeks miesiąca)</Key></DiagramObjectKey><DiagramObjectKey><Key>Columns\Data dostawy (miesiąc)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Measures\Stan Magazynowy</Key></a:Key><a:Value i:type="MeasureGridNodeViewState"><LayedOut>true</LayedOut></a:Value></a:KeyValueOfDiagramObjectKeyanyTypezbwNTnLX><a:KeyValueOfDiagramObjectKeyanyTypezbwNTnLX><a:Key><Key>Measures\Stan Magazynowy\TagInfo\Formuła</Key></a:Key><a:Value i:type="MeasureGridViewStateIDiagramTagAdditionalInfo"/></a:KeyValueOfDiagramObjectKeyanyTypezbwNTnLX><a:KeyValueOfDiagramObjectKeyanyTypezbwNTnLX><a:Key><Key>Measures\Stan Magazynowy\TagInfo\Wartość</Key></a:Key><a:Value i:type="MeasureGridViewStateIDiagramTagAdditionalInfo"/></a:KeyValueOfDiagramObjectKeyanyTypezbwNTnLX><a:KeyValueOfDiagramObjectKeyanyTypezbwNTnLX><a:Key><Key>Columns\Data załadunku do klienta końcowego</Key></a:Key><a:Value i:type="MeasureGridNodeViewState"><LayedOut>true</LayedOut></a:Value></a:KeyValueOfDiagramObjectKeyanyTypezbwNTnLX><a:KeyValueOfDiagramObjectKeyanyTypezbwNTnLX><a:Key><Key>Columns\Data dostawy</Key></a:Key><a:Value i:type="MeasureGridNodeViewState"><Column>1</Column><LayedOut>true</LayedOut></a:Value></a:KeyValueOfDiagramObjectKeyanyTypezbwNTnLX><a:KeyValueOfDiagramObjectKeyanyTypezbwNTnLX><a:Key><Key>Columns\Dostawca</Key></a:Key><a:Value i:type="MeasureGridNodeViewState"><Column>2</Column><LayedOut>true</LayedOut></a:Value></a:KeyValueOfDiagramObjectKeyanyTypezbwNTnLX><a:KeyValueOfDiagramObjectKeyanyTypezbwNTnLX><a:Key><Key>Columns\Zakup/Sprzedaż</Key></a:Key><a:Value i:type="MeasureGridNodeViewState"><Column>3</Column><LayedOut>true</LayedOut></a:Value></a:KeyValueOfDiagramObjectKeyanyTypezbwNTnLX><a:KeyValueOfDiagramObjectKeyanyTypezbwNTnLX><a:Key><Key>Columns\Nr. WZ</Key></a:Key><a:Value i:type="MeasureGridNodeViewState"><Column>4</Column><LayedOut>true</LayedOut></a:Value></a:KeyValueOfDiagramObjectKeyanyTypezbwNTnLX><a:KeyValueOfDiagramObjectKeyanyTypezbwNTnLX><a:Key><Key>Columns\Magazyn/Bez Magazynowania</Key></a:Key><a:Value i:type="MeasureGridNodeViewState"><Column>5</Column><LayedOut>true</LayedOut></a:Value></a:KeyValueOfDiagramObjectKeyanyTypezbwNTnLX><a:KeyValueOfDiagramObjectKeyanyTypezbwNTnLX><a:Key><Key>Columns\Deklaracja/KZR</Key></a:Key><a:Value i:type="MeasureGridNodeViewState"><Column>6</Column><LayedOut>true</LayedOut></a:Value></a:KeyValueOfDiagramObjectKeyanyTypezbwNTnLX><a:KeyValueOfDiagramObjectKeyanyTypezbwNTnLX><a:Key><Key>Columns\Volumen</Key></a:Key><a:Value i:type="MeasureGridNodeViewState"><Column>7</Column><LayedOut>true</LayedOut></a:Value></a:KeyValueOfDiagramObjectKeyanyTypezbwNTnLX><a:KeyValueOfDiagramObjectKeyanyTypezbwNTnLX><a:Key><Key>Columns\Jednostka miary</Key></a:Key><a:Value i:type="MeasureGridNodeViewState"><Column>8</Column><LayedOut>true</LayedOut></a:Value></a:KeyValueOfDiagramObjectKeyanyTypezbwNTnLX><a:KeyValueOfDiagramObjectKeyanyTypezbwNTnLX><a:Key><Key>Columns\Cena zakupu/produkcji (zł/mp;zł/tona)</Key></a:Key><a:Value i:type="MeasureGridNodeViewState"><Column>9</Column><LayedOut>true</LayedOut></a:Value></a:KeyValueOfDiagramObjectKeyanyTypezbwNTnLX><a:KeyValueOfDiagramObjectKeyanyTypezbwNTnLX><a:Key><Key>Columns\Wartość dostawy</Key></a:Key><a:Value i:type="MeasureGridNodeViewState"><Column>10</Column><LayedOut>true</LayedOut></a:Value></a:KeyValueOfDiagramObjectKeyanyTypezbwNTnLX><a:KeyValueOfDiagramObjectKeyanyTypezbwNTnLX><a:Key><Key>Columns\Cena sprzedaży (zł/mp;zł/tona)</Key></a:Key><a:Value i:type="MeasureGridNodeViewState"><Column>11</Column><LayedOut>true</LayedOut></a:Value></a:KeyValueOfDiagramObjectKeyanyTypezbwNTnLX><a:KeyValueOfDiagramObjectKeyanyTypezbwNTnLX><a:Key><Key>Columns\Przelicznik objętości MP/tony</Key></a:Key><a:Value i:type="MeasureGridNodeViewState"><Column>12</Column><LayedOut>true</LayedOut></a:Value></a:KeyValueOfDiagramObjectKeyanyTypezbwNTnLX><a:KeyValueOfDiagramObjectKeyanyTypezbwNTnLX><a:Key><Key>Columns\Podział produkcja/towar</Key></a:Key><a:Value i:type="MeasureGridNodeViewState"><Column>13</Column><LayedOut>true</LayedOut></a:Value></a:KeyValueOfDiagramObjectKeyanyTypezbwNTnLX><a:KeyValueOfDiagramObjectKeyanyTypezbwNTnLX><a:Key><Key>Columns\Rodzaj zrębki a/b</Key></a:Key><a:Value i:type="MeasureGridNodeViewState"><Column>14</Column><LayedOut>true</LayedOut></a:Value></a:KeyValueOfDiagramObjectKeyanyTypezbwNTnLX><a:KeyValueOfDiagramObjectKeyanyTypezbwNTnLX><a:Key><Key>Columns\Rąbanie własne/wynajęte (kto)</Key></a:Key><a:Value i:type="MeasureGridNodeViewState"><Column>15</Column><LayedOut>true</LayedOut></a:Value></a:KeyValueOfDiagramObjectKeyanyTypezbwNTnLX><a:KeyValueOfDiagramObjectKeyanyTypezbwNTnLX><a:Key><Key>Columns\Koszt rąbania usługa zł</Key></a:Key><a:Value i:type="MeasureGridNodeViewState"><Column>16</Column><LayedOut>true</LayedOut></a:Value></a:KeyValueOfDiagramObjectKeyanyTypezbwNTnLX><a:KeyValueOfDiagramObjectKeyanyTypezbwNTnLX><a:Key><Key>Columns\Transport Firma</Key></a:Key><a:Value i:type="MeasureGridNodeViewState"><Column>17</Column><LayedOut>true</LayedOut></a:Value></a:KeyValueOfDiagramObjectKeyanyTypezbwNTnLX><a:KeyValueOfDiagramObjectKeyanyTypezbwNTnLX><a:Key><Key>Columns\Nr. Rejestracyjny</Key></a:Key><a:Value i:type="MeasureGridNodeViewState"><Column>18</Column><LayedOut>true</LayedOut></a:Value></a:KeyValueOfDiagramObjectKeyanyTypezbwNTnLX><a:KeyValueOfDiagramObjectKeyanyTypezbwNTnLX><a:Key><Key>Columns\Odległość km</Key></a:Key><a:Value i:type="MeasureGridNodeViewState"><Column>19</Column><LayedOut>true</LayedOut></a:Value></a:KeyValueOfDiagramObjectKeyanyTypezbwNTnLX><a:KeyValueOfDiagramObjectKeyanyTypezbwNTnLX><a:Key><Key>Columns\Koszt transportu zł</Key></a:Key><a:Value i:type="MeasureGridNodeViewState"><Column>20</Column><LayedOut>true</LayedOut></a:Value></a:KeyValueOfDiagramObjectKeyanyTypezbwNTnLX><a:KeyValueOfDiagramObjectKeyanyTypezbwNTnLX><a:Key><Key>Columns\Miejsce załadunku</Key></a:Key><a:Value i:type="MeasureGridNodeViewState"><Column>21</Column><LayedOut>true</LayedOut></a:Value></a:KeyValueOfDiagramObjectKeyanyTypezbwNTnLX><a:KeyValueOfDiagramObjectKeyanyTypezbwNTnLX><a:Key><Key>Columns\Odbiorca/elektrownia</Key></a:Key><a:Value i:type="MeasureGridNodeViewState"><Column>22</Column><LayedOut>true</LayedOut></a:Value></a:KeyValueOfDiagramObjectKeyanyTypezbwNTnLX><a:KeyValueOfDiagramObjectKeyanyTypezbwNTnLX><a:Key><Key>Columns\Odbiór tony</Key></a:Key><a:Value i:type="MeasureGridNodeViewState"><Column>23</Column><LayedOut>true</LayedOut></a:Value></a:KeyValueOfDiagramObjectKeyanyTypezbwNTnLX><a:KeyValueOfDiagramObjectKeyanyTypezbwNTnLX><a:Key><Key>Columns\Sprzedaż z magazynu tony</Key></a:Key><a:Value i:type="MeasureGridNodeViewState"><Column>24</Column><LayedOut>true</LayedOut></a:Value></a:KeyValueOfDiagramObjectKeyanyTypezbwNTnLX><a:KeyValueOfDiagramObjectKeyanyTypezbwNTnLX><a:Key><Key>Columns\Odbiorca sprzedaż z magazynu</Key></a:Key><a:Value i:type="MeasureGridNodeViewState"><Column>25</Column><LayedOut>true</LayedOut></a:Value></a:KeyValueOfDiagramObjectKeyanyTypezbwNTnLX><a:KeyValueOfDiagramObjectKeyanyTypezbwNTnLX><a:Key><Key>Columns\Wolumen_MP</Key></a:Key><a:Value i:type="MeasureGridNodeViewState"><Column>26</Column><LayedOut>true</LayedOut></a:Value></a:KeyValueOfDiagramObjectKeyanyTypezbwNTnLX><a:KeyValueOfDiagramObjectKeyanyTypezbwNTnLX><a:Key><Key>Columns\Wolumen_t</Key></a:Key><a:Value i:type="MeasureGridNodeViewState"><Column>27</Column><LayedOut>true</LayedOut></a:Value></a:KeyValueOfDiagramObjectKeyanyTypezbwNTnLX><a:KeyValueOfDiagramObjectKeyanyTypezbwNTnLX><a:Key><Key>Columns\Kategoria</Key></a:Key><a:Value i:type="MeasureGridNodeViewState"><Column>28</Column><LayedOut>true</LayedOut></a:Value></a:KeyValueOfDiagramObjectKeyanyTypezbwNTnLX><a:KeyValueOfDiagramObjectKeyanyTypezbwNTnLX><a:Key><Key>Columns\Uwzględnij_w_magazynie</Key></a:Key><a:Value i:type="MeasureGridNodeViewState"><Column>29</Column><LayedOut>true</LayedOut></a:Value></a:KeyValueOfDiagramObjectKeyanyTypezbwNTnLX><a:KeyValueOfDiagramObjectKeyanyTypezbwNTnLX><a:Key><Key>Columns\Ruch_magazyn_MP</Key></a:Key><a:Value i:type="MeasureGridNodeViewState"><Column>30</Column><LayedOut>true</LayedOut></a:Value></a:KeyValueOfDiagramObjectKeyanyTypezbwNTnLX><a:KeyValueOfDiagramObjectKeyanyTypezbwNTnLX><a:Key><Key>Columns\Ruch_magazyn_t</Key></a:Key><a:Value i:type="MeasureGridNodeViewState"><Column>31</Column><LayedOut>true</LayedOut></a:Value></a:KeyValueOfDiagramObjectKeyanyTypezbwNTnLX><a:KeyValueOfDiagramObjectKeyanyTypezbwNTnLX><a:Key><Key>Columns\Wartość_zakupu_zł_calc</Key></a:Key><a:Value i:type="MeasureGridNodeViewState"><Column>32</Column><LayedOut>true</LayedOut></a:Value></a:KeyValueOfDiagramObjectKeyanyTypezbwNTnLX><a:KeyValueOfDiagramObjectKeyanyTypezbwNTnLX><a:Key><Key>Columns\Wartość_sprzedaży_zł_calc</Key></a:Key><a:Value i:type="MeasureGridNodeViewState"><Column>33</Column><LayedOut>true</LayedOut></a:Value></a:KeyValueOfDiagramObjectKeyanyTypezbwNTnLX><a:KeyValueOfDiagramObjectKeyanyTypezbwNTnLX><a:Key><Key>Columns\Typ_transportu_heurystyka</Key></a:Key><a:Value i:type="MeasureGridNodeViewState"><Column>34</Column><LayedOut>true</LayedOut></a:Value></a:KeyValueOfDiagramObjectKeyanyTypezbwNTnLX><a:KeyValueOfDiagramObjectKeyanyTypezbwNTnLX><a:Key><Key>Columns\Koszt_transportu_num</Key></a:Key><a:Value i:type="MeasureGridNodeViewState"><Column>35</Column><LayedOut>true</LayedOut></a:Value></a:KeyValueOfDiagramObjectKeyanyTypezbwNTnLX><a:KeyValueOfDiagramObjectKeyanyTypezbwNTnLX><a:Key><Key>Columns\Koszt_transportu_zakup</Key></a:Key><a:Value i:type="MeasureGridNodeViewState"><Column>36</Column><LayedOut>true</LayedOut></a:Value></a:KeyValueOfDiagramObjectKeyanyTypezbwNTnLX><a:KeyValueOfDiagramObjectKeyanyTypezbwNTnLX><a:Key><Key>Columns\Koszt_transportu_sprzedaż</Key></a:Key><a:Value i:type="MeasureGridNodeViewState"><Column>37</Column><LayedOut>true</LayedOut></a:Value></a:KeyValueOfDiagramObjectKeyanyTypezbwNTnLX><a:KeyValueOfDiagramObjectKeyanyTypezbwNTnLX><a:Key><Key>Columns\Koszt_rąbania_stawka_num</Key></a:Key><a:Value i:type="MeasureGridNodeViewState"><Column>38</Column><LayedOut>true</LayedOut></a:Value></a:KeyValueOfDiagramObjectKeyanyTypezbwNTnLX><a:KeyValueOfDiagramObjectKeyanyTypezbwNTnLX><a:Key><Key>Columns\Koszt_rąbania_total</Key></a:Key><a:Value i:type="MeasureGridNodeViewState"><Column>39</Column><LayedOut>true</LayedOut></a:Value></a:KeyValueOfDiagramObjectKeyanyTypezbwNTnLX><a:KeyValueOfDiagramObjectKeyanyTypezbwNTnLX><a:Key><Key>Columns\Źródło_partii</Key></a:Key><a:Value i:type="MeasureGridNodeViewState"><Column>40</Column><LayedOut>true</LayedOut></a:Value></a:KeyValueOfDiagramObjectKeyanyTypezbwNTnLX><a:KeyValueOfDiagramObjectKeyanyTypezbwNTnLX><a:Key><Key>Columns\Odbiorca_finalny</Key></a:Key><a:Value i:type="MeasureGridNodeViewState"><Column>41</Column><LayedOut>true</LayedOut></a:Value></a:KeyValueOfDiagramObjectKeyanyTypezbwNTnLX><a:KeyValueOfDiagramObjectKeyanyTypezbwNTnLX><a:Key><Key>Columns\Miesiąc_tekst</Key></a:Key><a:Value i:type="MeasureGridNodeViewState"><Column>42</Column><LayedOut>true</LayedOut></a:Value></a:KeyValueOfDiagramObjectKeyanyTypezbwNTnLX><a:KeyValueOfDiagramObjectKeyanyTypezbwNTnLX><a:Key><Key>Columns\Data dostawy (indeks miesiąca)</Key></a:Key><a:Value i:type="MeasureGridNodeViewState"><Column>43</Column><LayedOut>true</LayedOut></a:Value></a:KeyValueOfDiagramObjectKeyanyTypezbwNTnLX><a:KeyValueOfDiagramObjectKeyanyTypezbwNTnLX><a:Key><Key>Columns\Data dostawy (miesiąc)</Key></a:Key><a:Value i:type="MeasureGridNodeViewState"><Column>44</Column><LayedOut>true</LayedOut></a:Value></a:KeyValueOfDiagramObjectKeyanyTypezbwNTnLX></ViewStates></DiagramManager.SerializableDiagram></ArrayOfDiagramManager.SerializableDiagram>]]></CustomContent>
</Gemini>
</file>

<file path=customXml/itemProps1.xml><?xml version="1.0" encoding="utf-8"?>
<ds:datastoreItem xmlns:ds="http://schemas.openxmlformats.org/officeDocument/2006/customXml" ds:itemID="{2BEA769E-57AB-49BC-B3FA-E89D63FDCFFE}">
  <ds:schemaRefs/>
</ds:datastoreItem>
</file>

<file path=customXml/itemProps2.xml><?xml version="1.0" encoding="utf-8"?>
<ds:datastoreItem xmlns:ds="http://schemas.openxmlformats.org/officeDocument/2006/customXml" ds:itemID="{BA7C3AB3-4CD2-4FC5-8008-4C5B74B38DAB}">
  <ds:schemaRefs/>
</ds:datastoreItem>
</file>

<file path=customXml/itemProps3.xml><?xml version="1.0" encoding="utf-8"?>
<ds:datastoreItem xmlns:ds="http://schemas.openxmlformats.org/officeDocument/2006/customXml" ds:itemID="{C7DBE12E-7A24-4151-BDBB-BB8ED7C9677B}">
  <ds:schemaRefs/>
</ds:datastoreItem>
</file>

<file path=customXml/itemProps4.xml><?xml version="1.0" encoding="utf-8"?>
<ds:datastoreItem xmlns:ds="http://schemas.openxmlformats.org/officeDocument/2006/customXml" ds:itemID="{C8EA90EC-60BD-4283-99B8-7783B6B842E9}">
  <ds:schemaRefs/>
</ds:datastoreItem>
</file>

<file path=customXml/itemProps5.xml><?xml version="1.0" encoding="utf-8"?>
<ds:datastoreItem xmlns:ds="http://schemas.openxmlformats.org/officeDocument/2006/customXml" ds:itemID="{73A19319-C253-4C33-821A-CE7AAB9D6123}">
  <ds:schemaRefs/>
</ds:datastoreItem>
</file>

<file path=customXml/itemProps6.xml><?xml version="1.0" encoding="utf-8"?>
<ds:datastoreItem xmlns:ds="http://schemas.openxmlformats.org/officeDocument/2006/customXml" ds:itemID="{5C6AB541-EB1E-434A-B912-D093BBAA7DC9}">
  <ds:schemaRefs/>
</ds:datastoreItem>
</file>

<file path=customXml/itemProps7.xml><?xml version="1.0" encoding="utf-8"?>
<ds:datastoreItem xmlns:ds="http://schemas.openxmlformats.org/officeDocument/2006/customXml" ds:itemID="{06B31F91-F29F-4411-9C03-0D113D291D7C}">
  <ds:schemaRefs/>
</ds:datastoreItem>
</file>

<file path=customXml/itemProps8.xml><?xml version="1.0" encoding="utf-8"?>
<ds:datastoreItem xmlns:ds="http://schemas.openxmlformats.org/officeDocument/2006/customXml" ds:itemID="{C98214F0-053C-4BE0-ABA6-AB2A0F7E9C8B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2AF24914-F212-4596-A578-10898A8B133F}">
  <ds:schemaRefs/>
</ds:datastoreItem>
</file>

<file path=customXml/itemProps10.xml><?xml version="1.0" encoding="utf-8"?>
<ds:datastoreItem xmlns:ds="http://schemas.openxmlformats.org/officeDocument/2006/customXml" ds:itemID="{F33119FF-1120-45C5-860B-A1C3755078EA}">
  <ds:schemaRefs/>
</ds:datastoreItem>
</file>

<file path=customXml/itemProps11.xml><?xml version="1.0" encoding="utf-8"?>
<ds:datastoreItem xmlns:ds="http://schemas.openxmlformats.org/officeDocument/2006/customXml" ds:itemID="{ED9893C4-C2D1-4C7B-B3BA-E8DE166ACD3A}">
  <ds:schemaRefs/>
</ds:datastoreItem>
</file>

<file path=customXml/itemProps12.xml><?xml version="1.0" encoding="utf-8"?>
<ds:datastoreItem xmlns:ds="http://schemas.openxmlformats.org/officeDocument/2006/customXml" ds:itemID="{2669CA4C-D391-4AEB-BE5E-8C757DEB852F}">
  <ds:schemaRefs/>
</ds:datastoreItem>
</file>

<file path=customXml/itemProps13.xml><?xml version="1.0" encoding="utf-8"?>
<ds:datastoreItem xmlns:ds="http://schemas.openxmlformats.org/officeDocument/2006/customXml" ds:itemID="{FC3A4C1D-E66B-4E9F-841D-EC97701C9093}">
  <ds:schemaRefs/>
</ds:datastoreItem>
</file>

<file path=customXml/itemProps14.xml><?xml version="1.0" encoding="utf-8"?>
<ds:datastoreItem xmlns:ds="http://schemas.openxmlformats.org/officeDocument/2006/customXml" ds:itemID="{B0AEEA13-7690-49ED-8216-CFED16C2BC40}">
  <ds:schemaRefs/>
</ds:datastoreItem>
</file>

<file path=customXml/itemProps15.xml><?xml version="1.0" encoding="utf-8"?>
<ds:datastoreItem xmlns:ds="http://schemas.openxmlformats.org/officeDocument/2006/customXml" ds:itemID="{3C1F0DDF-93EF-4CF1-A3B3-9C7D54EBEF82}">
  <ds:schemaRefs/>
</ds:datastoreItem>
</file>

<file path=customXml/itemProps16.xml><?xml version="1.0" encoding="utf-8"?>
<ds:datastoreItem xmlns:ds="http://schemas.openxmlformats.org/officeDocument/2006/customXml" ds:itemID="{103C2B7A-0EEA-483E-B011-3420CD5A12FD}">
  <ds:schemaRefs/>
</ds:datastoreItem>
</file>

<file path=customXml/itemProps17.xml><?xml version="1.0" encoding="utf-8"?>
<ds:datastoreItem xmlns:ds="http://schemas.openxmlformats.org/officeDocument/2006/customXml" ds:itemID="{C69F3038-3330-4176-943D-B583304D005B}">
  <ds:schemaRefs/>
</ds:datastoreItem>
</file>

<file path=customXml/itemProps18.xml><?xml version="1.0" encoding="utf-8"?>
<ds:datastoreItem xmlns:ds="http://schemas.openxmlformats.org/officeDocument/2006/customXml" ds:itemID="{F5D5A705-CAD8-46C8-B7F6-66A3915647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2026-03-30T08:09:26Z</dcterms:created>
  <dc:creator>openpyxl</dc:creator>
  <dc:description/>
  <dc:language>en-US</dc:language>
  <cp:lastModifiedBy/>
  <dcterms:modified xsi:type="dcterms:W3CDTF">2026-10-08T19:20:21Z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